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gel\Downloads\"/>
    </mc:Choice>
  </mc:AlternateContent>
  <xr:revisionPtr revIDLastSave="0" documentId="13_ncr:1_{F6CF01FB-1438-4281-9CF9-001A70F79B72}" xr6:coauthVersionLast="47" xr6:coauthVersionMax="47" xr10:uidLastSave="{00000000-0000-0000-0000-000000000000}"/>
  <bookViews>
    <workbookView xWindow="-120" yWindow="-120" windowWidth="19440" windowHeight="11640" xr2:uid="{00000000-000D-0000-FFFF-FFFF00000000}"/>
  </bookViews>
  <sheets>
    <sheet name="Thematic Analysis" sheetId="1" r:id="rId1"/>
    <sheet name="Glossary" sheetId="2" r:id="rId2"/>
    <sheet name="Search Data" sheetId="8" r:id="rId3"/>
    <sheet name="Tool Data" sheetId="9" r:id="rId4"/>
    <sheet name="Risk Matrix" sheetId="10" r:id="rId5"/>
  </sheets>
  <functionGroups builtInGroupCount="19"/>
  <definedNames>
    <definedName name="Catergories">Table6[Catergories]</definedName>
    <definedName name="Factors">'Thematic Analysis'!$E$8:$E$17</definedName>
    <definedName name="Factors_List">Table2[Factors]</definedName>
    <definedName name="Groups">'Thematic Analysis'!$F$8:$F$17</definedName>
    <definedName name="Search_Factors">Table6[Factors]</definedName>
    <definedName name="Sub_catergories">Table6[Sub Catergories]</definedName>
    <definedName name="Sub_Group">'Thematic Analysis'!$G$8:$G$17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8" l="1"/>
  <c r="A7" i="8"/>
  <c r="A8" i="8"/>
  <c r="A9" i="8"/>
  <c r="A10" i="8"/>
  <c r="A11" i="8"/>
  <c r="A12" i="8"/>
  <c r="A13" i="8"/>
  <c r="B5" i="9"/>
  <c r="I3" i="1"/>
  <c r="D3" i="9"/>
  <c r="C3" i="9"/>
  <c r="A3" i="8"/>
  <c r="C14" i="8"/>
  <c r="C15" i="2"/>
  <c r="C6" i="9"/>
  <c r="C7" i="9"/>
  <c r="C8" i="9"/>
  <c r="C9" i="9"/>
  <c r="C10" i="9"/>
  <c r="C11" i="9"/>
  <c r="C12" i="9"/>
  <c r="C13" i="9"/>
  <c r="C14" i="9"/>
  <c r="C5" i="9"/>
  <c r="A5" i="8"/>
  <c r="D5" i="9"/>
  <c r="D6" i="9"/>
  <c r="D7" i="9"/>
  <c r="D8" i="9"/>
  <c r="D9" i="9"/>
  <c r="D10" i="9"/>
  <c r="D11" i="9"/>
  <c r="D12" i="9"/>
  <c r="D13" i="9"/>
  <c r="D14" i="9"/>
  <c r="B6" i="9" l="1"/>
  <c r="B7" i="9"/>
  <c r="B8" i="9"/>
  <c r="B9" i="9"/>
  <c r="B10" i="9"/>
  <c r="B11" i="9"/>
  <c r="B12" i="9"/>
  <c r="B13" i="9"/>
  <c r="B14" i="9"/>
  <c r="G5" i="9"/>
  <c r="F3" i="9"/>
  <c r="E3" i="9"/>
  <c r="B3" i="9"/>
  <c r="A4" i="2"/>
  <c r="B4" i="2"/>
  <c r="C4" i="2"/>
  <c r="A9" i="1"/>
  <c r="A10" i="1" s="1"/>
  <c r="A11" i="1" s="1"/>
  <c r="A12" i="1" s="1"/>
  <c r="A13" i="1" s="1"/>
  <c r="A14" i="1" s="1"/>
  <c r="A15" i="1" s="1"/>
  <c r="A16" i="1" s="1"/>
  <c r="A17" i="1" s="1"/>
  <c r="G6" i="9"/>
  <c r="G7" i="9"/>
  <c r="G8" i="9"/>
  <c r="G9" i="9"/>
  <c r="G10" i="9"/>
  <c r="G11" i="9"/>
  <c r="G12" i="9"/>
  <c r="G13" i="9"/>
  <c r="G14" i="9"/>
  <c r="I9" i="1"/>
  <c r="I12" i="1"/>
  <c r="I10" i="1"/>
  <c r="I17" i="1"/>
  <c r="I11" i="1"/>
  <c r="I13" i="1"/>
  <c r="I8" i="1"/>
  <c r="I15" i="1"/>
  <c r="I14" i="1"/>
  <c r="I16" i="1"/>
  <c r="A6" i="9" l="1"/>
  <c r="A7" i="9" s="1"/>
  <c r="A8" i="9" s="1"/>
  <c r="A9" i="9" s="1"/>
  <c r="A10" i="9" s="1"/>
  <c r="A11" i="9" s="1"/>
  <c r="A12" i="9" s="1"/>
  <c r="A13" i="9" s="1"/>
  <c r="A14" i="9" s="1"/>
</calcChain>
</file>

<file path=xl/sharedStrings.xml><?xml version="1.0" encoding="utf-8"?>
<sst xmlns="http://schemas.openxmlformats.org/spreadsheetml/2006/main" count="211" uniqueCount="137">
  <si>
    <t>Thematic analysis and coding template</t>
  </si>
  <si>
    <t>What are you looking for? What is your discovery question/purpose</t>
  </si>
  <si>
    <t>Notes/Additional</t>
  </si>
  <si>
    <t>Possible Solutions</t>
  </si>
  <si>
    <t>Concern</t>
  </si>
  <si>
    <t>Tech Concept</t>
  </si>
  <si>
    <t>Tech Layers</t>
  </si>
  <si>
    <t>ID</t>
  </si>
  <si>
    <t>Facts</t>
  </si>
  <si>
    <t>Organizational Values</t>
  </si>
  <si>
    <t>Table 1:  Thematic Analysis</t>
  </si>
  <si>
    <t>Editable Fields</t>
  </si>
  <si>
    <t>Glossary Check</t>
  </si>
  <si>
    <t>Table 6: Tool Data</t>
  </si>
  <si>
    <t>Total</t>
  </si>
  <si>
    <t>Factors</t>
  </si>
  <si>
    <t>Groups</t>
  </si>
  <si>
    <t>Sub Groups</t>
  </si>
  <si>
    <t>Table 4: Current Groups</t>
  </si>
  <si>
    <t>Table 3: Factor Check</t>
  </si>
  <si>
    <t>Factors that Need to be added</t>
  </si>
  <si>
    <t>Current Groups</t>
  </si>
  <si>
    <t>Catergories</t>
  </si>
  <si>
    <t>Sub Catergories</t>
  </si>
  <si>
    <t>Extracts</t>
  </si>
  <si>
    <t>References</t>
  </si>
  <si>
    <t>Table 2: Glossary</t>
  </si>
  <si>
    <t>Factor</t>
  </si>
  <si>
    <t>Current Sub Group</t>
  </si>
  <si>
    <t>Total Rows:</t>
  </si>
  <si>
    <t>Table 5: Search Data</t>
  </si>
  <si>
    <t>Total Extracts</t>
  </si>
  <si>
    <t>Min</t>
  </si>
  <si>
    <t>Max</t>
  </si>
  <si>
    <t>Decriptor</t>
  </si>
  <si>
    <t>Definition</t>
  </si>
  <si>
    <t>Project Good to go</t>
  </si>
  <si>
    <t>All good to go</t>
  </si>
  <si>
    <t>Minor Issues</t>
  </si>
  <si>
    <t>Acceptable Risk</t>
  </si>
  <si>
    <t>Moderate Issues</t>
  </si>
  <si>
    <t>Management Action is Required</t>
  </si>
  <si>
    <t>Major Issues</t>
  </si>
  <si>
    <t>Senior Management Action is required</t>
  </si>
  <si>
    <t>Complete Failure</t>
  </si>
  <si>
    <t>Your Project is in Danger of Immediate Failure</t>
  </si>
  <si>
    <t>Table 7: Risk Assessment Rubric</t>
  </si>
  <si>
    <t>Page Ref 1</t>
  </si>
  <si>
    <t>Extract 1</t>
  </si>
  <si>
    <t>Fact 1</t>
  </si>
  <si>
    <t>Factor 1</t>
  </si>
  <si>
    <t>Note 1</t>
  </si>
  <si>
    <t>Note 2</t>
  </si>
  <si>
    <t>Note 3</t>
  </si>
  <si>
    <t>Note 4</t>
  </si>
  <si>
    <t>Note 5</t>
  </si>
  <si>
    <t>Note 6</t>
  </si>
  <si>
    <t>Note 7</t>
  </si>
  <si>
    <t>Note 8</t>
  </si>
  <si>
    <t>Note 9</t>
  </si>
  <si>
    <t>Note 10</t>
  </si>
  <si>
    <t>Page Ref 2</t>
  </si>
  <si>
    <t>Page Ref 3</t>
  </si>
  <si>
    <t>Page Ref 4</t>
  </si>
  <si>
    <t>Page Ref 5</t>
  </si>
  <si>
    <t>Page Ref 6</t>
  </si>
  <si>
    <t>Page Ref 7</t>
  </si>
  <si>
    <t>Page Ref 8</t>
  </si>
  <si>
    <t>Page Ref 9</t>
  </si>
  <si>
    <t>Page Ref 10</t>
  </si>
  <si>
    <t>Extract 2</t>
  </si>
  <si>
    <t>Extract 3</t>
  </si>
  <si>
    <t>Extract 4</t>
  </si>
  <si>
    <t>Extract 5</t>
  </si>
  <si>
    <t>Extract 6</t>
  </si>
  <si>
    <t>Extract 7</t>
  </si>
  <si>
    <t>Extract 8</t>
  </si>
  <si>
    <t>Extract 9</t>
  </si>
  <si>
    <t>Extract 10</t>
  </si>
  <si>
    <t>Fact 2</t>
  </si>
  <si>
    <t>Fact 3</t>
  </si>
  <si>
    <t>Fact 4</t>
  </si>
  <si>
    <t>Fact 5</t>
  </si>
  <si>
    <t>Fact 6</t>
  </si>
  <si>
    <t>Fact 7</t>
  </si>
  <si>
    <t>Fact 8</t>
  </si>
  <si>
    <t>Fact 9</t>
  </si>
  <si>
    <t>Fact 10</t>
  </si>
  <si>
    <t>Factor 2</t>
  </si>
  <si>
    <t>Factor 1
Factor 2
Factor 3</t>
  </si>
  <si>
    <t>Factor 4</t>
  </si>
  <si>
    <t>Factor 4
Factor 5
Factor 6</t>
  </si>
  <si>
    <t>Factor 7
Factor 8
Factor 9</t>
  </si>
  <si>
    <t>Factor 3</t>
  </si>
  <si>
    <t>Factor 5</t>
  </si>
  <si>
    <t>Factor 6</t>
  </si>
  <si>
    <t>Factor 7</t>
  </si>
  <si>
    <t>Factor 8</t>
  </si>
  <si>
    <t>Factor 9</t>
  </si>
  <si>
    <t>Total Rows: 9</t>
  </si>
  <si>
    <t>Group 1</t>
  </si>
  <si>
    <t>Group 2</t>
  </si>
  <si>
    <t>Group 3</t>
  </si>
  <si>
    <t>Sub Group 1</t>
  </si>
  <si>
    <t>Sub Group 2</t>
  </si>
  <si>
    <t>Sub Group 3</t>
  </si>
  <si>
    <t>3</t>
  </si>
  <si>
    <t>Group 1
Group 1
Group 1</t>
  </si>
  <si>
    <t>Group 2
Group 2
Group 2</t>
  </si>
  <si>
    <t>Group 3
Group 3
Group 3</t>
  </si>
  <si>
    <t>Sub Group 1
Sub Group 1
Sub Group 1</t>
  </si>
  <si>
    <t>Sub Group 2
Sub Group 2
Sub Group 2</t>
  </si>
  <si>
    <t>Sub Group 3
Sub Group 3
Sub Group 3</t>
  </si>
  <si>
    <t>Catergory 3</t>
  </si>
  <si>
    <t>Catergory 1</t>
  </si>
  <si>
    <t>Catergory 2</t>
  </si>
  <si>
    <t>Catergory 4</t>
  </si>
  <si>
    <t>Catergory 5</t>
  </si>
  <si>
    <t>Catergory 6</t>
  </si>
  <si>
    <t>Catergory 7</t>
  </si>
  <si>
    <t>Catergory 8</t>
  </si>
  <si>
    <t>Catergory 9</t>
  </si>
  <si>
    <t>Sub Catergory 1</t>
  </si>
  <si>
    <t>Sub Catergory 2</t>
  </si>
  <si>
    <t>Sub Catergory 3</t>
  </si>
  <si>
    <t>Sub Catergory 4</t>
  </si>
  <si>
    <t>Sub Catergory 5</t>
  </si>
  <si>
    <t>Sub Catergory 6</t>
  </si>
  <si>
    <t>Sub Catergory 7</t>
  </si>
  <si>
    <t>Sub Catergory 8</t>
  </si>
  <si>
    <t>Sub Catergory 9</t>
  </si>
  <si>
    <t>Catergory 1
Catergory 2
Catergory 3</t>
  </si>
  <si>
    <t>Catergory 4
Catergory 5
Catergory 6</t>
  </si>
  <si>
    <t>Catergory 7
Catergory 8
Catergory 9</t>
  </si>
  <si>
    <t>Sub Catergory 1
Sub Catergory 2
Sub Catergory 3</t>
  </si>
  <si>
    <t>Sub Catergory 4
Sub Catergory 5
Sub Catergory 6</t>
  </si>
  <si>
    <t>Sub Catergory 7
Sub Catergory 8
Sub Catergory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</si>
</sst>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theme="8"/>
      </patternFill>
    </fill>
    <fill>
      <patternFill patternType="solid">
        <fgColor rgb="FF7030A0"/>
        <bgColor theme="4"/>
      </patternFill>
    </fill>
    <fill>
      <patternFill patternType="solid">
        <fgColor rgb="FFFFFF00"/>
        <bgColor theme="4"/>
      </patternFill>
    </fill>
    <fill>
      <patternFill patternType="solid">
        <fgColor rgb="FF80808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Protection="1">
      <protection locked="0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vertical="center" wrapText="1"/>
    </xf>
    <xf numFmtId="0" fontId="0" fillId="2" borderId="5" xfId="0" applyFill="1" applyBorder="1" applyAlignment="1">
      <alignment wrapText="1"/>
    </xf>
    <xf numFmtId="0" fontId="0" fillId="0" borderId="6" xfId="0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5" borderId="0" xfId="0" applyFont="1" applyFill="1" applyAlignment="1">
      <alignment horizontal="center"/>
    </xf>
    <xf numFmtId="0" fontId="5" fillId="5" borderId="0" xfId="0" applyFont="1" applyFill="1"/>
    <xf numFmtId="0" fontId="1" fillId="7" borderId="0" xfId="0" applyFont="1" applyFill="1" applyAlignment="1">
      <alignment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0" fontId="8" fillId="9" borderId="9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12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vertical="center" wrapText="1"/>
    </xf>
    <xf numFmtId="0" fontId="4" fillId="12" borderId="0" xfId="0" applyFont="1" applyFill="1" applyAlignment="1">
      <alignment horizontal="left" vertical="center"/>
    </xf>
    <xf numFmtId="0" fontId="8" fillId="7" borderId="0" xfId="0" applyFont="1" applyFill="1" applyAlignment="1">
      <alignment vertical="center" wrapText="1"/>
    </xf>
    <xf numFmtId="0" fontId="0" fillId="8" borderId="13" xfId="0" applyFill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9" fontId="0" fillId="0" borderId="0" xfId="1" applyFont="1"/>
    <xf numFmtId="0" fontId="0" fillId="2" borderId="5" xfId="0" applyFill="1" applyBorder="1" applyAlignment="1">
      <alignment horizontal="center" vertical="center" wrapText="1"/>
    </xf>
    <xf numFmtId="0" fontId="0" fillId="12" borderId="0" xfId="0" applyFill="1"/>
    <xf numFmtId="0" fontId="0" fillId="2" borderId="0" xfId="0" applyFill="1" applyAlignment="1">
      <alignment wrapText="1"/>
    </xf>
    <xf numFmtId="0" fontId="5" fillId="4" borderId="0" xfId="0" applyFont="1" applyFill="1" applyAlignment="1">
      <alignment horizontal="center"/>
    </xf>
    <xf numFmtId="0" fontId="3" fillId="0" borderId="4" xfId="0" applyFont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5" fillId="6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0" xfId="0" applyFont="1" applyFill="1"/>
  </cellXfs>
  <cellStyles count="2">
    <cellStyle name="Normal" xfId="0" builtinId="0"/>
    <cellStyle name="Percent" xfId="1" builtinId="5"/>
  </cellStyles>
  <dxfs count="53">
    <dxf>
      <numFmt numFmtId="0" formatCode="General"/>
      <alignment horizontal="general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808080"/>
        </patternFill>
      </fill>
    </dxf>
    <dxf>
      <fill>
        <patternFill patternType="solid">
          <fgColor indexed="64"/>
          <bgColor rgb="FF808080"/>
        </patternFill>
      </fill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E07388E1-7985-4032-B769-5C322B7618C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3</xdr:row>
          <xdr:rowOff>161925</xdr:rowOff>
        </xdr:from>
        <xdr:to>
          <xdr:col>6</xdr:col>
          <xdr:colOff>0</xdr:colOff>
          <xdr:row>3</xdr:row>
          <xdr:rowOff>628650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Possible Solutions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3</xdr:row>
          <xdr:rowOff>123825</xdr:rowOff>
        </xdr:from>
        <xdr:to>
          <xdr:col>7</xdr:col>
          <xdr:colOff>0</xdr:colOff>
          <xdr:row>3</xdr:row>
          <xdr:rowOff>638175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Organizational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95250</xdr:rowOff>
        </xdr:from>
        <xdr:to>
          <xdr:col>4</xdr:col>
          <xdr:colOff>1704975</xdr:colOff>
          <xdr:row>1</xdr:row>
          <xdr:rowOff>485775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Factors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</xdr:row>
          <xdr:rowOff>47625</xdr:rowOff>
        </xdr:from>
        <xdr:to>
          <xdr:col>7</xdr:col>
          <xdr:colOff>1123950</xdr:colOff>
          <xdr:row>1</xdr:row>
          <xdr:rowOff>485775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Current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66675</xdr:rowOff>
        </xdr:from>
        <xdr:to>
          <xdr:col>4</xdr:col>
          <xdr:colOff>1543050</xdr:colOff>
          <xdr:row>0</xdr:row>
          <xdr:rowOff>542925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Catergories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66675</xdr:rowOff>
        </xdr:from>
        <xdr:to>
          <xdr:col>6</xdr:col>
          <xdr:colOff>9525</xdr:colOff>
          <xdr:row>0</xdr:row>
          <xdr:rowOff>542925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Sub Catergories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39C65B1-301A-4664-8C30-852B8C943832}" name="Table1" displayName="Table1" ref="A7:I17" headerRowDxfId="51" dataDxfId="50" tableBorderDxfId="49">
  <autoFilter ref="A7:I17" xr:uid="{D39C65B1-301A-4664-8C30-852B8C943832}"/>
  <tableColumns count="9">
    <tableColumn id="1" xr3:uid="{E37F10F0-3B28-44D1-909D-56174809CD15}" name="ID" totalsRowLabel="Total" dataDxfId="48" totalsRowDxfId="47">
      <calculatedColumnFormula>A7+1</calculatedColumnFormula>
    </tableColumn>
    <tableColumn id="2" xr3:uid="{AF52C601-054F-4544-8A9F-E4E66B42EAF2}" name="References" dataDxfId="46" totalsRowDxfId="45"/>
    <tableColumn id="3" xr3:uid="{98663B65-2A1B-45B8-9B7B-E5AA992F38ED}" name="Extracts" dataDxfId="44" totalsRowDxfId="43"/>
    <tableColumn id="4" xr3:uid="{32D4F5A3-434E-41A7-B4FE-8A0A4DDD0E9A}" name="Facts" dataDxfId="42" totalsRowDxfId="41"/>
    <tableColumn id="5" xr3:uid="{58B8B5D6-2CE4-4032-B24A-E79E6D6499FC}" name="Factors" dataDxfId="40" totalsRowDxfId="39"/>
    <tableColumn id="6" xr3:uid="{4CBF119E-EA62-4897-BA19-B5277A113CD7}" name="Groups" dataDxfId="38" totalsRowDxfId="37"/>
    <tableColumn id="7" xr3:uid="{9245D754-1CF3-4F33-A9FD-11B36365C483}" name="Sub Groups" dataDxfId="36" totalsRowDxfId="35"/>
    <tableColumn id="8" xr3:uid="{1E1314C4-1724-4F46-B5BA-BB850A2B3061}" name="Notes/Additional" dataDxfId="34" totalsRowDxfId="33"/>
    <tableColumn id="9" xr3:uid="{9BABA224-03F1-4C2F-A655-FAAFE66B6540}" name="Glossary Check" totalsRowFunction="count" dataDxfId="32" totalsRowDxfId="31">
      <calculatedColumnFormula>CheckGlossary($E8, Table2[Factors])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57346A-8157-4AB7-BA24-95DEAB55C7E0}" name="Table2" displayName="Table2" ref="A5:C15" totalsRowCount="1" headerRowDxfId="30" dataDxfId="29">
  <autoFilter ref="A5:C14" xr:uid="{F557346A-8157-4AB7-BA24-95DEAB55C7E0}"/>
  <sortState xmlns:xlrd2="http://schemas.microsoft.com/office/spreadsheetml/2017/richdata2" ref="A6:C6">
    <sortCondition ref="A5:A6"/>
  </sortState>
  <tableColumns count="3">
    <tableColumn id="1" xr3:uid="{A62D73FD-7276-4F2D-9085-D203977C73C4}" name="Factors" totalsRowLabel="Total" dataDxfId="28" totalsRowDxfId="27"/>
    <tableColumn id="4" xr3:uid="{CEE9EB9B-E91C-41C5-A782-3045000D3D4D}" name="Groups"/>
    <tableColumn id="2" xr3:uid="{4D87C797-9AF2-4A53-B9A2-1F9D701C9272}" name="Sub Groups" totalsRowFunction="count" dataDxfId="26" totalsRow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4EFC92-3300-4F45-A64E-D2ABBD972040}" name="Table3" displayName="Table3" ref="E5:E15" totalsRowCount="1" headerRowDxfId="24" totalsRowDxfId="23">
  <autoFilter ref="E5:E14" xr:uid="{564EFC92-3300-4F45-A64E-D2ABBD972040}"/>
  <tableColumns count="1">
    <tableColumn id="1" xr3:uid="{484E5B82-363C-4245-9DEE-C2DF5DAAB66B}" name="Factors that Need to be added" totalsRowLabel="Total Rows: 9" totalsRow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1F6413-E688-439B-ACCD-82F7D0B9CBF0}" name="Table4" displayName="Table4" ref="G5:H9" totalsRowCount="1" headerRowDxfId="21" dataDxfId="20" totalsRowDxfId="19">
  <autoFilter ref="G5:H8" xr:uid="{071F6413-E688-439B-ACCD-82F7D0B9CBF0}"/>
  <sortState xmlns:xlrd2="http://schemas.microsoft.com/office/spreadsheetml/2017/richdata2" ref="G4:G5">
    <sortCondition ref="G5"/>
  </sortState>
  <tableColumns count="2">
    <tableColumn id="1" xr3:uid="{D404CA30-2006-4947-A67D-31137D4C5B75}" name="Current Groups" totalsRowLabel="Total Rows:" dataDxfId="18" totalsRowDxfId="17"/>
    <tableColumn id="2" xr3:uid="{228C32B8-1BC6-4762-A315-581DB8260629}" name="Current Sub Group" totalsRowLabel="3" dataDxfId="16" totalsRow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A77055-C259-414B-BB36-D21754969C94}" name="table5" displayName="table5" ref="A4:C14" totalsRowCount="1" headerRowDxfId="14" dataDxfId="13">
  <autoFilter ref="A4:C13" xr:uid="{88A77055-C259-414B-BB36-D21754969C94}"/>
  <sortState xmlns:xlrd2="http://schemas.microsoft.com/office/spreadsheetml/2017/richdata2" ref="A5:C13">
    <sortCondition ref="A4:A13"/>
  </sortState>
  <tableColumns count="3">
    <tableColumn id="1" xr3:uid="{0C4B0DBE-4A73-4192-B377-7DA531385DE2}" name="Factor" totalsRowLabel="Total" totalsRowDxfId="12">
      <calculatedColumnFormula>Glossary!A6</calculatedColumnFormula>
    </tableColumn>
    <tableColumn id="2" xr3:uid="{3E208449-6526-44CF-AC59-CB9429924362}" name="Catergories" dataDxfId="11"/>
    <tableColumn id="3" xr3:uid="{0C1310BA-D048-4003-820D-563F24B1B8D2}" name="Sub Catergories" totalsRowFunction="count" dataDxfId="10" totalsRow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9CF538-C3D7-4737-A223-A0DBD291B3C6}" name="Table6" displayName="Table6" ref="A4:G14" totalsRowShown="0" headerRowDxfId="8" dataDxfId="7">
  <autoFilter ref="A4:G14" xr:uid="{F79CF538-C3D7-4737-A223-A0DBD291B3C6}"/>
  <tableColumns count="7">
    <tableColumn id="1" xr3:uid="{D1D6EA50-9BC1-4A54-BECD-39796F25EBD7}" name="ID" dataDxfId="6">
      <calculatedColumnFormula>'Thematic Analysis'!#REF!</calculatedColumnFormula>
    </tableColumn>
    <tableColumn id="2" xr3:uid="{E24CE3CC-B4B6-4C4F-90E7-295304758DF1}" name="Factors" dataDxfId="5">
      <calculatedColumnFormula>'Thematic Analysis'!E8</calculatedColumnFormula>
    </tableColumn>
    <tableColumn id="7" xr3:uid="{922643FC-B475-48C8-895E-24816DC8ADB8}" name="Groups" dataDxfId="4">
      <calculatedColumnFormula>'Thematic Analysis'!F8</calculatedColumnFormula>
    </tableColumn>
    <tableColumn id="3" xr3:uid="{DDA15557-5AE9-4190-B274-0F309E7E6249}" name="Sub Groups" dataDxfId="3">
      <calculatedColumnFormula>'Thematic Analysis'!G8</calculatedColumnFormula>
    </tableColumn>
    <tableColumn id="4" xr3:uid="{8317CC99-47AA-4512-9B48-6638EFE433BC}" name="Catergories" dataDxfId="2"/>
    <tableColumn id="5" xr3:uid="{CFDDE1F2-4EBC-4AF6-BED1-F881894AC077}" name="Sub Catergories" dataDxfId="1"/>
    <tableColumn id="6" xr3:uid="{75D8CE58-185C-4867-8B65-8D04627A39E7}" name="Extracts" dataDxfId="0">
      <calculatedColumnFormula>'Thematic Analysis'!$D8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C459C-A083-4527-B8BB-8A56CA8A4044}" name="Table9" displayName="Table9" ref="A3:D8" totalsRowShown="0">
  <autoFilter ref="A3:D8" xr:uid="{CBDC459C-A083-4527-B8BB-8A56CA8A4044}"/>
  <sortState xmlns:xlrd2="http://schemas.microsoft.com/office/spreadsheetml/2017/richdata2" ref="A4:D8">
    <sortCondition ref="A6:A11"/>
  </sortState>
  <tableColumns count="4">
    <tableColumn id="2" xr3:uid="{C7D5D14E-EB5B-40CA-ADBA-51697103BB72}" name="Min" dataCellStyle="Percent"/>
    <tableColumn id="3" xr3:uid="{E7AB9ECE-6585-47F2-85E1-A9AE035F6340}" name="Max" dataCellStyle="Percent"/>
    <tableColumn id="1" xr3:uid="{F2C40BA5-DBD9-4BB0-9919-3E96842EFA3F}" name="Decriptor"/>
    <tableColumn id="4" xr3:uid="{09732987-1F22-4ACE-BDCC-44EA8E811B15}" name="Defini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3"/>
  <sheetViews>
    <sheetView tabSelected="1" topLeftCell="C1" zoomScale="50" zoomScaleNormal="50" workbookViewId="0">
      <pane ySplit="7" topLeftCell="A8" activePane="bottomLeft" state="frozen"/>
      <selection pane="bottomLeft" activeCell="C3" sqref="C3:F3"/>
    </sheetView>
  </sheetViews>
  <sheetFormatPr defaultRowHeight="15" x14ac:dyDescent="0.25"/>
  <cols>
    <col min="1" max="1" width="17.85546875" style="2" customWidth="1"/>
    <col min="2" max="2" width="28.42578125" customWidth="1"/>
    <col min="3" max="3" width="80.140625" bestFit="1" customWidth="1"/>
    <col min="4" max="4" width="49.7109375" customWidth="1"/>
    <col min="5" max="5" width="45.5703125" customWidth="1"/>
    <col min="6" max="6" width="41.85546875" customWidth="1"/>
    <col min="7" max="7" width="51.28515625" customWidth="1"/>
    <col min="8" max="8" width="21.42578125" customWidth="1"/>
    <col min="9" max="9" width="33.7109375" customWidth="1"/>
    <col min="10" max="10" width="20.28515625" customWidth="1"/>
  </cols>
  <sheetData>
    <row r="1" spans="1:9" ht="15" customHeight="1" thickBot="1" x14ac:dyDescent="0.35">
      <c r="C1" s="46" t="s">
        <v>0</v>
      </c>
      <c r="D1" s="46"/>
      <c r="E1" s="46"/>
      <c r="F1" s="46"/>
      <c r="I1" s="2"/>
    </row>
    <row r="2" spans="1:9" ht="19.5" thickBot="1" x14ac:dyDescent="0.35">
      <c r="C2" s="42" t="s">
        <v>1</v>
      </c>
      <c r="D2" s="42"/>
      <c r="E2" s="42"/>
      <c r="F2" s="42"/>
      <c r="I2" s="36" t="s">
        <v>31</v>
      </c>
    </row>
    <row r="3" spans="1:9" ht="30.75" customHeight="1" thickBot="1" x14ac:dyDescent="0.3">
      <c r="A3" s="14" t="s">
        <v>11</v>
      </c>
      <c r="C3" s="43"/>
      <c r="D3" s="44"/>
      <c r="E3" s="44"/>
      <c r="F3" s="45"/>
      <c r="I3" s="35">
        <f>ROWS(Table1[])-1</f>
        <v>9</v>
      </c>
    </row>
    <row r="4" spans="1:9" ht="57.75" customHeight="1" x14ac:dyDescent="0.25">
      <c r="I4" s="2"/>
    </row>
    <row r="5" spans="1:9" x14ac:dyDescent="0.25">
      <c r="A5" s="41" t="s">
        <v>10</v>
      </c>
      <c r="B5" s="41"/>
      <c r="C5" s="41"/>
      <c r="D5" s="41"/>
      <c r="E5" s="41"/>
      <c r="F5" s="41"/>
      <c r="G5" s="41"/>
      <c r="H5" s="41"/>
      <c r="I5" s="41"/>
    </row>
    <row r="6" spans="1:9" x14ac:dyDescent="0.25">
      <c r="A6" s="9"/>
      <c r="B6" s="9"/>
      <c r="C6" s="9"/>
      <c r="D6" s="9"/>
      <c r="E6" s="25" t="s">
        <v>4</v>
      </c>
      <c r="F6" s="26" t="s">
        <v>3</v>
      </c>
      <c r="G6" s="25" t="s">
        <v>9</v>
      </c>
      <c r="H6" s="9"/>
      <c r="I6" s="9"/>
    </row>
    <row r="7" spans="1:9" s="6" customFormat="1" x14ac:dyDescent="0.25">
      <c r="A7" s="11" t="s">
        <v>7</v>
      </c>
      <c r="B7" s="11" t="s">
        <v>25</v>
      </c>
      <c r="C7" s="12" t="s">
        <v>24</v>
      </c>
      <c r="D7" s="12" t="s">
        <v>8</v>
      </c>
      <c r="E7" s="12" t="s">
        <v>15</v>
      </c>
      <c r="F7" s="13" t="s">
        <v>16</v>
      </c>
      <c r="G7" s="12" t="s">
        <v>17</v>
      </c>
      <c r="H7" s="13" t="s">
        <v>2</v>
      </c>
      <c r="I7" s="13" t="s">
        <v>12</v>
      </c>
    </row>
    <row r="8" spans="1:9" ht="45" x14ac:dyDescent="0.25">
      <c r="A8" s="15">
        <v>1</v>
      </c>
      <c r="B8" s="16" t="s">
        <v>47</v>
      </c>
      <c r="C8" s="16" t="s">
        <v>48</v>
      </c>
      <c r="D8" s="16" t="s">
        <v>49</v>
      </c>
      <c r="E8" s="38" t="s">
        <v>89</v>
      </c>
      <c r="F8" s="7" t="s">
        <v>107</v>
      </c>
      <c r="G8" s="18" t="s">
        <v>110</v>
      </c>
      <c r="H8" s="40" t="s">
        <v>51</v>
      </c>
      <c r="I8" s="7" t="str">
        <f>CheckGlossary($E8, Table2[Factors])</f>
        <v>In Glossary
In Glossary
In Glossary</v>
      </c>
    </row>
    <row r="9" spans="1:9" ht="45" x14ac:dyDescent="0.25">
      <c r="A9" s="15">
        <f>A8+1</f>
        <v>2</v>
      </c>
      <c r="B9" s="16" t="s">
        <v>61</v>
      </c>
      <c r="C9" s="16" t="s">
        <v>70</v>
      </c>
      <c r="D9" s="16" t="s">
        <v>79</v>
      </c>
      <c r="E9" s="38" t="s">
        <v>89</v>
      </c>
      <c r="F9" s="7" t="s">
        <v>107</v>
      </c>
      <c r="G9" s="7" t="s">
        <v>110</v>
      </c>
      <c r="H9" s="17" t="s">
        <v>52</v>
      </c>
      <c r="I9" s="7" t="str">
        <f>CheckGlossary($E9, Table2[Factors])</f>
        <v>In Glossary
In Glossary
In Glossary</v>
      </c>
    </row>
    <row r="10" spans="1:9" ht="45" x14ac:dyDescent="0.25">
      <c r="A10" s="15">
        <f t="shared" ref="A10:A17" si="0">A9+1</f>
        <v>3</v>
      </c>
      <c r="B10" s="16" t="s">
        <v>62</v>
      </c>
      <c r="C10" s="16" t="s">
        <v>71</v>
      </c>
      <c r="D10" s="16" t="s">
        <v>80</v>
      </c>
      <c r="E10" s="38" t="s">
        <v>91</v>
      </c>
      <c r="F10" s="7" t="s">
        <v>108</v>
      </c>
      <c r="G10" s="7" t="s">
        <v>111</v>
      </c>
      <c r="H10" s="17" t="s">
        <v>53</v>
      </c>
      <c r="I10" s="7" t="str">
        <f>CheckGlossary($E10, Table2[Factors])</f>
        <v>In Glossary
In Glossary
In Glossary</v>
      </c>
    </row>
    <row r="11" spans="1:9" ht="45" x14ac:dyDescent="0.25">
      <c r="A11" s="15">
        <f t="shared" si="0"/>
        <v>4</v>
      </c>
      <c r="B11" s="16" t="s">
        <v>63</v>
      </c>
      <c r="C11" s="16" t="s">
        <v>72</v>
      </c>
      <c r="D11" s="16" t="s">
        <v>81</v>
      </c>
      <c r="E11" s="38" t="s">
        <v>91</v>
      </c>
      <c r="F11" s="7" t="s">
        <v>108</v>
      </c>
      <c r="G11" s="7" t="s">
        <v>111</v>
      </c>
      <c r="H11" s="17" t="s">
        <v>54</v>
      </c>
      <c r="I11" s="7" t="str">
        <f>CheckGlossary($E11, Table2[Factors])</f>
        <v>In Glossary
In Glossary
In Glossary</v>
      </c>
    </row>
    <row r="12" spans="1:9" ht="45" customHeight="1" x14ac:dyDescent="0.25">
      <c r="A12" s="15">
        <f t="shared" si="0"/>
        <v>5</v>
      </c>
      <c r="B12" s="16" t="s">
        <v>64</v>
      </c>
      <c r="C12" s="16" t="s">
        <v>73</v>
      </c>
      <c r="D12" s="16" t="s">
        <v>82</v>
      </c>
      <c r="E12" s="38" t="s">
        <v>92</v>
      </c>
      <c r="F12" s="7" t="s">
        <v>109</v>
      </c>
      <c r="G12" s="7" t="s">
        <v>112</v>
      </c>
      <c r="H12" s="17" t="s">
        <v>55</v>
      </c>
      <c r="I12" s="7" t="str">
        <f>CheckGlossary($E12, Table2[Factors])</f>
        <v>In Glossary
In Glossary
In Glossary</v>
      </c>
    </row>
    <row r="13" spans="1:9" ht="45" x14ac:dyDescent="0.25">
      <c r="A13" s="15">
        <f t="shared" si="0"/>
        <v>6</v>
      </c>
      <c r="B13" s="16" t="s">
        <v>65</v>
      </c>
      <c r="C13" s="16" t="s">
        <v>74</v>
      </c>
      <c r="D13" s="16" t="s">
        <v>83</v>
      </c>
      <c r="E13" s="38" t="s">
        <v>92</v>
      </c>
      <c r="F13" s="7" t="s">
        <v>109</v>
      </c>
      <c r="G13" s="7" t="s">
        <v>112</v>
      </c>
      <c r="H13" s="17" t="s">
        <v>56</v>
      </c>
      <c r="I13" s="7" t="str">
        <f>CheckGlossary($E13, Table2[Factors])</f>
        <v>In Glossary
In Glossary
In Glossary</v>
      </c>
    </row>
    <row r="14" spans="1:9" ht="45" x14ac:dyDescent="0.25">
      <c r="A14" s="15">
        <f t="shared" si="0"/>
        <v>7</v>
      </c>
      <c r="B14" s="16" t="s">
        <v>66</v>
      </c>
      <c r="C14" s="16" t="s">
        <v>75</v>
      </c>
      <c r="D14" s="16" t="s">
        <v>84</v>
      </c>
      <c r="E14" s="38" t="s">
        <v>89</v>
      </c>
      <c r="F14" s="7" t="s">
        <v>107</v>
      </c>
      <c r="G14" s="7" t="s">
        <v>110</v>
      </c>
      <c r="H14" s="17" t="s">
        <v>57</v>
      </c>
      <c r="I14" s="7" t="str">
        <f>CheckGlossary($E14, Table2[Factors])</f>
        <v>In Glossary
In Glossary
In Glossary</v>
      </c>
    </row>
    <row r="15" spans="1:9" ht="45" x14ac:dyDescent="0.25">
      <c r="A15" s="15">
        <f t="shared" si="0"/>
        <v>8</v>
      </c>
      <c r="B15" s="16" t="s">
        <v>67</v>
      </c>
      <c r="C15" s="16" t="s">
        <v>76</v>
      </c>
      <c r="D15" s="16" t="s">
        <v>85</v>
      </c>
      <c r="E15" s="38" t="s">
        <v>91</v>
      </c>
      <c r="F15" s="7" t="s">
        <v>108</v>
      </c>
      <c r="G15" s="7" t="s">
        <v>111</v>
      </c>
      <c r="H15" s="17" t="s">
        <v>58</v>
      </c>
      <c r="I15" s="7" t="str">
        <f>CheckGlossary($E15, Table2[Factors])</f>
        <v>In Glossary
In Glossary
In Glossary</v>
      </c>
    </row>
    <row r="16" spans="1:9" ht="45" x14ac:dyDescent="0.25">
      <c r="A16" s="15">
        <f t="shared" si="0"/>
        <v>9</v>
      </c>
      <c r="B16" s="16" t="s">
        <v>68</v>
      </c>
      <c r="C16" s="16" t="s">
        <v>77</v>
      </c>
      <c r="D16" s="16" t="s">
        <v>86</v>
      </c>
      <c r="E16" s="38" t="s">
        <v>91</v>
      </c>
      <c r="F16" s="7" t="s">
        <v>108</v>
      </c>
      <c r="G16" s="7" t="s">
        <v>111</v>
      </c>
      <c r="H16" s="17" t="s">
        <v>59</v>
      </c>
      <c r="I16" s="7" t="str">
        <f>CheckGlossary($E16, Table2[Factors])</f>
        <v>In Glossary
In Glossary
In Glossary</v>
      </c>
    </row>
    <row r="17" spans="1:9" ht="45" x14ac:dyDescent="0.25">
      <c r="A17" s="15">
        <f t="shared" si="0"/>
        <v>10</v>
      </c>
      <c r="B17" s="16" t="s">
        <v>69</v>
      </c>
      <c r="C17" s="16" t="s">
        <v>78</v>
      </c>
      <c r="D17" s="16" t="s">
        <v>87</v>
      </c>
      <c r="E17" s="38" t="s">
        <v>92</v>
      </c>
      <c r="F17" s="7" t="s">
        <v>109</v>
      </c>
      <c r="G17" s="7" t="s">
        <v>112</v>
      </c>
      <c r="H17" s="17" t="s">
        <v>60</v>
      </c>
      <c r="I17" s="7" t="str">
        <f>CheckGlossary($E17, Table2[Factors])</f>
        <v>In Glossary
In Glossary
In Glossary</v>
      </c>
    </row>
    <row r="18" spans="1:9" x14ac:dyDescent="0.25">
      <c r="B18" s="1"/>
      <c r="C18" s="1"/>
      <c r="D18" s="1"/>
      <c r="E18" s="1"/>
      <c r="F18" s="1"/>
      <c r="G18" s="1"/>
      <c r="H18" s="4"/>
    </row>
    <row r="19" spans="1:9" x14ac:dyDescent="0.25">
      <c r="B19" s="1"/>
      <c r="C19" s="1"/>
      <c r="D19" s="1"/>
      <c r="E19" s="1"/>
      <c r="F19" s="1"/>
      <c r="G19" s="1"/>
      <c r="H19" s="4"/>
    </row>
    <row r="20" spans="1:9" x14ac:dyDescent="0.25">
      <c r="B20" s="1"/>
      <c r="C20" s="1"/>
      <c r="D20" s="1"/>
      <c r="E20" s="1"/>
      <c r="F20" s="1"/>
      <c r="G20" s="1"/>
    </row>
    <row r="21" spans="1:9" x14ac:dyDescent="0.25">
      <c r="B21" s="1"/>
      <c r="C21" s="1"/>
      <c r="D21" s="1"/>
      <c r="E21" s="1"/>
      <c r="F21" s="1"/>
      <c r="G21" s="1"/>
    </row>
    <row r="22" spans="1:9" x14ac:dyDescent="0.25">
      <c r="B22" s="1"/>
      <c r="C22" s="1"/>
      <c r="D22" s="1"/>
      <c r="E22" s="1"/>
      <c r="F22" s="1"/>
      <c r="G22" s="1"/>
    </row>
    <row r="23" spans="1:9" x14ac:dyDescent="0.25">
      <c r="B23" s="1"/>
      <c r="C23" s="1"/>
      <c r="D23" s="1"/>
      <c r="E23" s="1"/>
      <c r="F23" s="1"/>
      <c r="G23" s="1"/>
    </row>
    <row r="24" spans="1:9" x14ac:dyDescent="0.25">
      <c r="B24" s="1"/>
      <c r="C24" s="1"/>
      <c r="D24" s="1"/>
      <c r="E24" s="1"/>
      <c r="F24" s="1"/>
      <c r="G24" s="1"/>
    </row>
    <row r="25" spans="1:9" x14ac:dyDescent="0.25">
      <c r="B25" s="1"/>
      <c r="C25" s="1"/>
      <c r="D25" s="1"/>
      <c r="E25" s="1"/>
      <c r="F25" s="1"/>
      <c r="G25" s="1"/>
    </row>
    <row r="26" spans="1:9" x14ac:dyDescent="0.25">
      <c r="B26" s="1"/>
      <c r="C26" s="1"/>
      <c r="D26" s="1"/>
      <c r="E26" s="1"/>
      <c r="F26" s="1"/>
      <c r="G26" s="1"/>
    </row>
    <row r="27" spans="1:9" x14ac:dyDescent="0.25">
      <c r="B27" s="1"/>
      <c r="C27" s="1"/>
      <c r="D27" s="1"/>
      <c r="E27" s="1"/>
      <c r="F27" s="1"/>
      <c r="G27" s="1"/>
    </row>
    <row r="28" spans="1:9" x14ac:dyDescent="0.25">
      <c r="B28" s="1"/>
      <c r="C28" s="1"/>
      <c r="D28" s="1"/>
      <c r="E28" s="1"/>
      <c r="F28" s="1"/>
      <c r="G28" s="1"/>
    </row>
    <row r="29" spans="1:9" x14ac:dyDescent="0.25">
      <c r="B29" s="1"/>
      <c r="C29" s="1"/>
      <c r="D29" s="1"/>
      <c r="E29" s="1"/>
      <c r="F29" s="1"/>
      <c r="G29" s="1"/>
    </row>
    <row r="30" spans="1:9" x14ac:dyDescent="0.25">
      <c r="B30" s="1"/>
      <c r="C30" s="1"/>
      <c r="D30" s="1"/>
      <c r="E30" s="1"/>
      <c r="F30" s="1"/>
      <c r="G30" s="1"/>
    </row>
    <row r="31" spans="1:9" x14ac:dyDescent="0.25">
      <c r="B31" s="1"/>
      <c r="C31" s="1"/>
      <c r="D31" s="1"/>
      <c r="E31" s="1"/>
      <c r="F31" s="1"/>
      <c r="G31" s="1"/>
    </row>
    <row r="32" spans="1:9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5"/>
      <c r="C987" s="5"/>
      <c r="D987" s="5"/>
      <c r="E987" s="5"/>
      <c r="F987" s="5"/>
      <c r="G987" s="5"/>
    </row>
    <row r="988" spans="2:7" x14ac:dyDescent="0.25">
      <c r="B988" s="5"/>
      <c r="C988" s="5"/>
      <c r="D988" s="5"/>
      <c r="E988" s="5"/>
      <c r="F988" s="5"/>
      <c r="G988" s="5"/>
    </row>
    <row r="989" spans="2:7" x14ac:dyDescent="0.25">
      <c r="B989" s="5"/>
      <c r="C989" s="5"/>
      <c r="D989" s="5"/>
      <c r="E989" s="5"/>
      <c r="F989" s="5"/>
      <c r="G989" s="5"/>
    </row>
    <row r="990" spans="2:7" x14ac:dyDescent="0.25">
      <c r="B990" s="5"/>
      <c r="C990" s="5"/>
      <c r="D990" s="5"/>
      <c r="E990" s="5"/>
      <c r="F990" s="5"/>
      <c r="G990" s="5"/>
    </row>
    <row r="991" spans="2:7" x14ac:dyDescent="0.25">
      <c r="B991" s="5"/>
      <c r="C991" s="5"/>
      <c r="D991" s="5"/>
      <c r="E991" s="5"/>
      <c r="F991" s="5"/>
      <c r="G991" s="5"/>
    </row>
    <row r="992" spans="2:7" x14ac:dyDescent="0.25">
      <c r="B992" s="5"/>
      <c r="C992" s="5"/>
      <c r="D992" s="5"/>
      <c r="E992" s="5"/>
      <c r="F992" s="5"/>
      <c r="G992" s="5"/>
    </row>
    <row r="993" spans="2:7" x14ac:dyDescent="0.25">
      <c r="B993" s="5"/>
      <c r="C993" s="5"/>
      <c r="D993" s="5"/>
      <c r="E993" s="5"/>
      <c r="F993" s="5"/>
      <c r="G993" s="5"/>
    </row>
    <row r="994" spans="2:7" x14ac:dyDescent="0.25">
      <c r="B994" s="5"/>
      <c r="C994" s="5"/>
      <c r="D994" s="5"/>
      <c r="E994" s="5"/>
      <c r="F994" s="5"/>
      <c r="G994" s="5"/>
    </row>
    <row r="995" spans="2:7" x14ac:dyDescent="0.25">
      <c r="B995" s="5"/>
      <c r="C995" s="5"/>
      <c r="D995" s="5"/>
      <c r="E995" s="5"/>
      <c r="F995" s="5"/>
      <c r="G995" s="5"/>
    </row>
    <row r="996" spans="2:7" x14ac:dyDescent="0.25">
      <c r="B996" s="5"/>
      <c r="C996" s="5"/>
      <c r="D996" s="5"/>
      <c r="E996" s="5"/>
      <c r="F996" s="5"/>
      <c r="G996" s="5"/>
    </row>
    <row r="997" spans="2:7" x14ac:dyDescent="0.25">
      <c r="B997" s="5"/>
      <c r="C997" s="5"/>
      <c r="D997" s="5"/>
      <c r="E997" s="5"/>
      <c r="F997" s="5"/>
      <c r="G997" s="5"/>
    </row>
    <row r="998" spans="2:7" x14ac:dyDescent="0.25">
      <c r="B998" s="5"/>
      <c r="C998" s="5"/>
      <c r="D998" s="5"/>
      <c r="E998" s="5"/>
      <c r="F998" s="5"/>
      <c r="G998" s="5"/>
    </row>
    <row r="999" spans="2:7" x14ac:dyDescent="0.25">
      <c r="B999" s="5"/>
      <c r="C999" s="5"/>
      <c r="D999" s="5"/>
      <c r="E999" s="5"/>
      <c r="F999" s="5"/>
      <c r="G999" s="5"/>
    </row>
    <row r="1000" spans="2:7" x14ac:dyDescent="0.25">
      <c r="B1000" s="5"/>
      <c r="C1000" s="5"/>
      <c r="D1000" s="5"/>
      <c r="E1000" s="5"/>
      <c r="F1000" s="5"/>
      <c r="G1000" s="5"/>
    </row>
    <row r="1001" spans="2:7" x14ac:dyDescent="0.25">
      <c r="B1001" s="5"/>
      <c r="C1001" s="5"/>
      <c r="D1001" s="5"/>
      <c r="E1001" s="5"/>
      <c r="F1001" s="5"/>
      <c r="G1001" s="5"/>
    </row>
    <row r="1002" spans="2:7" x14ac:dyDescent="0.25">
      <c r="B1002" s="5"/>
      <c r="C1002" s="5"/>
      <c r="D1002" s="5"/>
      <c r="E1002" s="5"/>
      <c r="F1002" s="5"/>
      <c r="G1002" s="5"/>
    </row>
    <row r="1003" spans="2:7" x14ac:dyDescent="0.25">
      <c r="B1003" s="5"/>
      <c r="C1003" s="5"/>
      <c r="D1003" s="5"/>
      <c r="E1003" s="5"/>
      <c r="F1003" s="5"/>
      <c r="G1003" s="5"/>
    </row>
    <row r="1004" spans="2:7" x14ac:dyDescent="0.25">
      <c r="B1004" s="5"/>
      <c r="C1004" s="5"/>
      <c r="D1004" s="5"/>
      <c r="E1004" s="5"/>
      <c r="F1004" s="5"/>
      <c r="G1004" s="5"/>
    </row>
    <row r="1005" spans="2:7" x14ac:dyDescent="0.25">
      <c r="B1005" s="5"/>
      <c r="C1005" s="5"/>
      <c r="D1005" s="5"/>
      <c r="E1005" s="5"/>
      <c r="F1005" s="5"/>
      <c r="G1005" s="5"/>
    </row>
    <row r="1006" spans="2:7" x14ac:dyDescent="0.25">
      <c r="B1006" s="5"/>
      <c r="C1006" s="5"/>
      <c r="D1006" s="5"/>
      <c r="E1006" s="5"/>
      <c r="F1006" s="5"/>
      <c r="G1006" s="5"/>
    </row>
    <row r="1007" spans="2:7" x14ac:dyDescent="0.25">
      <c r="B1007" s="5"/>
      <c r="C1007" s="5"/>
      <c r="D1007" s="5"/>
      <c r="E1007" s="5"/>
      <c r="F1007" s="5"/>
      <c r="G1007" s="5"/>
    </row>
    <row r="1008" spans="2:7" x14ac:dyDescent="0.25">
      <c r="B1008" s="5"/>
      <c r="C1008" s="5"/>
      <c r="D1008" s="5"/>
      <c r="E1008" s="5"/>
      <c r="F1008" s="5"/>
      <c r="G1008" s="5"/>
    </row>
    <row r="1009" spans="2:7" x14ac:dyDescent="0.25">
      <c r="B1009" s="5"/>
      <c r="C1009" s="5"/>
      <c r="D1009" s="5"/>
      <c r="E1009" s="5"/>
      <c r="F1009" s="5"/>
      <c r="G1009" s="5"/>
    </row>
    <row r="1010" spans="2:7" x14ac:dyDescent="0.25">
      <c r="B1010" s="5"/>
      <c r="C1010" s="5"/>
      <c r="D1010" s="5"/>
      <c r="E1010" s="5"/>
      <c r="F1010" s="5"/>
      <c r="G1010" s="5"/>
    </row>
    <row r="1011" spans="2:7" x14ac:dyDescent="0.25">
      <c r="B1011" s="5"/>
      <c r="C1011" s="5"/>
      <c r="D1011" s="5"/>
      <c r="E1011" s="5"/>
      <c r="F1011" s="5"/>
      <c r="G1011" s="5"/>
    </row>
    <row r="1012" spans="2:7" x14ac:dyDescent="0.25">
      <c r="B1012" s="5"/>
      <c r="C1012" s="5"/>
      <c r="D1012" s="5"/>
      <c r="E1012" s="5"/>
      <c r="F1012" s="5"/>
      <c r="G1012" s="5"/>
    </row>
    <row r="1013" spans="2:7" x14ac:dyDescent="0.25">
      <c r="B1013" s="5"/>
      <c r="C1013" s="5"/>
      <c r="D1013" s="5"/>
      <c r="E1013" s="5"/>
      <c r="F1013" s="5"/>
      <c r="G1013" s="5"/>
    </row>
    <row r="1014" spans="2:7" x14ac:dyDescent="0.25">
      <c r="B1014" s="5"/>
      <c r="C1014" s="5"/>
      <c r="D1014" s="5"/>
      <c r="E1014" s="5"/>
      <c r="F1014" s="5"/>
      <c r="G1014" s="5"/>
    </row>
    <row r="1015" spans="2:7" x14ac:dyDescent="0.25">
      <c r="B1015" s="5"/>
      <c r="C1015" s="5"/>
      <c r="D1015" s="5"/>
      <c r="E1015" s="5"/>
      <c r="F1015" s="5"/>
      <c r="G1015" s="5"/>
    </row>
    <row r="1016" spans="2:7" x14ac:dyDescent="0.25">
      <c r="B1016" s="5"/>
      <c r="C1016" s="5"/>
      <c r="D1016" s="5"/>
      <c r="E1016" s="5"/>
      <c r="F1016" s="5"/>
      <c r="G1016" s="5"/>
    </row>
    <row r="1017" spans="2:7" x14ac:dyDescent="0.25">
      <c r="B1017" s="5"/>
      <c r="C1017" s="5"/>
      <c r="D1017" s="5"/>
      <c r="E1017" s="5"/>
      <c r="F1017" s="5"/>
      <c r="G1017" s="5"/>
    </row>
    <row r="1018" spans="2:7" x14ac:dyDescent="0.25">
      <c r="B1018" s="5"/>
      <c r="C1018" s="5"/>
      <c r="D1018" s="5"/>
      <c r="E1018" s="5"/>
      <c r="F1018" s="5"/>
      <c r="G1018" s="5"/>
    </row>
    <row r="1019" spans="2:7" x14ac:dyDescent="0.25">
      <c r="B1019" s="5"/>
      <c r="C1019" s="5"/>
      <c r="D1019" s="5"/>
      <c r="E1019" s="5"/>
      <c r="F1019" s="5"/>
      <c r="G1019" s="5"/>
    </row>
    <row r="1020" spans="2:7" x14ac:dyDescent="0.25">
      <c r="B1020" s="5"/>
      <c r="C1020" s="5"/>
      <c r="D1020" s="5"/>
      <c r="E1020" s="5"/>
      <c r="F1020" s="5"/>
      <c r="G1020" s="5"/>
    </row>
    <row r="1021" spans="2:7" x14ac:dyDescent="0.25">
      <c r="B1021" s="5"/>
      <c r="C1021" s="5"/>
      <c r="D1021" s="5"/>
      <c r="E1021" s="5"/>
      <c r="F1021" s="5"/>
      <c r="G1021" s="5"/>
    </row>
    <row r="1022" spans="2:7" x14ac:dyDescent="0.25">
      <c r="B1022" s="5"/>
      <c r="C1022" s="5"/>
      <c r="D1022" s="5"/>
      <c r="E1022" s="5"/>
      <c r="F1022" s="5"/>
      <c r="G1022" s="5"/>
    </row>
    <row r="1023" spans="2:7" x14ac:dyDescent="0.25">
      <c r="B1023" s="5"/>
      <c r="C1023" s="5"/>
      <c r="D1023" s="5"/>
      <c r="E1023" s="5"/>
      <c r="F1023" s="5"/>
      <c r="G1023" s="5"/>
    </row>
    <row r="1024" spans="2:7" x14ac:dyDescent="0.25">
      <c r="B1024" s="5"/>
      <c r="C1024" s="5"/>
      <c r="D1024" s="5"/>
      <c r="E1024" s="5"/>
      <c r="F1024" s="5"/>
      <c r="G1024" s="5"/>
    </row>
    <row r="1025" spans="2:7" x14ac:dyDescent="0.25">
      <c r="B1025" s="5"/>
      <c r="C1025" s="5"/>
      <c r="D1025" s="5"/>
      <c r="E1025" s="5"/>
      <c r="F1025" s="5"/>
      <c r="G1025" s="5"/>
    </row>
    <row r="1026" spans="2:7" x14ac:dyDescent="0.25">
      <c r="B1026" s="5"/>
      <c r="C1026" s="5"/>
      <c r="D1026" s="5"/>
      <c r="E1026" s="5"/>
      <c r="F1026" s="5"/>
      <c r="G1026" s="5"/>
    </row>
    <row r="1027" spans="2:7" x14ac:dyDescent="0.25">
      <c r="B1027" s="5"/>
      <c r="C1027" s="5"/>
      <c r="D1027" s="5"/>
      <c r="E1027" s="5"/>
      <c r="F1027" s="5"/>
      <c r="G1027" s="5"/>
    </row>
    <row r="1028" spans="2:7" x14ac:dyDescent="0.25">
      <c r="B1028" s="5"/>
      <c r="C1028" s="5"/>
      <c r="D1028" s="5"/>
      <c r="E1028" s="5"/>
      <c r="F1028" s="5"/>
      <c r="G1028" s="5"/>
    </row>
    <row r="1029" spans="2:7" x14ac:dyDescent="0.25">
      <c r="B1029" s="5"/>
      <c r="C1029" s="5"/>
      <c r="D1029" s="5"/>
      <c r="E1029" s="5"/>
      <c r="F1029" s="5"/>
      <c r="G1029" s="5"/>
    </row>
    <row r="1030" spans="2:7" x14ac:dyDescent="0.25">
      <c r="B1030" s="5"/>
      <c r="C1030" s="5"/>
      <c r="D1030" s="5"/>
      <c r="E1030" s="5"/>
      <c r="F1030" s="5"/>
      <c r="G1030" s="5"/>
    </row>
    <row r="1031" spans="2:7" x14ac:dyDescent="0.25">
      <c r="B1031" s="5"/>
      <c r="C1031" s="5"/>
      <c r="D1031" s="5"/>
      <c r="E1031" s="5"/>
      <c r="F1031" s="5"/>
      <c r="G1031" s="5"/>
    </row>
    <row r="1032" spans="2:7" x14ac:dyDescent="0.25">
      <c r="B1032" s="5"/>
      <c r="C1032" s="5"/>
      <c r="D1032" s="5"/>
      <c r="E1032" s="5"/>
      <c r="F1032" s="5"/>
      <c r="G1032" s="5"/>
    </row>
    <row r="1033" spans="2:7" x14ac:dyDescent="0.25">
      <c r="B1033" s="5"/>
      <c r="C1033" s="5"/>
      <c r="D1033" s="5"/>
      <c r="E1033" s="5"/>
      <c r="F1033" s="5"/>
      <c r="G1033" s="5"/>
    </row>
    <row r="1034" spans="2:7" x14ac:dyDescent="0.25">
      <c r="B1034" s="5"/>
      <c r="C1034" s="5"/>
      <c r="D1034" s="5"/>
      <c r="E1034" s="5"/>
      <c r="F1034" s="5"/>
      <c r="G1034" s="5"/>
    </row>
    <row r="1035" spans="2:7" x14ac:dyDescent="0.25">
      <c r="B1035" s="5"/>
      <c r="C1035" s="5"/>
      <c r="D1035" s="5"/>
      <c r="E1035" s="5"/>
      <c r="F1035" s="5"/>
      <c r="G1035" s="5"/>
    </row>
    <row r="1036" spans="2:7" x14ac:dyDescent="0.25">
      <c r="B1036" s="5"/>
      <c r="C1036" s="5"/>
      <c r="D1036" s="5"/>
      <c r="E1036" s="5"/>
      <c r="F1036" s="5"/>
      <c r="G1036" s="5"/>
    </row>
    <row r="1037" spans="2:7" x14ac:dyDescent="0.25">
      <c r="B1037" s="5"/>
      <c r="C1037" s="5"/>
      <c r="D1037" s="5"/>
      <c r="E1037" s="5"/>
      <c r="F1037" s="5"/>
      <c r="G1037" s="5"/>
    </row>
    <row r="1038" spans="2:7" x14ac:dyDescent="0.25">
      <c r="B1038" s="5"/>
      <c r="C1038" s="5"/>
      <c r="D1038" s="5"/>
      <c r="E1038" s="5"/>
      <c r="F1038" s="5"/>
      <c r="G1038" s="5"/>
    </row>
    <row r="1039" spans="2:7" x14ac:dyDescent="0.25">
      <c r="B1039" s="5"/>
      <c r="C1039" s="5"/>
      <c r="D1039" s="5"/>
      <c r="E1039" s="5"/>
      <c r="F1039" s="5"/>
      <c r="G1039" s="5"/>
    </row>
    <row r="1040" spans="2:7" x14ac:dyDescent="0.25">
      <c r="B1040" s="5"/>
      <c r="C1040" s="5"/>
      <c r="D1040" s="5"/>
      <c r="E1040" s="5"/>
      <c r="F1040" s="5"/>
      <c r="G1040" s="5"/>
    </row>
    <row r="1041" spans="2:7" x14ac:dyDescent="0.25">
      <c r="B1041" s="5"/>
      <c r="C1041" s="5"/>
      <c r="D1041" s="5"/>
      <c r="E1041" s="5"/>
      <c r="F1041" s="5"/>
      <c r="G1041" s="5"/>
    </row>
    <row r="1042" spans="2:7" x14ac:dyDescent="0.25">
      <c r="B1042" s="5"/>
      <c r="C1042" s="5"/>
      <c r="D1042" s="5"/>
      <c r="E1042" s="5"/>
      <c r="F1042" s="5"/>
      <c r="G1042" s="5"/>
    </row>
    <row r="1043" spans="2:7" x14ac:dyDescent="0.25">
      <c r="B1043" s="5"/>
      <c r="C1043" s="5"/>
      <c r="D1043" s="5"/>
      <c r="E1043" s="5"/>
      <c r="F1043" s="5"/>
      <c r="G1043" s="5"/>
    </row>
    <row r="1044" spans="2:7" x14ac:dyDescent="0.25">
      <c r="B1044" s="5"/>
      <c r="C1044" s="5"/>
      <c r="D1044" s="5"/>
      <c r="E1044" s="5"/>
      <c r="F1044" s="5"/>
      <c r="G1044" s="5"/>
    </row>
    <row r="1045" spans="2:7" x14ac:dyDescent="0.25">
      <c r="B1045" s="5"/>
      <c r="C1045" s="5"/>
      <c r="D1045" s="5"/>
      <c r="E1045" s="5"/>
      <c r="F1045" s="5"/>
      <c r="G1045" s="5"/>
    </row>
    <row r="1046" spans="2:7" x14ac:dyDescent="0.25">
      <c r="B1046" s="5"/>
      <c r="C1046" s="5"/>
      <c r="D1046" s="5"/>
      <c r="E1046" s="5"/>
      <c r="F1046" s="5"/>
      <c r="G1046" s="5"/>
    </row>
    <row r="1047" spans="2:7" x14ac:dyDescent="0.25">
      <c r="B1047" s="5"/>
      <c r="C1047" s="5"/>
      <c r="D1047" s="5"/>
      <c r="E1047" s="5"/>
      <c r="F1047" s="5"/>
      <c r="G1047" s="5"/>
    </row>
    <row r="1048" spans="2:7" x14ac:dyDescent="0.25">
      <c r="B1048" s="5"/>
      <c r="C1048" s="5"/>
      <c r="D1048" s="5"/>
      <c r="E1048" s="5"/>
      <c r="F1048" s="5"/>
      <c r="G1048" s="5"/>
    </row>
    <row r="1049" spans="2:7" x14ac:dyDescent="0.25">
      <c r="B1049" s="5"/>
      <c r="C1049" s="5"/>
      <c r="D1049" s="5"/>
      <c r="E1049" s="5"/>
      <c r="F1049" s="5"/>
      <c r="G1049" s="5"/>
    </row>
    <row r="1050" spans="2:7" x14ac:dyDescent="0.25">
      <c r="B1050" s="5"/>
      <c r="C1050" s="5"/>
      <c r="D1050" s="5"/>
      <c r="E1050" s="5"/>
      <c r="F1050" s="5"/>
      <c r="G1050" s="5"/>
    </row>
    <row r="1051" spans="2:7" x14ac:dyDescent="0.25">
      <c r="B1051" s="5"/>
      <c r="C1051" s="5"/>
      <c r="D1051" s="5"/>
      <c r="E1051" s="5"/>
      <c r="F1051" s="5"/>
      <c r="G1051" s="5"/>
    </row>
    <row r="1052" spans="2:7" x14ac:dyDescent="0.25">
      <c r="B1052" s="5"/>
      <c r="C1052" s="5"/>
      <c r="D1052" s="5"/>
      <c r="E1052" s="5"/>
      <c r="F1052" s="5"/>
      <c r="G1052" s="5"/>
    </row>
    <row r="1053" spans="2:7" x14ac:dyDescent="0.25">
      <c r="B1053" s="5"/>
      <c r="C1053" s="5"/>
      <c r="D1053" s="5"/>
      <c r="E1053" s="5"/>
      <c r="F1053" s="5"/>
      <c r="G1053" s="5"/>
    </row>
    <row r="1054" spans="2:7" x14ac:dyDescent="0.25">
      <c r="B1054" s="5"/>
      <c r="C1054" s="5"/>
      <c r="D1054" s="5"/>
      <c r="E1054" s="5"/>
      <c r="F1054" s="5"/>
      <c r="G1054" s="5"/>
    </row>
    <row r="1055" spans="2:7" x14ac:dyDescent="0.25">
      <c r="B1055" s="5"/>
      <c r="C1055" s="5"/>
      <c r="D1055" s="5"/>
      <c r="E1055" s="5"/>
      <c r="F1055" s="5"/>
      <c r="G1055" s="5"/>
    </row>
    <row r="1056" spans="2:7" x14ac:dyDescent="0.25">
      <c r="B1056" s="5"/>
      <c r="C1056" s="5"/>
      <c r="D1056" s="5"/>
      <c r="E1056" s="5"/>
      <c r="F1056" s="5"/>
      <c r="G1056" s="5"/>
    </row>
    <row r="1057" spans="2:7" x14ac:dyDescent="0.25">
      <c r="B1057" s="5"/>
      <c r="C1057" s="5"/>
      <c r="D1057" s="5"/>
      <c r="E1057" s="5"/>
      <c r="F1057" s="5"/>
      <c r="G1057" s="5"/>
    </row>
    <row r="1058" spans="2:7" x14ac:dyDescent="0.25">
      <c r="B1058" s="5"/>
      <c r="C1058" s="5"/>
      <c r="D1058" s="5"/>
      <c r="E1058" s="5"/>
      <c r="F1058" s="5"/>
      <c r="G1058" s="5"/>
    </row>
    <row r="1059" spans="2:7" x14ac:dyDescent="0.25">
      <c r="B1059" s="5"/>
      <c r="C1059" s="5"/>
      <c r="D1059" s="5"/>
      <c r="E1059" s="5"/>
      <c r="F1059" s="5"/>
      <c r="G1059" s="5"/>
    </row>
    <row r="1060" spans="2:7" x14ac:dyDescent="0.25">
      <c r="B1060" s="5"/>
      <c r="C1060" s="5"/>
      <c r="D1060" s="5"/>
      <c r="E1060" s="5"/>
      <c r="F1060" s="5"/>
      <c r="G1060" s="5"/>
    </row>
    <row r="1061" spans="2:7" x14ac:dyDescent="0.25">
      <c r="B1061" s="5"/>
      <c r="C1061" s="5"/>
      <c r="D1061" s="5"/>
      <c r="E1061" s="5"/>
      <c r="F1061" s="5"/>
      <c r="G1061" s="5"/>
    </row>
    <row r="1062" spans="2:7" x14ac:dyDescent="0.25">
      <c r="B1062" s="5"/>
      <c r="C1062" s="5"/>
      <c r="D1062" s="5"/>
      <c r="E1062" s="5"/>
      <c r="F1062" s="5"/>
      <c r="G1062" s="5"/>
    </row>
    <row r="1063" spans="2:7" x14ac:dyDescent="0.25">
      <c r="B1063" s="5"/>
      <c r="C1063" s="5"/>
      <c r="D1063" s="5"/>
      <c r="E1063" s="5"/>
      <c r="F1063" s="5"/>
      <c r="G1063" s="5"/>
    </row>
    <row r="1064" spans="2:7" x14ac:dyDescent="0.25">
      <c r="B1064" s="5"/>
      <c r="C1064" s="5"/>
      <c r="D1064" s="5"/>
      <c r="E1064" s="5"/>
      <c r="F1064" s="5"/>
      <c r="G1064" s="5"/>
    </row>
    <row r="1065" spans="2:7" x14ac:dyDescent="0.25">
      <c r="B1065" s="5"/>
      <c r="C1065" s="5"/>
      <c r="D1065" s="5"/>
      <c r="E1065" s="5"/>
      <c r="F1065" s="5"/>
      <c r="G1065" s="5"/>
    </row>
    <row r="1066" spans="2:7" x14ac:dyDescent="0.25">
      <c r="B1066" s="5"/>
      <c r="C1066" s="5"/>
      <c r="D1066" s="5"/>
      <c r="E1066" s="5"/>
      <c r="F1066" s="5"/>
      <c r="G1066" s="5"/>
    </row>
    <row r="1067" spans="2:7" x14ac:dyDescent="0.25">
      <c r="B1067" s="5"/>
      <c r="C1067" s="5"/>
      <c r="D1067" s="5"/>
      <c r="E1067" s="5"/>
      <c r="F1067" s="5"/>
      <c r="G1067" s="5"/>
    </row>
    <row r="1068" spans="2:7" x14ac:dyDescent="0.25">
      <c r="B1068" s="5"/>
      <c r="C1068" s="5"/>
      <c r="D1068" s="5"/>
      <c r="E1068" s="5"/>
      <c r="F1068" s="5"/>
      <c r="G1068" s="5"/>
    </row>
    <row r="1069" spans="2:7" x14ac:dyDescent="0.25">
      <c r="B1069" s="5"/>
      <c r="C1069" s="5"/>
      <c r="D1069" s="5"/>
      <c r="E1069" s="5"/>
      <c r="F1069" s="5"/>
      <c r="G1069" s="5"/>
    </row>
    <row r="1070" spans="2:7" x14ac:dyDescent="0.25">
      <c r="B1070" s="5"/>
      <c r="C1070" s="5"/>
      <c r="D1070" s="5"/>
      <c r="E1070" s="5"/>
      <c r="F1070" s="5"/>
      <c r="G1070" s="5"/>
    </row>
    <row r="1071" spans="2:7" x14ac:dyDescent="0.25">
      <c r="B1071" s="5"/>
      <c r="C1071" s="5"/>
      <c r="D1071" s="5"/>
      <c r="E1071" s="5"/>
      <c r="F1071" s="5"/>
      <c r="G1071" s="5"/>
    </row>
    <row r="1072" spans="2:7" x14ac:dyDescent="0.25">
      <c r="B1072" s="5"/>
      <c r="C1072" s="5"/>
      <c r="D1072" s="5"/>
      <c r="E1072" s="5"/>
      <c r="F1072" s="5"/>
      <c r="G1072" s="5"/>
    </row>
    <row r="1073" spans="2:7" x14ac:dyDescent="0.25">
      <c r="B1073" s="5"/>
      <c r="C1073" s="5"/>
      <c r="D1073" s="5"/>
      <c r="E1073" s="5"/>
      <c r="F1073" s="5"/>
      <c r="G1073" s="5"/>
    </row>
    <row r="1074" spans="2:7" x14ac:dyDescent="0.25">
      <c r="B1074" s="5"/>
      <c r="C1074" s="5"/>
      <c r="D1074" s="5"/>
      <c r="E1074" s="5"/>
      <c r="F1074" s="5"/>
      <c r="G1074" s="5"/>
    </row>
    <row r="1075" spans="2:7" x14ac:dyDescent="0.25">
      <c r="B1075" s="5"/>
      <c r="C1075" s="5"/>
      <c r="D1075" s="5"/>
      <c r="E1075" s="5"/>
      <c r="F1075" s="5"/>
      <c r="G1075" s="5"/>
    </row>
    <row r="1076" spans="2:7" x14ac:dyDescent="0.25">
      <c r="B1076" s="5"/>
      <c r="C1076" s="5"/>
      <c r="D1076" s="5"/>
      <c r="E1076" s="5"/>
      <c r="F1076" s="5"/>
      <c r="G1076" s="5"/>
    </row>
    <row r="1077" spans="2:7" x14ac:dyDescent="0.25">
      <c r="B1077" s="5"/>
      <c r="C1077" s="5"/>
      <c r="D1077" s="5"/>
      <c r="E1077" s="5"/>
      <c r="F1077" s="5"/>
      <c r="G1077" s="5"/>
    </row>
    <row r="1078" spans="2:7" x14ac:dyDescent="0.25">
      <c r="B1078" s="5"/>
      <c r="C1078" s="5"/>
      <c r="D1078" s="5"/>
      <c r="E1078" s="5"/>
      <c r="F1078" s="5"/>
      <c r="G1078" s="5"/>
    </row>
    <row r="1079" spans="2:7" x14ac:dyDescent="0.25">
      <c r="B1079" s="5"/>
      <c r="C1079" s="5"/>
      <c r="D1079" s="5"/>
      <c r="E1079" s="5"/>
      <c r="F1079" s="5"/>
      <c r="G1079" s="5"/>
    </row>
    <row r="1080" spans="2:7" x14ac:dyDescent="0.25">
      <c r="B1080" s="5"/>
      <c r="C1080" s="5"/>
      <c r="D1080" s="5"/>
      <c r="E1080" s="5"/>
      <c r="F1080" s="5"/>
      <c r="G1080" s="5"/>
    </row>
    <row r="1081" spans="2:7" x14ac:dyDescent="0.25">
      <c r="B1081" s="5"/>
      <c r="C1081" s="5"/>
      <c r="D1081" s="5"/>
      <c r="E1081" s="5"/>
      <c r="F1081" s="5"/>
      <c r="G1081" s="5"/>
    </row>
    <row r="1082" spans="2:7" x14ac:dyDescent="0.25">
      <c r="B1082" s="5"/>
      <c r="C1082" s="5"/>
      <c r="D1082" s="5"/>
      <c r="E1082" s="5"/>
      <c r="F1082" s="5"/>
      <c r="G1082" s="5"/>
    </row>
    <row r="1083" spans="2:7" x14ac:dyDescent="0.25">
      <c r="B1083" s="5"/>
      <c r="C1083" s="5"/>
      <c r="D1083" s="5"/>
      <c r="E1083" s="5"/>
      <c r="F1083" s="5"/>
      <c r="G1083" s="5"/>
    </row>
    <row r="1084" spans="2:7" x14ac:dyDescent="0.25">
      <c r="B1084" s="5"/>
      <c r="C1084" s="5"/>
      <c r="D1084" s="5"/>
      <c r="E1084" s="5"/>
      <c r="F1084" s="5"/>
      <c r="G1084" s="5"/>
    </row>
    <row r="1085" spans="2:7" x14ac:dyDescent="0.25">
      <c r="B1085" s="5"/>
      <c r="C1085" s="5"/>
      <c r="D1085" s="5"/>
      <c r="E1085" s="5"/>
      <c r="F1085" s="5"/>
      <c r="G1085" s="5"/>
    </row>
    <row r="1086" spans="2:7" x14ac:dyDescent="0.25">
      <c r="B1086" s="5"/>
      <c r="C1086" s="5"/>
      <c r="D1086" s="5"/>
      <c r="E1086" s="5"/>
      <c r="F1086" s="5"/>
      <c r="G1086" s="5"/>
    </row>
    <row r="1087" spans="2:7" x14ac:dyDescent="0.25">
      <c r="B1087" s="5"/>
      <c r="C1087" s="5"/>
      <c r="D1087" s="5"/>
      <c r="E1087" s="5"/>
      <c r="F1087" s="5"/>
      <c r="G1087" s="5"/>
    </row>
    <row r="1088" spans="2:7" x14ac:dyDescent="0.25">
      <c r="B1088" s="5"/>
      <c r="C1088" s="5"/>
      <c r="D1088" s="5"/>
      <c r="E1088" s="5"/>
      <c r="F1088" s="5"/>
      <c r="G1088" s="5"/>
    </row>
    <row r="1089" spans="2:7" x14ac:dyDescent="0.25">
      <c r="B1089" s="5"/>
      <c r="C1089" s="5"/>
      <c r="D1089" s="5"/>
      <c r="E1089" s="5"/>
      <c r="F1089" s="5"/>
      <c r="G1089" s="5"/>
    </row>
    <row r="1090" spans="2:7" x14ac:dyDescent="0.25">
      <c r="B1090" s="5"/>
      <c r="C1090" s="5"/>
      <c r="D1090" s="5"/>
      <c r="E1090" s="5"/>
      <c r="F1090" s="5"/>
      <c r="G1090" s="5"/>
    </row>
    <row r="1091" spans="2:7" x14ac:dyDescent="0.25">
      <c r="B1091" s="5"/>
      <c r="C1091" s="5"/>
      <c r="D1091" s="5"/>
      <c r="E1091" s="5"/>
      <c r="F1091" s="5"/>
      <c r="G1091" s="5"/>
    </row>
    <row r="1092" spans="2:7" x14ac:dyDescent="0.25">
      <c r="B1092" s="5"/>
      <c r="C1092" s="5"/>
      <c r="D1092" s="5"/>
      <c r="E1092" s="5"/>
      <c r="F1092" s="5"/>
      <c r="G1092" s="5"/>
    </row>
    <row r="1093" spans="2:7" x14ac:dyDescent="0.25">
      <c r="B1093" s="5"/>
      <c r="C1093" s="5"/>
      <c r="D1093" s="5"/>
      <c r="E1093" s="5"/>
      <c r="F1093" s="5"/>
      <c r="G1093" s="5"/>
    </row>
    <row r="1094" spans="2:7" x14ac:dyDescent="0.25">
      <c r="B1094" s="5"/>
      <c r="C1094" s="5"/>
      <c r="D1094" s="5"/>
      <c r="E1094" s="5"/>
      <c r="F1094" s="5"/>
      <c r="G1094" s="5"/>
    </row>
    <row r="1095" spans="2:7" x14ac:dyDescent="0.25">
      <c r="B1095" s="5"/>
      <c r="C1095" s="5"/>
      <c r="D1095" s="5"/>
      <c r="E1095" s="5"/>
      <c r="F1095" s="5"/>
      <c r="G1095" s="5"/>
    </row>
    <row r="1096" spans="2:7" x14ac:dyDescent="0.25">
      <c r="B1096" s="5"/>
      <c r="C1096" s="5"/>
      <c r="D1096" s="5"/>
      <c r="E1096" s="5"/>
      <c r="F1096" s="5"/>
      <c r="G1096" s="5"/>
    </row>
    <row r="1097" spans="2:7" x14ac:dyDescent="0.25">
      <c r="B1097" s="5"/>
      <c r="C1097" s="5"/>
      <c r="D1097" s="5"/>
      <c r="E1097" s="5"/>
      <c r="F1097" s="5"/>
      <c r="G1097" s="5"/>
    </row>
    <row r="1098" spans="2:7" x14ac:dyDescent="0.25">
      <c r="B1098" s="5"/>
      <c r="C1098" s="5"/>
      <c r="D1098" s="5"/>
      <c r="E1098" s="5"/>
      <c r="F1098" s="5"/>
      <c r="G1098" s="5"/>
    </row>
    <row r="1099" spans="2:7" x14ac:dyDescent="0.25">
      <c r="B1099" s="5"/>
      <c r="C1099" s="5"/>
      <c r="D1099" s="5"/>
      <c r="E1099" s="5"/>
      <c r="F1099" s="5"/>
      <c r="G1099" s="5"/>
    </row>
    <row r="1100" spans="2:7" x14ac:dyDescent="0.25">
      <c r="B1100" s="5"/>
      <c r="C1100" s="5"/>
      <c r="D1100" s="5"/>
      <c r="E1100" s="5"/>
      <c r="F1100" s="5"/>
      <c r="G1100" s="5"/>
    </row>
    <row r="1101" spans="2:7" x14ac:dyDescent="0.25">
      <c r="B1101" s="5"/>
      <c r="C1101" s="5"/>
      <c r="D1101" s="5"/>
      <c r="E1101" s="5"/>
      <c r="F1101" s="5"/>
      <c r="G1101" s="5"/>
    </row>
    <row r="1102" spans="2:7" x14ac:dyDescent="0.25">
      <c r="B1102" s="5"/>
      <c r="C1102" s="5"/>
      <c r="D1102" s="5"/>
      <c r="E1102" s="5"/>
      <c r="F1102" s="5"/>
      <c r="G1102" s="5"/>
    </row>
    <row r="1103" spans="2:7" x14ac:dyDescent="0.25">
      <c r="B1103" s="5"/>
      <c r="C1103" s="5"/>
      <c r="D1103" s="5"/>
      <c r="E1103" s="5"/>
      <c r="F1103" s="5"/>
      <c r="G1103" s="5"/>
    </row>
    <row r="1104" spans="2:7" x14ac:dyDescent="0.25">
      <c r="B1104" s="5"/>
      <c r="C1104" s="5"/>
      <c r="D1104" s="5"/>
      <c r="E1104" s="5"/>
      <c r="F1104" s="5"/>
      <c r="G1104" s="5"/>
    </row>
    <row r="1105" spans="2:7" x14ac:dyDescent="0.25">
      <c r="B1105" s="5"/>
      <c r="C1105" s="5"/>
      <c r="D1105" s="5"/>
      <c r="E1105" s="5"/>
      <c r="F1105" s="5"/>
      <c r="G1105" s="5"/>
    </row>
    <row r="1106" spans="2:7" x14ac:dyDescent="0.25">
      <c r="B1106" s="5"/>
      <c r="C1106" s="5"/>
      <c r="D1106" s="5"/>
      <c r="E1106" s="5"/>
      <c r="F1106" s="5"/>
      <c r="G1106" s="5"/>
    </row>
    <row r="1107" spans="2:7" x14ac:dyDescent="0.25">
      <c r="B1107" s="5"/>
      <c r="C1107" s="5"/>
      <c r="D1107" s="5"/>
      <c r="E1107" s="5"/>
      <c r="F1107" s="5"/>
      <c r="G1107" s="5"/>
    </row>
    <row r="1108" spans="2:7" x14ac:dyDescent="0.25">
      <c r="B1108" s="5"/>
      <c r="C1108" s="5"/>
      <c r="D1108" s="5"/>
      <c r="E1108" s="5"/>
      <c r="F1108" s="5"/>
      <c r="G1108" s="5"/>
    </row>
    <row r="1109" spans="2:7" x14ac:dyDescent="0.25">
      <c r="B1109" s="5"/>
      <c r="C1109" s="5"/>
      <c r="D1109" s="5"/>
      <c r="E1109" s="5"/>
      <c r="F1109" s="5"/>
      <c r="G1109" s="5"/>
    </row>
    <row r="1110" spans="2:7" x14ac:dyDescent="0.25">
      <c r="B1110" s="5"/>
      <c r="C1110" s="5"/>
      <c r="D1110" s="5"/>
      <c r="E1110" s="5"/>
      <c r="F1110" s="5"/>
      <c r="G1110" s="5"/>
    </row>
    <row r="1111" spans="2:7" x14ac:dyDescent="0.25">
      <c r="B1111" s="5"/>
      <c r="C1111" s="5"/>
      <c r="D1111" s="5"/>
      <c r="E1111" s="5"/>
      <c r="F1111" s="5"/>
      <c r="G1111" s="5"/>
    </row>
    <row r="1112" spans="2:7" x14ac:dyDescent="0.25">
      <c r="B1112" s="5"/>
      <c r="C1112" s="5"/>
      <c r="D1112" s="5"/>
      <c r="E1112" s="5"/>
      <c r="F1112" s="5"/>
      <c r="G1112" s="5"/>
    </row>
    <row r="1113" spans="2:7" x14ac:dyDescent="0.25">
      <c r="B1113" s="5"/>
      <c r="C1113" s="5"/>
      <c r="D1113" s="5"/>
      <c r="E1113" s="5"/>
      <c r="F1113" s="5"/>
      <c r="G1113" s="5"/>
    </row>
  </sheetData>
  <mergeCells count="4">
    <mergeCell ref="A5:I5"/>
    <mergeCell ref="C2:F2"/>
    <mergeCell ref="C3:F3"/>
    <mergeCell ref="C1:F1"/>
  </mergeCells>
  <phoneticPr fontId="10" type="noConversion"/>
  <conditionalFormatting sqref="I8:I17">
    <cfRule type="containsText" dxfId="52" priority="1" operator="containsText" text="NOT IN GLOSSARY">
      <formula>NOT(ISERROR(SEARCH("NOT IN GLOSSARY",I8)))</formula>
    </cfRule>
  </conditionalFormatting>
  <dataValidations count="1">
    <dataValidation type="list" allowBlank="1" showInputMessage="1" sqref="E8:E17" xr:uid="{59145B04-EF2B-4885-8EB8-9BB455A6A8DC}">
      <formula1>Factors_List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Group">
                <anchor moveWithCells="1" sizeWithCells="1">
                  <from>
                    <xdr:col>5</xdr:col>
                    <xdr:colOff>400050</xdr:colOff>
                    <xdr:row>3</xdr:row>
                    <xdr:rowOff>161925</xdr:rowOff>
                  </from>
                  <to>
                    <xdr:col>6</xdr:col>
                    <xdr:colOff>0</xdr:colOff>
                    <xdr:row>3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SubGroup">
                <anchor moveWithCells="1" sizeWithCells="1">
                  <from>
                    <xdr:col>6</xdr:col>
                    <xdr:colOff>371475</xdr:colOff>
                    <xdr:row>3</xdr:row>
                    <xdr:rowOff>123825</xdr:rowOff>
                  </from>
                  <to>
                    <xdr:col>7</xdr:col>
                    <xdr:colOff>0</xdr:colOff>
                    <xdr:row>3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8564D-2CD7-40DC-A6E9-0EDDF8556A24}">
  <sheetPr codeName="Sheet2"/>
  <dimension ref="A2:H15"/>
  <sheetViews>
    <sheetView zoomScale="60" zoomScaleNormal="60" workbookViewId="0">
      <pane ySplit="5" topLeftCell="A6" activePane="bottomLeft" state="frozen"/>
      <selection pane="bottomLeft" activeCell="A2" sqref="A2:H16"/>
    </sheetView>
  </sheetViews>
  <sheetFormatPr defaultRowHeight="15" x14ac:dyDescent="0.25"/>
  <cols>
    <col min="1" max="1" width="46.28515625" customWidth="1"/>
    <col min="2" max="2" width="45.7109375" customWidth="1"/>
    <col min="3" max="3" width="32.140625" customWidth="1"/>
    <col min="4" max="4" width="10.5703125" customWidth="1"/>
    <col min="5" max="5" width="27.140625" customWidth="1"/>
    <col min="6" max="6" width="9.85546875" customWidth="1"/>
    <col min="7" max="7" width="40.42578125" bestFit="1" customWidth="1"/>
    <col min="8" max="8" width="28.7109375" bestFit="1" customWidth="1"/>
  </cols>
  <sheetData>
    <row r="2" spans="1:8" ht="42.75" customHeight="1" x14ac:dyDescent="0.25"/>
    <row r="3" spans="1:8" x14ac:dyDescent="0.25">
      <c r="A3" s="41" t="s">
        <v>26</v>
      </c>
      <c r="B3" s="41"/>
      <c r="C3" s="41"/>
    </row>
    <row r="4" spans="1:8" x14ac:dyDescent="0.25">
      <c r="A4" s="24" t="str">
        <f>'Thematic Analysis'!E6</f>
        <v>Concern</v>
      </c>
      <c r="B4" s="24" t="str">
        <f>'Thematic Analysis'!F6</f>
        <v>Possible Solutions</v>
      </c>
      <c r="C4" s="24" t="str">
        <f>'Thematic Analysis'!G6</f>
        <v>Organizational Values</v>
      </c>
      <c r="E4" s="9" t="s">
        <v>19</v>
      </c>
      <c r="G4" s="41" t="s">
        <v>18</v>
      </c>
      <c r="H4" s="41"/>
    </row>
    <row r="5" spans="1:8" ht="30" x14ac:dyDescent="0.25">
      <c r="A5" s="10" t="s">
        <v>15</v>
      </c>
      <c r="B5" s="10" t="s">
        <v>16</v>
      </c>
      <c r="C5" s="10" t="s">
        <v>17</v>
      </c>
      <c r="E5" s="3" t="s">
        <v>20</v>
      </c>
      <c r="G5" s="19" t="s">
        <v>21</v>
      </c>
      <c r="H5" s="19" t="s">
        <v>28</v>
      </c>
    </row>
    <row r="6" spans="1:8" x14ac:dyDescent="0.25">
      <c r="A6" s="3" t="s">
        <v>50</v>
      </c>
      <c r="B6" s="1" t="s">
        <v>100</v>
      </c>
      <c r="C6" s="1" t="s">
        <v>103</v>
      </c>
      <c r="E6" s="3" t="s">
        <v>50</v>
      </c>
      <c r="G6" s="20" t="s">
        <v>100</v>
      </c>
      <c r="H6" s="20" t="s">
        <v>103</v>
      </c>
    </row>
    <row r="7" spans="1:8" x14ac:dyDescent="0.25">
      <c r="A7" s="3" t="s">
        <v>88</v>
      </c>
      <c r="B7" t="s">
        <v>100</v>
      </c>
      <c r="C7" s="1" t="s">
        <v>103</v>
      </c>
      <c r="E7" s="3" t="s">
        <v>88</v>
      </c>
      <c r="G7" s="20" t="s">
        <v>101</v>
      </c>
      <c r="H7" s="20" t="s">
        <v>104</v>
      </c>
    </row>
    <row r="8" spans="1:8" x14ac:dyDescent="0.25">
      <c r="A8" s="3" t="s">
        <v>93</v>
      </c>
      <c r="B8" t="s">
        <v>100</v>
      </c>
      <c r="C8" s="1" t="s">
        <v>103</v>
      </c>
      <c r="E8" s="3" t="s">
        <v>93</v>
      </c>
      <c r="G8" s="20" t="s">
        <v>102</v>
      </c>
      <c r="H8" s="20" t="s">
        <v>105</v>
      </c>
    </row>
    <row r="9" spans="1:8" x14ac:dyDescent="0.25">
      <c r="A9" s="3" t="s">
        <v>90</v>
      </c>
      <c r="B9" t="s">
        <v>101</v>
      </c>
      <c r="C9" s="1" t="s">
        <v>104</v>
      </c>
      <c r="E9" s="3" t="s">
        <v>90</v>
      </c>
      <c r="G9" s="33" t="s">
        <v>29</v>
      </c>
      <c r="H9" s="33" t="s">
        <v>106</v>
      </c>
    </row>
    <row r="10" spans="1:8" x14ac:dyDescent="0.25">
      <c r="A10" s="3" t="s">
        <v>94</v>
      </c>
      <c r="B10" t="s">
        <v>101</v>
      </c>
      <c r="C10" s="1" t="s">
        <v>104</v>
      </c>
      <c r="E10" s="3" t="s">
        <v>94</v>
      </c>
    </row>
    <row r="11" spans="1:8" x14ac:dyDescent="0.25">
      <c r="A11" s="3" t="s">
        <v>95</v>
      </c>
      <c r="B11" t="s">
        <v>101</v>
      </c>
      <c r="C11" s="1" t="s">
        <v>104</v>
      </c>
      <c r="E11" s="3" t="s">
        <v>95</v>
      </c>
    </row>
    <row r="12" spans="1:8" x14ac:dyDescent="0.25">
      <c r="A12" s="3" t="s">
        <v>96</v>
      </c>
      <c r="B12" t="s">
        <v>102</v>
      </c>
      <c r="C12" s="1" t="s">
        <v>105</v>
      </c>
      <c r="E12" s="3" t="s">
        <v>96</v>
      </c>
    </row>
    <row r="13" spans="1:8" x14ac:dyDescent="0.25">
      <c r="A13" s="3" t="s">
        <v>97</v>
      </c>
      <c r="B13" t="s">
        <v>102</v>
      </c>
      <c r="C13" s="1" t="s">
        <v>105</v>
      </c>
      <c r="E13" s="3" t="s">
        <v>97</v>
      </c>
    </row>
    <row r="14" spans="1:8" x14ac:dyDescent="0.25">
      <c r="A14" s="3" t="s">
        <v>98</v>
      </c>
      <c r="B14" t="s">
        <v>102</v>
      </c>
      <c r="C14" s="1" t="s">
        <v>105</v>
      </c>
      <c r="E14" s="3" t="s">
        <v>98</v>
      </c>
    </row>
    <row r="15" spans="1:8" x14ac:dyDescent="0.25">
      <c r="A15" s="23" t="s">
        <v>14</v>
      </c>
      <c r="C15" s="23">
        <f>SUBTOTAL(103,Table2[Sub Groups])</f>
        <v>9</v>
      </c>
      <c r="E15" s="39" t="s">
        <v>99</v>
      </c>
    </row>
  </sheetData>
  <mergeCells count="2">
    <mergeCell ref="A3:C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lossary_CheckUniqueFactorGlossary">
                <anchor moveWithCells="1" sizeWithCells="1">
                  <from>
                    <xdr:col>4</xdr:col>
                    <xdr:colOff>76200</xdr:colOff>
                    <xdr:row>1</xdr:row>
                    <xdr:rowOff>95250</xdr:rowOff>
                  </from>
                  <to>
                    <xdr:col>4</xdr:col>
                    <xdr:colOff>1704975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xtractUniqueGroups">
                <anchor moveWithCells="1" sizeWithCells="1">
                  <from>
                    <xdr:col>6</xdr:col>
                    <xdr:colOff>400050</xdr:colOff>
                    <xdr:row>1</xdr:row>
                    <xdr:rowOff>47625</xdr:rowOff>
                  </from>
                  <to>
                    <xdr:col>7</xdr:col>
                    <xdr:colOff>1123950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06C4-B258-4223-B296-678F97DB7880}">
  <sheetPr codeName="Sheet7"/>
  <dimension ref="A1:E14"/>
  <sheetViews>
    <sheetView workbookViewId="0">
      <pane ySplit="4" topLeftCell="A5" activePane="bottomLeft" state="frozen"/>
      <selection pane="bottomLeft" activeCell="A2" sqref="A2:C14"/>
    </sheetView>
  </sheetViews>
  <sheetFormatPr defaultRowHeight="15" x14ac:dyDescent="0.25"/>
  <cols>
    <col min="1" max="1" width="34.28515625" bestFit="1" customWidth="1"/>
    <col min="2" max="2" width="51" customWidth="1"/>
    <col min="3" max="3" width="52.140625" customWidth="1"/>
    <col min="5" max="6" width="14.140625" bestFit="1" customWidth="1"/>
  </cols>
  <sheetData>
    <row r="1" spans="1:5" ht="15.75" thickBot="1" x14ac:dyDescent="0.3"/>
    <row r="2" spans="1:5" ht="15.75" thickBot="1" x14ac:dyDescent="0.3">
      <c r="A2" s="47" t="s">
        <v>30</v>
      </c>
      <c r="B2" s="47"/>
      <c r="C2" s="47"/>
      <c r="E2" s="14" t="s">
        <v>11</v>
      </c>
    </row>
    <row r="3" spans="1:5" x14ac:dyDescent="0.25">
      <c r="A3" s="28" t="str">
        <f>'Thematic Analysis'!E6</f>
        <v>Concern</v>
      </c>
      <c r="B3" s="29" t="s">
        <v>5</v>
      </c>
      <c r="C3" s="30" t="s">
        <v>6</v>
      </c>
    </row>
    <row r="4" spans="1:5" x14ac:dyDescent="0.25">
      <c r="A4" s="8" t="s">
        <v>27</v>
      </c>
      <c r="B4" s="8" t="s">
        <v>22</v>
      </c>
      <c r="C4" s="8" t="s">
        <v>23</v>
      </c>
    </row>
    <row r="5" spans="1:5" x14ac:dyDescent="0.25">
      <c r="A5" s="1" t="str">
        <f>Glossary!A6</f>
        <v>Factor 1</v>
      </c>
      <c r="B5" s="32" t="s">
        <v>114</v>
      </c>
      <c r="C5" s="32" t="s">
        <v>122</v>
      </c>
    </row>
    <row r="6" spans="1:5" x14ac:dyDescent="0.25">
      <c r="A6" s="1" t="str">
        <f>Glossary!A7</f>
        <v>Factor 2</v>
      </c>
      <c r="B6" s="32" t="s">
        <v>115</v>
      </c>
      <c r="C6" s="32" t="s">
        <v>123</v>
      </c>
    </row>
    <row r="7" spans="1:5" x14ac:dyDescent="0.25">
      <c r="A7" s="1" t="str">
        <f>Glossary!A8</f>
        <v>Factor 3</v>
      </c>
      <c r="B7" s="32" t="s">
        <v>113</v>
      </c>
      <c r="C7" s="32" t="s">
        <v>124</v>
      </c>
    </row>
    <row r="8" spans="1:5" x14ac:dyDescent="0.25">
      <c r="A8" s="1" t="str">
        <f>Glossary!A9</f>
        <v>Factor 4</v>
      </c>
      <c r="B8" s="32" t="s">
        <v>116</v>
      </c>
      <c r="C8" s="32" t="s">
        <v>125</v>
      </c>
    </row>
    <row r="9" spans="1:5" x14ac:dyDescent="0.25">
      <c r="A9" s="1" t="str">
        <f>Glossary!A10</f>
        <v>Factor 5</v>
      </c>
      <c r="B9" s="32" t="s">
        <v>117</v>
      </c>
      <c r="C9" s="32" t="s">
        <v>126</v>
      </c>
    </row>
    <row r="10" spans="1:5" x14ac:dyDescent="0.25">
      <c r="A10" s="1" t="str">
        <f>Glossary!A11</f>
        <v>Factor 6</v>
      </c>
      <c r="B10" s="32" t="s">
        <v>118</v>
      </c>
      <c r="C10" s="32" t="s">
        <v>127</v>
      </c>
    </row>
    <row r="11" spans="1:5" x14ac:dyDescent="0.25">
      <c r="A11" s="1" t="str">
        <f>Glossary!A12</f>
        <v>Factor 7</v>
      </c>
      <c r="B11" s="32" t="s">
        <v>119</v>
      </c>
      <c r="C11" s="32" t="s">
        <v>128</v>
      </c>
    </row>
    <row r="12" spans="1:5" x14ac:dyDescent="0.25">
      <c r="A12" s="1" t="str">
        <f>Glossary!A13</f>
        <v>Factor 8</v>
      </c>
      <c r="B12" s="32" t="s">
        <v>120</v>
      </c>
      <c r="C12" s="32" t="s">
        <v>129</v>
      </c>
    </row>
    <row r="13" spans="1:5" x14ac:dyDescent="0.25">
      <c r="A13" s="1" t="str">
        <f>Glossary!A14</f>
        <v>Factor 9</v>
      </c>
      <c r="B13" s="32" t="s">
        <v>121</v>
      </c>
      <c r="C13" s="32" t="s">
        <v>130</v>
      </c>
    </row>
    <row r="14" spans="1:5" x14ac:dyDescent="0.25">
      <c r="A14" s="23" t="s">
        <v>14</v>
      </c>
      <c r="C14" s="34">
        <f>SUBTOTAL(103,table5[Sub Catergories])</f>
        <v>9</v>
      </c>
    </row>
  </sheetData>
  <mergeCells count="1">
    <mergeCell ref="A2:C2"/>
  </mergeCells>
  <phoneticPr fontId="10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4BFDC-B1AA-41C4-868F-3E378901E5D6}">
  <sheetPr codeName="Sheet8"/>
  <dimension ref="A1:G14"/>
  <sheetViews>
    <sheetView zoomScale="50" zoomScaleNormal="50" workbookViewId="0">
      <pane ySplit="4" topLeftCell="A5" activePane="bottomLeft" state="frozen"/>
      <selection pane="bottomLeft" activeCell="B1" sqref="A1:G14"/>
    </sheetView>
  </sheetViews>
  <sheetFormatPr defaultRowHeight="15" x14ac:dyDescent="0.25"/>
  <cols>
    <col min="1" max="1" width="11" style="8" customWidth="1"/>
    <col min="2" max="2" width="34.7109375" customWidth="1"/>
    <col min="3" max="3" width="36.7109375" customWidth="1"/>
    <col min="4" max="4" width="39.5703125" customWidth="1"/>
    <col min="5" max="5" width="31.5703125" customWidth="1"/>
    <col min="6" max="6" width="88.5703125" bestFit="1" customWidth="1"/>
    <col min="7" max="7" width="30.85546875" customWidth="1"/>
  </cols>
  <sheetData>
    <row r="1" spans="1:7" ht="48" customHeight="1" x14ac:dyDescent="0.25"/>
    <row r="2" spans="1:7" x14ac:dyDescent="0.25">
      <c r="A2" s="48" t="s">
        <v>13</v>
      </c>
      <c r="B2" s="49"/>
      <c r="C2" s="49"/>
      <c r="D2" s="49"/>
      <c r="E2" s="49"/>
      <c r="F2" s="49"/>
      <c r="G2" s="49"/>
    </row>
    <row r="3" spans="1:7" x14ac:dyDescent="0.25">
      <c r="A3" s="21"/>
      <c r="B3" s="27" t="str">
        <f>'Thematic Analysis'!E6</f>
        <v>Concern</v>
      </c>
      <c r="C3" s="27" t="str">
        <f>'Thematic Analysis'!F6</f>
        <v>Possible Solutions</v>
      </c>
      <c r="D3" s="27" t="str">
        <f>'Thematic Analysis'!G6</f>
        <v>Organizational Values</v>
      </c>
      <c r="E3" s="28" t="str">
        <f>'Search Data'!B3</f>
        <v>Tech Concept</v>
      </c>
      <c r="F3" s="28" t="str">
        <f>'Search Data'!C3</f>
        <v>Tech Layers</v>
      </c>
      <c r="G3" s="22"/>
    </row>
    <row r="4" spans="1:7" s="8" customFormat="1" x14ac:dyDescent="0.25">
      <c r="A4" s="8" t="s">
        <v>7</v>
      </c>
      <c r="B4" s="31" t="s">
        <v>15</v>
      </c>
      <c r="C4" s="31" t="s">
        <v>16</v>
      </c>
      <c r="D4" s="8" t="s">
        <v>17</v>
      </c>
      <c r="E4" s="8" t="s">
        <v>22</v>
      </c>
      <c r="F4" s="8" t="s">
        <v>23</v>
      </c>
      <c r="G4" s="8" t="s">
        <v>24</v>
      </c>
    </row>
    <row r="5" spans="1:7" s="5" customFormat="1" ht="45" x14ac:dyDescent="0.25">
      <c r="A5" s="2">
        <v>1</v>
      </c>
      <c r="B5" s="1" t="str">
        <f>'Thematic Analysis'!E8</f>
        <v>Factor 1
Factor 2
Factor 3</v>
      </c>
      <c r="C5" s="1" t="str">
        <f>'Thematic Analysis'!F8</f>
        <v>Group 1
Group 1
Group 1</v>
      </c>
      <c r="D5" s="1" t="str">
        <f>'Thematic Analysis'!G8</f>
        <v>Sub Group 1
Sub Group 1
Sub Group 1</v>
      </c>
      <c r="E5" s="1" t="s">
        <v>131</v>
      </c>
      <c r="F5" s="1" t="s">
        <v>134</v>
      </c>
      <c r="G5" s="1" t="str">
        <f>'Thematic Analysis'!$D8</f>
        <v>Fact 1</v>
      </c>
    </row>
    <row r="6" spans="1:7" s="5" customFormat="1" ht="45" x14ac:dyDescent="0.25">
      <c r="A6" s="2">
        <f t="shared" ref="A6:A14" si="0">A5+1</f>
        <v>2</v>
      </c>
      <c r="B6" s="1" t="str">
        <f>'Thematic Analysis'!E9</f>
        <v>Factor 1
Factor 2
Factor 3</v>
      </c>
      <c r="C6" s="1" t="str">
        <f>'Thematic Analysis'!F9</f>
        <v>Group 1
Group 1
Group 1</v>
      </c>
      <c r="D6" s="1" t="str">
        <f>'Thematic Analysis'!G9</f>
        <v>Sub Group 1
Sub Group 1
Sub Group 1</v>
      </c>
      <c r="E6" s="1" t="s">
        <v>131</v>
      </c>
      <c r="F6" s="1" t="s">
        <v>134</v>
      </c>
      <c r="G6" s="1" t="str">
        <f>'Thematic Analysis'!$D9</f>
        <v>Fact 2</v>
      </c>
    </row>
    <row r="7" spans="1:7" s="5" customFormat="1" ht="45" x14ac:dyDescent="0.25">
      <c r="A7" s="2">
        <f t="shared" si="0"/>
        <v>3</v>
      </c>
      <c r="B7" s="1" t="str">
        <f>'Thematic Analysis'!E10</f>
        <v>Factor 4
Factor 5
Factor 6</v>
      </c>
      <c r="C7" s="1" t="str">
        <f>'Thematic Analysis'!F10</f>
        <v>Group 2
Group 2
Group 2</v>
      </c>
      <c r="D7" s="1" t="str">
        <f>'Thematic Analysis'!G10</f>
        <v>Sub Group 2
Sub Group 2
Sub Group 2</v>
      </c>
      <c r="E7" s="1" t="s">
        <v>132</v>
      </c>
      <c r="F7" s="1" t="s">
        <v>135</v>
      </c>
      <c r="G7" s="1" t="str">
        <f>'Thematic Analysis'!$D10</f>
        <v>Fact 3</v>
      </c>
    </row>
    <row r="8" spans="1:7" s="5" customFormat="1" ht="45" x14ac:dyDescent="0.25">
      <c r="A8" s="2">
        <f t="shared" si="0"/>
        <v>4</v>
      </c>
      <c r="B8" s="1" t="str">
        <f>'Thematic Analysis'!E11</f>
        <v>Factor 4
Factor 5
Factor 6</v>
      </c>
      <c r="C8" s="1" t="str">
        <f>'Thematic Analysis'!F11</f>
        <v>Group 2
Group 2
Group 2</v>
      </c>
      <c r="D8" s="1" t="str">
        <f>'Thematic Analysis'!G11</f>
        <v>Sub Group 2
Sub Group 2
Sub Group 2</v>
      </c>
      <c r="E8" s="1" t="s">
        <v>132</v>
      </c>
      <c r="F8" s="1" t="s">
        <v>135</v>
      </c>
      <c r="G8" s="1" t="str">
        <f>'Thematic Analysis'!$D11</f>
        <v>Fact 4</v>
      </c>
    </row>
    <row r="9" spans="1:7" s="5" customFormat="1" ht="45" x14ac:dyDescent="0.25">
      <c r="A9" s="2">
        <f t="shared" si="0"/>
        <v>5</v>
      </c>
      <c r="B9" s="1" t="str">
        <f>'Thematic Analysis'!E12</f>
        <v>Factor 7
Factor 8
Factor 9</v>
      </c>
      <c r="C9" s="1" t="str">
        <f>'Thematic Analysis'!F12</f>
        <v>Group 3
Group 3
Group 3</v>
      </c>
      <c r="D9" s="1" t="str">
        <f>'Thematic Analysis'!G12</f>
        <v>Sub Group 3
Sub Group 3
Sub Group 3</v>
      </c>
      <c r="E9" s="1" t="s">
        <v>133</v>
      </c>
      <c r="F9" s="1" t="s">
        <v>136</v>
      </c>
      <c r="G9" s="1" t="str">
        <f>'Thematic Analysis'!$D12</f>
        <v>Fact 5</v>
      </c>
    </row>
    <row r="10" spans="1:7" s="5" customFormat="1" ht="45" x14ac:dyDescent="0.25">
      <c r="A10" s="2">
        <f t="shared" si="0"/>
        <v>6</v>
      </c>
      <c r="B10" s="1" t="str">
        <f>'Thematic Analysis'!E13</f>
        <v>Factor 7
Factor 8
Factor 9</v>
      </c>
      <c r="C10" s="1" t="str">
        <f>'Thematic Analysis'!F13</f>
        <v>Group 3
Group 3
Group 3</v>
      </c>
      <c r="D10" s="1" t="str">
        <f>'Thematic Analysis'!G13</f>
        <v>Sub Group 3
Sub Group 3
Sub Group 3</v>
      </c>
      <c r="E10" s="1" t="s">
        <v>133</v>
      </c>
      <c r="F10" s="1" t="s">
        <v>136</v>
      </c>
      <c r="G10" s="1" t="str">
        <f>'Thematic Analysis'!$D13</f>
        <v>Fact 6</v>
      </c>
    </row>
    <row r="11" spans="1:7" s="5" customFormat="1" ht="45" x14ac:dyDescent="0.25">
      <c r="A11" s="2">
        <f t="shared" si="0"/>
        <v>7</v>
      </c>
      <c r="B11" s="1" t="str">
        <f>'Thematic Analysis'!E14</f>
        <v>Factor 1
Factor 2
Factor 3</v>
      </c>
      <c r="C11" s="1" t="str">
        <f>'Thematic Analysis'!F14</f>
        <v>Group 1
Group 1
Group 1</v>
      </c>
      <c r="D11" s="1" t="str">
        <f>'Thematic Analysis'!G14</f>
        <v>Sub Group 1
Sub Group 1
Sub Group 1</v>
      </c>
      <c r="E11" s="1" t="s">
        <v>131</v>
      </c>
      <c r="F11" s="1" t="s">
        <v>134</v>
      </c>
      <c r="G11" s="1" t="str">
        <f>'Thematic Analysis'!$D14</f>
        <v>Fact 7</v>
      </c>
    </row>
    <row r="12" spans="1:7" s="5" customFormat="1" ht="45" x14ac:dyDescent="0.25">
      <c r="A12" s="2">
        <f t="shared" si="0"/>
        <v>8</v>
      </c>
      <c r="B12" s="1" t="str">
        <f>'Thematic Analysis'!E15</f>
        <v>Factor 4
Factor 5
Factor 6</v>
      </c>
      <c r="C12" s="1" t="str">
        <f>'Thematic Analysis'!F15</f>
        <v>Group 2
Group 2
Group 2</v>
      </c>
      <c r="D12" s="1" t="str">
        <f>'Thematic Analysis'!G15</f>
        <v>Sub Group 2
Sub Group 2
Sub Group 2</v>
      </c>
      <c r="E12" s="1" t="s">
        <v>132</v>
      </c>
      <c r="F12" s="1" t="s">
        <v>135</v>
      </c>
      <c r="G12" s="1" t="str">
        <f>'Thematic Analysis'!$D15</f>
        <v>Fact 8</v>
      </c>
    </row>
    <row r="13" spans="1:7" s="5" customFormat="1" ht="45" x14ac:dyDescent="0.25">
      <c r="A13" s="2">
        <f t="shared" si="0"/>
        <v>9</v>
      </c>
      <c r="B13" s="1" t="str">
        <f>'Thematic Analysis'!E16</f>
        <v>Factor 4
Factor 5
Factor 6</v>
      </c>
      <c r="C13" s="1" t="str">
        <f>'Thematic Analysis'!F16</f>
        <v>Group 2
Group 2
Group 2</v>
      </c>
      <c r="D13" s="1" t="str">
        <f>'Thematic Analysis'!G16</f>
        <v>Sub Group 2
Sub Group 2
Sub Group 2</v>
      </c>
      <c r="E13" s="1" t="s">
        <v>132</v>
      </c>
      <c r="F13" s="1" t="s">
        <v>135</v>
      </c>
      <c r="G13" s="1" t="str">
        <f>'Thematic Analysis'!$D16</f>
        <v>Fact 9</v>
      </c>
    </row>
    <row r="14" spans="1:7" s="5" customFormat="1" ht="45" x14ac:dyDescent="0.25">
      <c r="A14" s="2">
        <f t="shared" si="0"/>
        <v>10</v>
      </c>
      <c r="B14" s="1" t="str">
        <f>'Thematic Analysis'!E17</f>
        <v>Factor 7
Factor 8
Factor 9</v>
      </c>
      <c r="C14" s="1" t="str">
        <f>'Thematic Analysis'!F17</f>
        <v>Group 3
Group 3
Group 3</v>
      </c>
      <c r="D14" s="1" t="str">
        <f>'Thematic Analysis'!G17</f>
        <v>Sub Group 3
Sub Group 3
Sub Group 3</v>
      </c>
      <c r="E14" s="1" t="s">
        <v>133</v>
      </c>
      <c r="F14" s="1" t="s">
        <v>136</v>
      </c>
      <c r="G14" s="1" t="str">
        <f>'Thematic Analysis'!$D17</f>
        <v>Fact 10</v>
      </c>
    </row>
  </sheetData>
  <mergeCells count="1">
    <mergeCell ref="A2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pdateCatergories">
                <anchor moveWithCells="1" sizeWithCells="1">
                  <from>
                    <xdr:col>4</xdr:col>
                    <xdr:colOff>66675</xdr:colOff>
                    <xdr:row>0</xdr:row>
                    <xdr:rowOff>66675</xdr:rowOff>
                  </from>
                  <to>
                    <xdr:col>4</xdr:col>
                    <xdr:colOff>1543050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UpdateSubCatergories">
                <anchor moveWithCells="1" sizeWithCells="1">
                  <from>
                    <xdr:col>5</xdr:col>
                    <xdr:colOff>66675</xdr:colOff>
                    <xdr:row>0</xdr:row>
                    <xdr:rowOff>66675</xdr:rowOff>
                  </from>
                  <to>
                    <xdr:col>6</xdr:col>
                    <xdr:colOff>9525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C32EB-6237-4D26-B3D1-613AC55CA332}">
  <sheetPr codeName="Sheet3"/>
  <dimension ref="A2:D8"/>
  <sheetViews>
    <sheetView workbookViewId="0">
      <selection activeCell="A2" sqref="A2:D8"/>
    </sheetView>
  </sheetViews>
  <sheetFormatPr defaultRowHeight="15" x14ac:dyDescent="0.25"/>
  <cols>
    <col min="1" max="1" width="6.85546875" bestFit="1" customWidth="1"/>
    <col min="2" max="2" width="7.140625" bestFit="1" customWidth="1"/>
    <col min="3" max="3" width="17.5703125" bestFit="1" customWidth="1"/>
    <col min="4" max="4" width="42.5703125" bestFit="1" customWidth="1"/>
  </cols>
  <sheetData>
    <row r="2" spans="1:4" x14ac:dyDescent="0.25">
      <c r="A2" s="48" t="s">
        <v>46</v>
      </c>
      <c r="B2" s="48"/>
      <c r="C2" s="48"/>
      <c r="D2" s="48"/>
    </row>
    <row r="3" spans="1:4" x14ac:dyDescent="0.25">
      <c r="A3" t="s">
        <v>32</v>
      </c>
      <c r="B3" t="s">
        <v>33</v>
      </c>
      <c r="C3" t="s">
        <v>34</v>
      </c>
      <c r="D3" t="s">
        <v>35</v>
      </c>
    </row>
    <row r="4" spans="1:4" x14ac:dyDescent="0.25">
      <c r="A4" s="37">
        <v>0</v>
      </c>
      <c r="B4" s="37">
        <v>0.15</v>
      </c>
      <c r="C4" t="s">
        <v>36</v>
      </c>
      <c r="D4" t="s">
        <v>37</v>
      </c>
    </row>
    <row r="5" spans="1:4" x14ac:dyDescent="0.25">
      <c r="A5" s="37">
        <v>0.15</v>
      </c>
      <c r="B5" s="37">
        <v>0.3</v>
      </c>
      <c r="C5" t="s">
        <v>38</v>
      </c>
      <c r="D5" t="s">
        <v>39</v>
      </c>
    </row>
    <row r="6" spans="1:4" x14ac:dyDescent="0.25">
      <c r="A6" s="37">
        <v>0.3</v>
      </c>
      <c r="B6" s="37">
        <v>0.6</v>
      </c>
      <c r="C6" t="s">
        <v>40</v>
      </c>
      <c r="D6" t="s">
        <v>41</v>
      </c>
    </row>
    <row r="7" spans="1:4" x14ac:dyDescent="0.25">
      <c r="A7" s="37">
        <v>0.6</v>
      </c>
      <c r="B7" s="37">
        <v>0.8</v>
      </c>
      <c r="C7" t="s">
        <v>42</v>
      </c>
      <c r="D7" t="s">
        <v>43</v>
      </c>
    </row>
    <row r="8" spans="1:4" x14ac:dyDescent="0.25">
      <c r="A8" s="37">
        <v>0.8</v>
      </c>
      <c r="B8" s="37">
        <v>1</v>
      </c>
      <c r="C8" t="s">
        <v>44</v>
      </c>
      <c r="D8" t="s">
        <v>45</v>
      </c>
    </row>
  </sheetData>
  <mergeCells count="1">
    <mergeCell ref="A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Thematic Analysis</vt:lpstr>
      <vt:lpstr>Glossary</vt:lpstr>
      <vt:lpstr>Search Data</vt:lpstr>
      <vt:lpstr>Tool Data</vt:lpstr>
      <vt:lpstr>Risk Matrix</vt:lpstr>
      <vt:lpstr>Catergories</vt:lpstr>
      <vt:lpstr>Factors</vt:lpstr>
      <vt:lpstr>Factors_List</vt:lpstr>
      <vt:lpstr>Groups</vt:lpstr>
      <vt:lpstr>Search_Factors</vt:lpstr>
      <vt:lpstr>Sub_catergories</vt:lpstr>
      <vt:lpstr>Sub_Group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Nigel</dc:creator>
  <cp:lastModifiedBy>Nigel Galbraith [ncg33]</cp:lastModifiedBy>
  <dcterms:created xsi:type="dcterms:W3CDTF">2015-06-05T18:17:20Z</dcterms:created>
  <dcterms:modified xsi:type="dcterms:W3CDTF">2025-06-29T22:17:36Z</dcterms:modified>
</cp:coreProperties>
</file>