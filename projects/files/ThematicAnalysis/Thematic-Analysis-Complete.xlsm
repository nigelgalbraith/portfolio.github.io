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mc:AlternateContent xmlns:mc="http://schemas.openxmlformats.org/markup-compatibility/2006">
    <mc:Choice Requires="x15">
      <x15ac:absPath xmlns:x15ac="http://schemas.microsoft.com/office/spreadsheetml/2010/11/ac" url="C:\Users\Nigel\Downloads\"/>
    </mc:Choice>
  </mc:AlternateContent>
  <xr:revisionPtr revIDLastSave="0" documentId="13_ncr:1_{B33FEC0F-F383-429A-97CB-2816C3DC7CEC}" xr6:coauthVersionLast="47" xr6:coauthVersionMax="47" xr10:uidLastSave="{00000000-0000-0000-0000-000000000000}"/>
  <bookViews>
    <workbookView xWindow="-120" yWindow="-120" windowWidth="19440" windowHeight="11640" xr2:uid="{00000000-000D-0000-FFFF-FFFF00000000}"/>
  </bookViews>
  <sheets>
    <sheet name="Thematic Analysis" sheetId="1" r:id="rId1"/>
    <sheet name="Glossary" sheetId="2" r:id="rId2"/>
    <sheet name="Search Data" sheetId="8" r:id="rId3"/>
    <sheet name="Tool Data" sheetId="9" r:id="rId4"/>
  </sheets>
  <functionGroups builtInGroupCount="19"/>
  <definedNames>
    <definedName name="Catergories">Table6[Catergories]</definedName>
    <definedName name="Concerns_List">Table2[Factors]</definedName>
    <definedName name="Factors">'Thematic Analysis'!$E$8:$E$73</definedName>
    <definedName name="Groups">'Thematic Analysis'!$F$8:$F$73</definedName>
    <definedName name="Search_Factors">Table6[Factors]</definedName>
    <definedName name="Sub_catergories">Table6[Sub Catergories]</definedName>
    <definedName name="Sub_Group">'Thematic Analysis'!$G$8:$G$73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 i="1" l="1"/>
  <c r="D3" i="9"/>
  <c r="C3" i="9"/>
  <c r="A3" i="8"/>
  <c r="A78" i="8"/>
  <c r="A111" i="8"/>
  <c r="A114" i="8"/>
  <c r="A134" i="8"/>
  <c r="A29" i="8"/>
  <c r="A53" i="8"/>
  <c r="A89" i="8"/>
  <c r="A208" i="8"/>
  <c r="A21" i="8"/>
  <c r="A88" i="8"/>
  <c r="A47" i="8"/>
  <c r="A38" i="8"/>
  <c r="A81" i="8"/>
  <c r="A11" i="8"/>
  <c r="A71" i="8"/>
  <c r="A216" i="8"/>
  <c r="C218" i="8"/>
  <c r="C219" i="2"/>
  <c r="A215" i="8"/>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5" i="9"/>
  <c r="A6" i="8"/>
  <c r="A7" i="8"/>
  <c r="A8" i="8"/>
  <c r="A9" i="8"/>
  <c r="A10" i="8"/>
  <c r="A12" i="8"/>
  <c r="A13" i="8"/>
  <c r="A14" i="8"/>
  <c r="A15" i="8"/>
  <c r="A16" i="8"/>
  <c r="A17" i="8"/>
  <c r="A18" i="8"/>
  <c r="A19" i="8"/>
  <c r="A20" i="8"/>
  <c r="A22" i="8"/>
  <c r="A23" i="8"/>
  <c r="A24" i="8"/>
  <c r="A25" i="8"/>
  <c r="A26" i="8"/>
  <c r="A27" i="8"/>
  <c r="A28" i="8"/>
  <c r="A30" i="8"/>
  <c r="A31" i="8"/>
  <c r="A32" i="8"/>
  <c r="A33" i="8"/>
  <c r="A34" i="8"/>
  <c r="A35" i="8"/>
  <c r="A36" i="8"/>
  <c r="A37" i="8"/>
  <c r="A39" i="8"/>
  <c r="A40" i="8"/>
  <c r="A41" i="8"/>
  <c r="A42" i="8"/>
  <c r="A43" i="8"/>
  <c r="A44" i="8"/>
  <c r="A45" i="8"/>
  <c r="A46" i="8"/>
  <c r="A48" i="8"/>
  <c r="A49" i="8"/>
  <c r="A50" i="8"/>
  <c r="A51" i="8"/>
  <c r="A52" i="8"/>
  <c r="A54" i="8"/>
  <c r="A55" i="8"/>
  <c r="A56" i="8"/>
  <c r="A57" i="8"/>
  <c r="A58" i="8"/>
  <c r="A59" i="8"/>
  <c r="A60" i="8"/>
  <c r="A61" i="8"/>
  <c r="A62" i="8"/>
  <c r="A63" i="8"/>
  <c r="A64" i="8"/>
  <c r="A65" i="8"/>
  <c r="A66" i="8"/>
  <c r="A67" i="8"/>
  <c r="A68" i="8"/>
  <c r="A69" i="8"/>
  <c r="A70" i="8"/>
  <c r="A72" i="8"/>
  <c r="A73" i="8"/>
  <c r="A74" i="8"/>
  <c r="A75" i="8"/>
  <c r="A76" i="8"/>
  <c r="A77" i="8"/>
  <c r="A79" i="8"/>
  <c r="A80" i="8"/>
  <c r="A82" i="8"/>
  <c r="A83" i="8"/>
  <c r="A84" i="8"/>
  <c r="A85" i="8"/>
  <c r="A86" i="8"/>
  <c r="A87" i="8"/>
  <c r="A90" i="8"/>
  <c r="A91" i="8"/>
  <c r="A92" i="8"/>
  <c r="A93" i="8"/>
  <c r="A94" i="8"/>
  <c r="A95" i="8"/>
  <c r="A96" i="8"/>
  <c r="A97" i="8"/>
  <c r="A98" i="8"/>
  <c r="A99" i="8"/>
  <c r="A100" i="8"/>
  <c r="A101" i="8"/>
  <c r="A102" i="8"/>
  <c r="A103" i="8"/>
  <c r="A104" i="8"/>
  <c r="A105" i="8"/>
  <c r="A106" i="8"/>
  <c r="A107" i="8"/>
  <c r="A108" i="8"/>
  <c r="A109" i="8"/>
  <c r="A110" i="8"/>
  <c r="A112" i="8"/>
  <c r="A113" i="8"/>
  <c r="A115" i="8"/>
  <c r="A116" i="8"/>
  <c r="A117" i="8"/>
  <c r="A118" i="8"/>
  <c r="A119" i="8"/>
  <c r="A120" i="8"/>
  <c r="A121" i="8"/>
  <c r="A122" i="8"/>
  <c r="A123" i="8"/>
  <c r="A124" i="8"/>
  <c r="A125" i="8"/>
  <c r="A126" i="8"/>
  <c r="A127" i="8"/>
  <c r="A128" i="8"/>
  <c r="A129" i="8"/>
  <c r="A130" i="8"/>
  <c r="A131" i="8"/>
  <c r="A132" i="8"/>
  <c r="A133"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9" i="8"/>
  <c r="A210" i="8"/>
  <c r="A211" i="8"/>
  <c r="A212" i="8"/>
  <c r="A213" i="8"/>
  <c r="A214" i="8"/>
  <c r="A217" i="8"/>
  <c r="A5" i="8"/>
  <c r="D5" i="9"/>
  <c r="D6" i="9"/>
  <c r="D7" i="9"/>
  <c r="D8"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B6" i="9" l="1"/>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5" i="9"/>
  <c r="G5" i="9"/>
  <c r="F3" i="9"/>
  <c r="E3" i="9"/>
  <c r="B3" i="9"/>
  <c r="A4" i="2"/>
  <c r="B4" i="2"/>
  <c r="C4" i="2"/>
  <c r="A9" i="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I45" i="1"/>
  <c r="I50" i="1"/>
  <c r="I52" i="1"/>
  <c r="I57" i="1"/>
  <c r="I37" i="1"/>
  <c r="I60" i="1"/>
  <c r="I34" i="1"/>
  <c r="I64" i="1"/>
  <c r="I23" i="1"/>
  <c r="I53" i="1"/>
  <c r="I36" i="1"/>
  <c r="I13" i="1"/>
  <c r="I19" i="1"/>
  <c r="I18" i="1"/>
  <c r="I40" i="1"/>
  <c r="I49" i="1"/>
  <c r="I47" i="1"/>
  <c r="I55" i="1"/>
  <c r="I73" i="1"/>
  <c r="I8" i="1"/>
  <c r="I46" i="1"/>
  <c r="I20" i="1"/>
  <c r="I12" i="1"/>
  <c r="I44" i="1"/>
  <c r="I26" i="1"/>
  <c r="I63" i="1"/>
  <c r="I38" i="1"/>
  <c r="I42" i="1"/>
  <c r="I27" i="1"/>
  <c r="I67" i="1"/>
  <c r="I65" i="1"/>
  <c r="I61" i="1"/>
  <c r="I31" i="1"/>
  <c r="I69" i="1"/>
  <c r="I21" i="1"/>
  <c r="I10" i="1"/>
  <c r="I25" i="1"/>
  <c r="I14" i="1"/>
  <c r="I58" i="1"/>
  <c r="I30" i="1"/>
  <c r="I16" i="1"/>
  <c r="I9" i="1"/>
  <c r="I33" i="1"/>
  <c r="I62" i="1"/>
  <c r="I54" i="1"/>
  <c r="I71" i="1"/>
  <c r="I32" i="1"/>
  <c r="I24" i="1"/>
  <c r="I72" i="1"/>
  <c r="I68" i="1"/>
  <c r="I17" i="1"/>
  <c r="I35" i="1"/>
  <c r="I66" i="1"/>
  <c r="I15" i="1"/>
  <c r="I43" i="1"/>
  <c r="I39" i="1"/>
  <c r="I11" i="1"/>
  <c r="I28" i="1"/>
  <c r="I48" i="1"/>
  <c r="I22" i="1"/>
  <c r="I70" i="1"/>
  <c r="I51" i="1"/>
  <c r="I41" i="1"/>
  <c r="I56" i="1"/>
  <c r="I29" i="1"/>
  <c r="I59" i="1"/>
  <c r="A6" i="9" l="1"/>
  <c r="A7" i="9"/>
  <c r="A8" i="9" s="1"/>
  <c r="A9" i="9" s="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alcChain>
</file>

<file path=xl/sharedStrings.xml><?xml version="1.0" encoding="utf-8"?>
<sst xmlns="http://schemas.openxmlformats.org/spreadsheetml/2006/main" count="1682" uniqueCount="1163">
  <si>
    <t>Thematic analysis and coding template</t>
  </si>
  <si>
    <t>What are you looking for? What is your discovery question/purpose</t>
  </si>
  <si>
    <t>Notes/Additional</t>
  </si>
  <si>
    <t>Page 6</t>
  </si>
  <si>
    <t>Page 8</t>
  </si>
  <si>
    <t>Possible Solutions</t>
  </si>
  <si>
    <t>Page 5/6</t>
  </si>
  <si>
    <t>As a result it is difficult to share patient information and coordinate patient
care. From a management perspective, it is difficult to obtain accurate
information on system performance. From a financial perspective, the
systems are expensive to maintain</t>
  </si>
  <si>
    <t>This situation will undermine the long-term sustainability of the Clinical
Services Redesign and Corporate Shared Services reform programs. The
ICT program has been realigned and refocussed to meet the long terms
needs of the reform program. The focus will be on connecting islands of
information and technology and rapidly supporting clinical and corporate
reform</t>
  </si>
  <si>
    <t>The Integrated Clinical Information Program (ICIP) was established in 2000
as a result of recommendations of the NSW Health Council and its objective
is to deal with the issues outlined above in a defined forward strategy. The
program aims to address these issues by providing core clinical
functionality across NSW. Significant progress has been made in the
implementation of patient administration, clinical and corporate systems.</t>
  </si>
  <si>
    <t>Improved quality and safety by ensuring that clinicians have access
to information they need to provide safe care and by providing systems
to embed consistent, predictable processes across the state to improve
quality and safety</t>
  </si>
  <si>
    <t>Page 9</t>
  </si>
  <si>
    <t>Page 10</t>
  </si>
  <si>
    <t>Page 11</t>
  </si>
  <si>
    <t>Page 12</t>
  </si>
  <si>
    <t>The ICT Strategic Plan is driven by the overarching priorities of NSW Health
as defined by the Results and Services Plan and NSW Health Plan. To
ensure that the ICT portfolio is closely aligned with the RSP and Corporate
Plan, NSW Health has taken the following steps:
From the RSP:
• Selected those results and associated services which will be dependent
on the ICT assets working well
• Identified ICT asset-related risks which may prevent achievement of
services and results
• Identified those services and service measures which will depend on
the ICT assets working well.
From the NSW Health Corporate Plan identified:
• The ultimate goal or vision for the community
• The contribution NSW Health will make towards achieving this goal or
vision
• The focus for achieving the goal or vision, including intended
outcomes, risks and strategies
• Strategies for measuring where performance targets have been met
• The cost of achieving the goal or vision and meeting performance
targets.
The outcome of this has informed the development of the ICT portfolio
aimed at effectively supporting services needs.</t>
  </si>
  <si>
    <t>Page 13</t>
  </si>
  <si>
    <t>Page 14</t>
  </si>
  <si>
    <t>The strategy benefits the patient as it means that all the information
clinicians need to deliver the best possible care, with an optimal outcome is
easily available whenever and wherever it is needed.
This helps clinicians by reducing the time they spend trying to locate
information or unnecessarily repeating tests, increasing the time they have
available for direct patient care.</t>
  </si>
  <si>
    <t>Page 15</t>
  </si>
  <si>
    <t>For example a Nursing Unit Manager (NUM) on a ward can more effectively
plan and care for patients with a full understanding of all demands, such as
patients waiting in the ED, coming from surgery and being transferred in,
and of ward capacity such as current available beds, pending available
beds, quarantined beds and staff availability and skills sets</t>
  </si>
  <si>
    <t>Page 15/16</t>
  </si>
  <si>
    <t>Page 16</t>
  </si>
  <si>
    <t>Page 17</t>
  </si>
  <si>
    <t>To meet and prepare for these challenges NSW Health must change the
way it delivers services. NSW Health is implementing a major combined
clinical and corporate and ICT reform program to address these issues.
Implementation of IT solutions to support staff and embed business
processes is critical to ensuring change to delivery of services is
sustainable. To be successful this requires a change in the way that ICT
solutions are procured, designed and implemented.
Historic investment decisions and decision-making have resulted in Area
Health Services developing disparate clinical and corporate applications,
supporting mixed infrastructure and integration approaches. This has
resulted in:
• Very high integration cost and difficulty gaining a comprehensive
clinical or management information;
• Duplication of effort and little reuse of technology assets;
• Existence of information gaps and overlaps;
• Different clinical specialty systems making it difficult to effectively
manage the patient journey and give clinicians a single view of their
patients;
• Twenty-nine systems support basic HR functions;
• Systems that are more than 20 years old and have limited support.</t>
  </si>
  <si>
    <t>2.4 Criteria for inclusion in ICT Strategy and Investment
Plan
ICT priorities are set and reviewed annually. Each initiative is evaluated
against 5 principles to determine the priority of the project and its position
in the investment program. The principles are:
• Level of contribution to major service reform agendas and
alignment with planned NSW Health Results and Services, priorities
and plans.
• Extent to which the project supports the patient journey across
multiple care settings and improves the quality and safety of health
care for the largest number of people.
• Capacity to deliver improvements in efficiency and effectiveness in
healthcare delivery and workforce utilisation.
• Degree of conformance with state ICT strategic planning
requirements.
• Level of potential to generate a positive return on investment.</t>
  </si>
  <si>
    <t>3.1 Benefits to the individual patient and clinician
From a clinical perspective, the end-goal of the strategy is to achieve a
‘single view of the patient’. The single view of the patient means that every
clinician involved in the patients care (doctors, nurses, pharmacists,
physiotherapists etc…) have a full understanding of the patients complete
care needs and medical history. They can understand what other
practitioners’ roles and contributions are and can work together effectively
as a team across all parts of the system. Corporate systems are in place to
effectively support the delivery of clinical care and support s single
employee view.</t>
  </si>
  <si>
    <t>At Hospital, Area and Department executive levels, a complete portfolio
allows an integrated analysis of health outcome indicators, demand for
services, resource availability, clinical and support services performance
and financial management.</t>
  </si>
  <si>
    <t>The ICT Strategy is focused on the priority areas or activities required to
underpin these and will be addressing them in its forward strategy as
resources and funding become available. Other initiatives will only be
added to the ICT work plan if they do not compromise delivery of these
core functions, or to address an urgent issue.</t>
  </si>
  <si>
    <t>3.2 Department level benefits
By 2011 clinical departments will have access to systems that improve work
flow within the Department, provide decision support for clinicians and
access to information needed to support the most effective management of
resources. This will mean that clinicians will have immediate access to
critical information to make sure that the right decisions are made for
patients. This, combined with rules built into clinical systems and better
communication between staff in the department, will mean better and safer
care for patients</t>
  </si>
  <si>
    <t>Information &amp; Communication Technology (ICT) Strategy Where we want to be in 2011
15
For example a Nursing Unit Manager (NUM) on a ward can more effectively
plan and care for patients with a full understanding of all demands, such as
patients waiting in the ED, coming from surgery and being transferred in,
and of ward capacity such as current available beds, pending available
beds, quarantined beds and staff availability and skills sets.
At Hospital, Area and Department executive levels, a complete portfolio
allows an integrated analysis of health outcome indicators, demand for
services, resource availability, clinical and support services performance
and financial management.
The ICT Strategy is focused on the priority areas or activities required to
underpin these and will be addressing them in its forward strategy as
resources and funding become available. Other initiatives will only be
added to the ICT work plan if they do not compromise delivery of these
core functions, or to address an urgent issue.
3.2 Department level benefits
By 2011 clinical departments will have access to systems that improve work
flow within the Department, provide decision support for clinicians and
access to information needed to support the most effective management of
resources. This will mean that clinicians will have immediate access to
critical information to make sure that the right decisions are made for
patients. This, combined with rules built into clinical systems and better
communication between staff in the department, will mean better and safer
care for patients.
3.3 Hospital level benefits
The implementation of well
integrated core systems
across a hospital, including for
example Results Reporting,
Order Management, Patient
Administration Systems,
Scheduling and Human
Resources means that
information can be collected
once and be accessible to all
who need it. This will
minimise problems at
handover and allow enterprise
wide management of human and other resources to increase efficiency and
reduce access block as patient’s move between departments. Good
information allows the patient journey to be more efficient allowing time to
see more patients.
3.4 Area level benefits
Areas will benefit from the implementation of these systems as they will
have access to standardised information from all facilities to manage their
resources more effectively, support planning and demand management and
management of patient transfers between hospitals in their Area with
Information &amp; Communication Technology (ICT) Strategy Where we want to be in 2011
16
minimum duplication of diagnostic procedures and delays for patients.
Improved communication between hospitals and clinicians in the
community will support patient care better once they leave hospital and
reduce the risk of readmission</t>
  </si>
  <si>
    <t>3.5 State level benefits
Implementation of core systems across NSW will deliver significant
benefits. While benefits are derived at each level, the full value of ICT will
be achieved when these systems are implemented across all Areas.
Standardised clinical and corporate information, collected as a by product
of patient care, provides support for NSW Health to achieve the targets set
under the Results and Services Plan by improving patient journeys across
the health system, improving timely access to services, strengthening co-
ordination and integration across the health system. Accurate information
will allow better utilisation of resources and management of future
demand.</t>
  </si>
  <si>
    <t>1.3 Planned outcomes
The ICT Strategy has been realigned with the core reform strategies of
Clinical Services Redesign and Corporate Shared Services. Five major ICT
strategies have been defined to support these broader strategic priorities.
These are the:
• Clinical Systems Strategy
• Corporate Systems Strategy
• Business Information Strategy
• Sustainable Infrastructure strategy and
• Whole of Government ICT Strategic directions</t>
  </si>
  <si>
    <t>2 The ICT Strategic Management Framework
2.1 Strategic Themes
In summary, the ICT Strategy revolves around three strategic themes:
• Significantly improved support for clinicians and patient care
• Strategic alignment to major NSW Health initiatives; and
• Considerable cost savings.
These themes are expressed in terms of five Strategic Objectives
1. Use of ICT to enable major clinical reform programs;
2. Reduce the duplication and cost in administrative systems
3. Deliver a core set of high quality information to all levels of the
organisation
4. Build an ICT Infrastructure that is available and responsive and
supports the requirements of the clinical and corporate systems
reforms; and
5. Adopt a coordinated, portfolio approach to the management of ICT to
ensure that the maximum benefit is gained from NSW Health’s
investment in ICT</t>
  </si>
  <si>
    <t>2.2 Describing the ICT Strategic Management Framework
This document provides the central description of NSW Health’s ICT
Strategy for the period 2006-2011.
It is supported by a number of more specific documents covering:
• The ICT Asset Management Strategy;
• NSW Health’s Enterprise Architecture. This document forms the core of
NSW Health’s ICT Architecture documents, that are specific to:
_x0001_ The Clinical Systems Architecture
_x0001_ The Corporate Systems Architecture and Strategy
_x0001_ The Business Information Strategy
_x0001_ The Infrastructure Strategy; and
_x0001_ The Integration architecture strategy
• The ICT Governance Framework
• The ICT Portfolio Management and Program of work
• The ICT Investment Plan 2006-2017.</t>
  </si>
  <si>
    <t>2.5 Upgrade process
It is intended that only new initiatives should be included in the forward
investment program. The ongoing requirement to replace existing systems
should be addressed through the procurement and contractual process to
ensure NSW Health has access to future product upgrades through the
support and maintenance agreements formulated with vendors.</t>
  </si>
  <si>
    <t>3 Where we want to be in 2011
By 2011 we plan to have implemented the core clinical and corporate
systems across NSW to support patient journeys through the health system
and to provide the corporate systems and management information needed
to manage the health system efficiently.
Implementation of the ICT Strategy will deliver benefits at five levels –
individual patients and clinicians, Clinical Departments, Hospital, Area wide
and State.</t>
  </si>
  <si>
    <t>Improved collaboration within health and other related agencies within NSW, with the private
sector and nationally to increase interoperability and better information flow to support improved
patient outcomes and increased efficiency.</t>
  </si>
  <si>
    <t>Significant savings – new structures, governance arrangements
and development and deployment methods 
_x0001_ Rapid deployment of core programs will reduce overall project
management costs, which are the major cost component
_x0001_ Potential to integrate with the change management activities
already in train with CSRP and Corporate Shared Services, reducing
cost and increasing value of the change management process.
This will also help to embed the ICT processes within the clinical
and corporate reform programs to ensure that the change is
sustainable.
_x0001_ Minimises duration of impact on clinicians in AHS’ and increases the
speed to delivery of benefits for clinical care
_x0001_ Reduced training costs (can train once for all components, not
multiple times for each individual component)</t>
  </si>
  <si>
    <t>3.3 Hospital level benefits The implementation of well integrated core systems across a hospital, including for
example Results Reporting, Order Management, Patient Administration Systems, Scheduling and Human
Resources means that information can be collected once and be accessible to all who need it. This will
minimise problems at handover and allow enterprise wide management of human and other resources to increase efficiency and
reduce access block as patient’s move between departments. Good
information allows the patient journey to be more efficient allowing time to
see more patients.</t>
  </si>
  <si>
    <t>A steady increase in demand for services from an ageing population. In
NSW, the proportion of people over 65 is increasing rapidly. In every
year between 2012 and 2028, the aged share of the Australian
population is projected to increase by more than 0.35 percentage
points – an increase around 4 times the long term average.</t>
  </si>
  <si>
    <t>Staff shortages in critical areas such as nursing and medicine
Hospitals running at maximum capacity</t>
  </si>
  <si>
    <t>The rate of chronic diseases including heart diseases, pulmonary
diseases, diabetes and cancer is increasing. The rate of obesity in our
younger population is on the rise and our increasingly globalised
society increases the risk of pandemics</t>
  </si>
  <si>
    <t>An increasing body of medical knowledge that staff cannot manage and
use without advanced IT systems</t>
  </si>
  <si>
    <t>Health services are increasingly challenged by more expensive medical technologies and pharmaceuticals</t>
  </si>
  <si>
    <t>Consumers are becoming more informed, have higher expectations and more complex problems</t>
  </si>
  <si>
    <t>Quality and safety standards are challenged as demands increase and
there are fewer staff to manage them. For example, from 2000 to 2005
the average occupancy for NSW hospitals stood at a high 93%. Some
metropolitan hospitals’ surgical and medical wards average 95-98%,
when 85% is generally considered a much safer working capacity for
these beds.</t>
  </si>
  <si>
    <t>In the period July to December 2007 57,808 incidents were reported.
The key factors that cause these adverse events are:
_x0001_ Communication
_x0001_ Policies and procedures
_x0001_ Knowledge, skills and competence issues
_x0001_ Work scheduling</t>
  </si>
  <si>
    <t>Clinical ICT is becoming an increasingly important enabler of health
system reform, yet the core systems to underpin reform are not
currently in place.</t>
  </si>
  <si>
    <t>Constraints in capital and recurrent funding, skilled project
management and implementation resources and capacity of the health
systems to accommodate large scale change all restrict the potential
speed of implementation of core systems.</t>
  </si>
  <si>
    <t>There are many competing demands for the funds that are available
for ICT. Determining priority and scheduling projects into the forward
program is complex and requires ongoing review to ensure funds
continue to be allocated in areas of greatest potential benefit.</t>
  </si>
  <si>
    <t>Page 18</t>
  </si>
  <si>
    <t>When considered collectively, the convergence of issues creates an
environment of significant risk that must be addressed. The only way NSW
Health can realistically meet these challenges is to change the way it
delivers services. NSW Health has embarked on a major clinical and
corporate reform program to address these issues. The implementation of
appropriate IT solutions to support staff and embed business processes is
critical to ensuring this change is sustainable</t>
  </si>
  <si>
    <t>Inclusion
Replacement
Procurement</t>
  </si>
  <si>
    <t>Competing demands for ICT funds
Priority determination
Project scheduling complexity</t>
  </si>
  <si>
    <t>Convergence of issues
Significant risk environment
Need for service delivery change</t>
  </si>
  <si>
    <t>Page 19</t>
  </si>
  <si>
    <t>5 Strategic Response to Key Challenges
5.1 NSW Health Strategic Framework
There are a number of key drivers that are influencing NSW Health
strategic directions. These relate to both the demand for health services,
driven by factors such as the aging population, and supply within health,
for example workforce shortages in key areas of the health system. The
wider government priorities and directions, such as the Council of
Australian Government priorities around Mental Health and Health
workforce and whole of government ICT strategies also drive the strategic
directions and investment decisions of NSW Health</t>
  </si>
  <si>
    <t>At the highest level, the Results and Services Plan sets the strategic
directions for all NSW Health Programs. This is supported by a number of
strategic programs aimed at delivering the Results and Services Plan.
The ICT Strategic Plan aims to support the Results and Services Plan by
ensuring close alignment with the reform programs and strategies
underpinning the Results and Services Plan. All levels of NSW Health
planning take into consideration the NSW whole of government and
National strategies</t>
  </si>
  <si>
    <t>Alignment with Results and Services Plan
Support for strategic programs
Alignment with reform programs
Consideration of whole-of-government strategies</t>
  </si>
  <si>
    <t>5.2 Results and Services Plan (RSP)
The RSP represents NSW Health’s primary strategic response to the
challenges faced by NSW Health. NSW Health has four primary goals:
1. To keep people healthy
2. To provide the health care that people need
3. To deliver high quality services
4. To manage health services well
These are underpinned by seven key strategic directions:
• Make prevention everybody’s business
• Create better experiences for people using health services
• Strengthen primary health and continuing care in the community
• Build regional and other partnerships for health.
Make smart choices about costs and benefits of health services
• Build a sustainable the health workforce
• Be ready for new risks and opportunities</t>
  </si>
  <si>
    <t>Page 20/21</t>
  </si>
  <si>
    <t>Page 21</t>
  </si>
  <si>
    <t>5.2.1 Strategic Goal 1: To keep people healthy
Reducing risk factors in the population is a major strategic objective for
NSW Health. NSW Health is increasing the focus on health promotion and
preventing illness and implementing strategies to increase immunisation
rates, reduce the impact of chronic disease, reduce diabetes through
interventions for people at high risk. ICT can support many of these
strategies by providing automatic alerts about risk factors, such as gaps in
immunisations, or overdue screening or check ups.'</t>
  </si>
  <si>
    <t>Page 21/22</t>
  </si>
  <si>
    <t>5.2.2 Strategic Goal 2 : To provide the healthcare people need
Health services need to be available when needed, are effective and co-
ordinated to meet each individual’s needs. ICT plays a major role in
providing the tools that are needed to underpin new models of care and
make clinical reform sustainable. Supporting information flow along the
patient journey plays a large part in improving the experience of people as
they move along the journey, and making sure that the care they receive is
appropriate</t>
  </si>
  <si>
    <t>Page 23/24</t>
  </si>
  <si>
    <t>5.2.3 Strategic Goal 3: To deliver high quality health services
There are currently three levels of government and multiple agencies
involved in funding and delivering health services, resulting in complexity
and duplication. Improved collaboration within and beyond the health
system is vital to improve the links and improve co-ordination and the
quality of services provided across the health system. ICT provides the
infrastructure and tools needed to improve this level of collaboration.
Quality and safety will also be enhanced through decision support tools for
clinicians through the Electronic Medical Record, and by more appropriate
use of resources through rostering and other HR tools.</t>
  </si>
  <si>
    <t>Page 24</t>
  </si>
  <si>
    <t>5.3 NSW and National ICT Government Drivers
The NSW Government IT environment feeds into, and, to some extent,
constrains the NSW Health ICT strategic plan. This program aims to
ensure that NSW strategic initiatives align with, and where possible have
the opportunity to inform, national and broader state initiatives</t>
  </si>
  <si>
    <t>Page 25</t>
  </si>
  <si>
    <t>5.3.1 NSW GCIO ICT Strategic Plan
The NSW Government has set new directions for IT through the NSW
Government CIO Executive Council. Primary goals include:
• Using IT to reduce back-end service costs while maintaining frontline
services
• Increasing investment in frontline service technologies
• Delivering savings through IT strategies in both capital costs and
recurrent costs
• Reducing the total cost of IT
The Government has proposed a number of new measures to achieve its
primary goals including:
• A single capital fund for IT
• A statewide IT plan
A focus on fewer software applications, shared infrastructure, common
processes and aggregated purchasing</t>
  </si>
  <si>
    <t>5.3.2 Council of Australian Governments
The Council of Australian Governments (COAG) has identified significant
areas of national interest including mental health, health workforce, action
plans for influenza pandemics and progress towards electronic health
records. ICT is an enabler for many of the COAG priorities. COAG has an
ambitious health and ageing reform agenda proposed for implementation
from 2009. This includes a program of hospital reform, improvements to
Indigenous health, chronic disease management and preventative health
care. The ICT program outlined in this strategy directly supports the COAG
reform agenda, through its focus on the implementation of systems that
will enable clinical reform in both acute and community settings.</t>
  </si>
  <si>
    <t>Page 26</t>
  </si>
  <si>
    <t>5.3.4 NEHTA
NEHTA’s primary goal is the development of national health information
management and communications technology standards and specifications.
NEHTA is progressing a number of work programs that will have a direct
impact on NSW Health’s ICT strategic plan.
These include:
eHealth interoperability: developing a Framework for Interoperability to
enable efficient and secure electronic exchange of information between
health organisations.
Clinical communications: NEHTA is undertaking a program of
standardisation of key clinical information. It is intended that the format
of, and data contained in, clinical communications such as patient referrals
and hospital discharge summaries will be standardised across all health IT
systems, according to the specifications set by NEHTA. These specifications
will be built upon existing standards, extending these as necessary. This
work includes the establishment of a common, coded clinical language
(clinical terminology).
Unique Healthcare Identifiers – This program is developing a single
National identifier for individuals accessing healthcare services, providers
within the public and private healthcare systems and health organisations.
At least initially, the individual identifier is not expected to be used as the
primary identifier by most jurisdictions.
Individual Electronic Health Record: NEHTA are preparing the data
and interoperability standards and business case for the development and
implementation of a national electronic health record.
Identity management: Standards to ensure the accurate identification
and secure access of individuals to clinical information.
Secure messaging: NEHTA is working to define national standards and
shared infrastructure to ensure that the electronic exchange of clinical
information between healthcare providers is reliable and secure.
Supply chain: NEHTA has established a National Product Catalogue (NPC)
to provide a central source of data for the purchase of healthcare products
within health departments in each State and Territory.</t>
  </si>
  <si>
    <t>Page 27</t>
  </si>
  <si>
    <t>6..1 Approach to delivery of ICT in NSW
To meet and prepare for the challenges it faces NSW Health is
implementing changes to the way it delivers services. NSW Health has
embarked on a major combined clinical and corporate and ICT reform
program to address these issues. Implementation of IT solutions to
support staff and embed business processes is critical to ensuring change
to delivery of services is sustainable</t>
  </si>
  <si>
    <t>Strategic Information Management (SIM)
SIM is responsible for the development of ICT strategy, working with
stakeholders to determine investment priorities, budget negotiation and
ensuring overall program delivery. SIM’s role includes:
• Development and maintenance of the NSW ICT Strategic Plan and
investment program
• Interface with Area Health Services and other key stakeholder
groups
• Business case development and review of Area IM&amp;T proposals
• overseeing the delivery of the IM&amp;T strategy,
• Ensuring compliance with government, Departmental and Branch
standards, architecture and policies
• Identify, assess and address the enterprise architecture needs of
NSW Health by developing and maintaining appropriate policies,
standards and procedures for information management.
• Managing, planning and developing integration strategies,
architecture, standards and policies to enable effective and
consistent integration of a wide range of systems throughout NSW
Health.</t>
  </si>
  <si>
    <t>Health Support Services
Health Support Services is responsible for the implementation and ongoing
support and maintenance of core clinical and corporate systems. Health
Support Services are responsible for providing specific clinical and
corporate IT services to the Area Health Services as defined under s126G
of the Health Services Act 1997. This includes the provision of hardware
and hardware asset management, software, application support systems
and system implementation management.</t>
  </si>
  <si>
    <t>Page 28</t>
  </si>
  <si>
    <t>Area Health Services
Area Health Services are responsible for the management of local
implementations, change management and training of staff and benefits
realisation.</t>
  </si>
  <si>
    <t>Page 31</t>
  </si>
  <si>
    <t>6.2 Approach to delivery
A portfolio management approach is used as the basis for prioritising,
selecting and monitoring programs and projects and making sound
investment decisions that provide the greatest benefit to the health system.
It is underpinned by common processes across ICT at a Departmental and
Area level. The ICT portfolio is managed within a collaborative framework
that defines:
• Processes to determine, develop and manage core, common and
divergent applications
• Application of integrated governance models at Area Health Services
and the Department
• State based build approach to core applications to support a faster,
more cost effective implementation and to underpin predictable
processes across the whole of NSW.</t>
  </si>
  <si>
    <t>Page 32</t>
  </si>
  <si>
    <t>6.4 Standard processes adopted across the ICT portfolio
Core processes and standard guidelines for operation underpin the delivery
of the ICT Strategic Plan. The processes relate to the stages of the project
lifecycle, while the guidelines identified in the diagram below apply to the
portfolio as a whole and to individual projects within the portfolio. Details
for each of these processes, guidelines and templates can be found on the
SIM website at http://internal.health.nsw.gov.au/sim</t>
  </si>
  <si>
    <t>Page 33</t>
  </si>
  <si>
    <t>6.5 A framework for Partnership
For NSW Health to effectively implement this strategy it must be done as a
collaboration between the Department of Health, Area Health Services,
Health Technology and third party providers.
There are three key components of the collaboration framework. These
are:
• Processes to determine, develop and manage core, common and
divergent applications;
• Application of integrated governance models at AHSs and the
Department;
• State based build approach to core applications to support a faster,
more cost effective implementation and to underpin predictable
processes across the whole of NSW</t>
  </si>
  <si>
    <t>6.5.1 Core, Common and Divergent
All applications and associated projects are classified as core, common or
divergent. This classification will influence how each project will be
prioritised, governed, funded, procured, implemented and managed.
Core: Applications and projects that are expected to provide all
state wide core functions. These will be directed,
controlled and funded by the Department.
Common: These applications provide common solutions across a
collaborative group. They will be controlled collaboratively
to achieve the desired outcomes for the group.
Divergent: Applications aimed at innovative solutions to localised
groups to enable design flexibility to explore new solutions
to specific requirements</t>
  </si>
  <si>
    <t>The purpose of the Project Governance framework is to ensure that
projects remain relevant and deliver the stated business benefits. Effective
governance should ensure both that the NSW Health focuses on “doing the
right projects”, and that the right people focus on “doing the projects
right”. The governance structure is intended to reduce the risk to the
portfolio that would occur if there were to be a complete disconnect
between strategy and delivery.</t>
  </si>
  <si>
    <t>Page 34/35</t>
  </si>
  <si>
    <t>Page 36</t>
  </si>
  <si>
    <t>1. Content Development
This phase is characterised by an intense design and build of a prototype,
followed by a series of clinical review sessions. A methodology for the
design and build of SBB content has previously been developed and
utilised. The Fast Track methodology leverages this approach and adds in
the more efficient prototype model. The prototype assists clinicians in
gaining a better understanding of the application and offers the opportunity
to view the process as part of an integrated workflow. This approach
facilitates informed decision-making.</t>
  </si>
  <si>
    <t>2. Implementation
The implementation phase is designed around the State defined content.
Although this introduces a large amount of content in a single project, it
achieves greater benefit and is more cost effective. The Fast Track Metho
reduces the time, cost and complexity of implementation by using a
standard design with State Build content. Resource constraints and the
extended learning curve to get AHS staff up to speed that were an inherent
part of the old methodology, are minimised by the new approach. The
implementation team assigned to the project have the application
knowledge to build the database. A rapid implementation also eliminates
the inevitable scope creep that occurs during any long IT project.</t>
  </si>
  <si>
    <t>Page 36/37</t>
  </si>
  <si>
    <t>3. SBB Maturity Model
The SBB uses a maturity model to progressively enhance the functionality
of the application as the experience and expectations of users increase.
The maturity model is based on the following principles:
• All Area Health Services contribute to the development of each version
of the SBB.
• Version 1.0 of any application is implemented as the SBB.
Enhancements can be proposed by any Area Health Service, but must
be endorsed by the majority of members of the Application Advisory
Group (AAG).
• Every Area Health Service has equal weight in the AAG.
• Every proposed change must go through a formal change control
process and be reviewed by the AAG, even those that are specific to
one Area (eg establishing the facility codes for hospitals in that Area).
• The primary function of the AAG is to consider and endorse changes
for each version of the SBB. New versions will be released on an
annual basis.
SBB functionality can be classified as:
• Required core: required content and functionality to support common
business and application functions, including standardised KPIs and
reporting and a consistent user interface for mobile staff. Required
content must be consistent across all implementations.
• Modifiable within guidelines to support area specific clinical processes,
assessments and third party applications
• Localised content where site specific information is required in the build
(eg code table for local facilities)</t>
  </si>
  <si>
    <t>Page 37/38</t>
  </si>
  <si>
    <t>Page 39</t>
  </si>
  <si>
    <t>Information &amp; Communication Technology (ICT) Strategy Priority ICT strategies
39
7 Priority ICT strategies
The ICT Strategy has been realigned with the core reform strategies of
Clinical Services Redesign and Corporate Shared Services. Five major ICT
strategies have been defined to support the broader strategic priorities.
These are the Clinical Systems Strategy, the Corporate Systems Strategy,
Business Information Strategy, Sustainable Infrastructure strategy and
Whole of Government ICT Strategic directions.
This section outlines:
• the initiatives that are being delivered in this stage of the ICT
Strategic Plan (2006-2011)
• initiatives scheduled for the second phase of the 10 year plan,
between 2012 and 2016.
7.1 Clinical Systems Strategy
7.1.1 Objective
The Clinical Systems Strategy will implement the core clinical systems
needed to underpin the Clinical Services Redesign Program, Quality and
Safety initiatives and clinical program areas.
The focus will be on systems to improve communication, minimise delays,
reduce handover problems and support the patient journey. Systems will
support the flexible allocation of resources to ensure services meet patient
needs.</t>
  </si>
  <si>
    <t>7.1.2 Programs supporting this strategy
Three programs support the Clinical Systems Strategy. These are:
• Electronic Medical Record program to implement the core
departmental systems needed to manage patients effectively in an
acute environment.
• Primary, Community and Outpatient Care program to implement
the infrastructure and systems to support patient care in the
community, outpatient and primary care environment. It includes
referrals and interaction with other human services, and the pilot for
the Electronic Health Record program.
• Clinical Support program to implement core support systems such
as Patient Administration systems and diagnostic systems.</t>
  </si>
  <si>
    <t>Page 42</t>
  </si>
  <si>
    <t>7.2 Corporate Systems Strategy
7.2.1 Objective
The Corporate Systems Strategy will implement the core systems needed
to underpin the Corporate Shared Services reform program. This program
aims to reduce the duplication and cost in administrative functions to
increase funds available for frontline care. This strategy is underpinned by
the Corporate Systems program.</t>
  </si>
  <si>
    <t>Page 43</t>
  </si>
  <si>
    <t>7.3 Business Information Strategy
7.3.1 Objectives
The Business Information Strategy aims to make a core set of high quality
information available at all levels of the organisation in a timely manner
and to develop a performance culture around it. This has the potential to
transform operational data into management insight, and support decisions
that drive real results for the Department and its stakeholders. Business
information must integrate NSW health’s strategic objectives with front line
service delivery, drive management accountability and be driven by the
overall program and change management approach</t>
  </si>
  <si>
    <t>7.3.2 Programs supporting this strategy
There are three major programs under the Business Information Strategy.
These are:
Create value for
decision makers at
the front line
The primary aim of this program is to provide
timely, relevant information in a user friendly way
to clinicians and decision makers in front line
services.
Governance and
performance
management
Aimed at integrating NSW Health’s strategic and
planning frameworks and developing overall
value and cost effectiveness performance
measures.
Enabling
infrastructure and
support
Making sure that the source systems are capable
of providing the major indicators, that the data
sets are standardised and implemented to
provide consistent information and the technical
infrastructure is in place</t>
  </si>
  <si>
    <t>Prioritization
Alignment
Monitoring</t>
  </si>
  <si>
    <t>Page 44</t>
  </si>
  <si>
    <t>7.4 Sustainable infrastructure program
7.4.1 Objectives
This program aims to rationalise the technical infrastructure and develop
and maintain standards and architecture needed to support state wide ICT
initiatives and to ensure the maximum benefit is gained from the
investment in ICT.</t>
  </si>
  <si>
    <t>7.4.2 Programs supporting this strategy
The infrastructure strategy incorporates the following programs:
Infrastructure Defining and implementing the
telecommunications and technical infrastructure
to support the clinical and corporate strategies.
Architecture and
Standards
Providing the enterprise architecture enterprise
integration layer and core technical standards
required to manage NSW information assets.
Information
management
Ensuring that uniform data standards are
developed and applied across state based builds
and other systems as appropriate and that data
quality strategies are in place to ensure
maximum value from the information collected
across NSW.</t>
  </si>
  <si>
    <t>Infrastructure coherence
Standard adherence
Data quality</t>
  </si>
  <si>
    <t>Corporate reform program
ICT reform program
Implementation of IT solutions</t>
  </si>
  <si>
    <t>Development of ICT strategy
Investment priorities
Budget negotiation
Program delivery</t>
  </si>
  <si>
    <t>Alignment
Effectiveness
Integration
Sustainability
Compliance</t>
  </si>
  <si>
    <t>Support for users
Alignment with initiatives
Cost savings</t>
  </si>
  <si>
    <t>User optimization
Information accessibility
Time efficiency</t>
  </si>
  <si>
    <t>Staff shortages
Critical areas
User capacity</t>
  </si>
  <si>
    <t>Knowledge management
IT system advancement</t>
  </si>
  <si>
    <t>Expensive technologies
Costly materials</t>
  </si>
  <si>
    <t>Informed consumers
High expectations
Complex needs problems</t>
  </si>
  <si>
    <t>Lack of core ICT systems
System reform</t>
  </si>
  <si>
    <t>Demand for services
Workforce shortages
Government priorities
ICT strategies</t>
  </si>
  <si>
    <t>Availability of services
Effectiveness of services
Coordination of care
Supporting new care models
Sustainability of reform
Information flow along consumer journey
Consumer experience improvement
Appropriate consumer delivery</t>
  </si>
  <si>
    <t>Complexity and duplication in service delivery
Need for improved collaboration
Enhancement of coordination
Quality and safety improvement
Appropriate resource utilization</t>
  </si>
  <si>
    <t>Constraints and opportunities
Alignment with national initiatives</t>
  </si>
  <si>
    <t>New directions for IT
Primary goals of Executive Council</t>
  </si>
  <si>
    <t>Collaboration across jurisdictions
Consistency in systems approaches
National information network
Regulatory frameworks</t>
  </si>
  <si>
    <t>Prioritization of programs and projects
Sound investment decisions
Benefit to the organization
Common processes across ICT
Collaborative framework</t>
  </si>
  <si>
    <t>Standardizing processes across ICT
Guidelines application</t>
  </si>
  <si>
    <t>Collaborative implementation
Integration of governance models
Consistency in application development</t>
  </si>
  <si>
    <t>Development process
Integration with existing methodology
Informed decision-making</t>
  </si>
  <si>
    <t>Large content management
Resource constraints
Skills / Training
Scope creep</t>
  </si>
  <si>
    <t>Equal system participation
Change control process
Core functionality vs area-specific needs</t>
  </si>
  <si>
    <t>Management of programs
Integration of systems
Compatibility between systems</t>
  </si>
  <si>
    <t>Integration of unified systems
Disruption to processes
Data security
Data privacy</t>
  </si>
  <si>
    <t>Reducing risk factors
Preventing consumer issues
Interventions for high-risk consumers</t>
  </si>
  <si>
    <t>Implementation timeline
Systems implementation
Support for Consumers
Management information</t>
  </si>
  <si>
    <t>Collaboration
Consumer support
Employee management</t>
  </si>
  <si>
    <t>Disparate systems</t>
  </si>
  <si>
    <t>Duplication</t>
  </si>
  <si>
    <t>Outdated infrastructure</t>
  </si>
  <si>
    <t>Data sharing</t>
  </si>
  <si>
    <t>Performance monitoring</t>
  </si>
  <si>
    <t>Maintenance costs</t>
  </si>
  <si>
    <t>Sustainability</t>
  </si>
  <si>
    <t>Program effectiveness</t>
  </si>
  <si>
    <t>Fragmentation</t>
  </si>
  <si>
    <t>Outdated systems</t>
  </si>
  <si>
    <t>Alignment</t>
  </si>
  <si>
    <t>Effectiveness</t>
  </si>
  <si>
    <t>Integration</t>
  </si>
  <si>
    <t>Compliance</t>
  </si>
  <si>
    <t>Access to information</t>
  </si>
  <si>
    <t>Consistency</t>
  </si>
  <si>
    <t>Predictability</t>
  </si>
  <si>
    <t>Collaboration</t>
  </si>
  <si>
    <t>Interoperability</t>
  </si>
  <si>
    <t>Information flow</t>
  </si>
  <si>
    <t>Efficient structures</t>
  </si>
  <si>
    <t>Governance</t>
  </si>
  <si>
    <t>Minimizing impact</t>
  </si>
  <si>
    <t>Streamlined training processes</t>
  </si>
  <si>
    <t>Support for users</t>
  </si>
  <si>
    <t>Alignment with initiatives</t>
  </si>
  <si>
    <t>Cost savings</t>
  </si>
  <si>
    <t>ICT Alignment</t>
  </si>
  <si>
    <t>Investment plans</t>
  </si>
  <si>
    <t>Dependency</t>
  </si>
  <si>
    <t>Risk Identification</t>
  </si>
  <si>
    <t>Evaluation criteria</t>
  </si>
  <si>
    <t>Inclusion</t>
  </si>
  <si>
    <t>Replacement</t>
  </si>
  <si>
    <t>Procurement</t>
  </si>
  <si>
    <t>Implementation timeline</t>
  </si>
  <si>
    <t>Systems implementation</t>
  </si>
  <si>
    <t>Support for Consumers</t>
  </si>
  <si>
    <t>Management information</t>
  </si>
  <si>
    <t>Consumer support</t>
  </si>
  <si>
    <t>Employee management</t>
  </si>
  <si>
    <t>User optimization</t>
  </si>
  <si>
    <t>Information accessibility</t>
  </si>
  <si>
    <t>Time efficiency</t>
  </si>
  <si>
    <t>Resource management</t>
  </si>
  <si>
    <t>Capacity optimization</t>
  </si>
  <si>
    <t>Resource availability</t>
  </si>
  <si>
    <t>Financial management</t>
  </si>
  <si>
    <t>Funding availability</t>
  </si>
  <si>
    <t>Workflow improvement</t>
  </si>
  <si>
    <t>Decision support</t>
  </si>
  <si>
    <t>Integration of core systems</t>
  </si>
  <si>
    <t>Communication</t>
  </si>
  <si>
    <t>Standardized information access</t>
  </si>
  <si>
    <t>Resource utilization</t>
  </si>
  <si>
    <t>Management of future demand</t>
  </si>
  <si>
    <t>Increased services demand</t>
  </si>
  <si>
    <t>System projections</t>
  </si>
  <si>
    <t>Staff shortages</t>
  </si>
  <si>
    <t>Critical areas</t>
  </si>
  <si>
    <t>User capacity</t>
  </si>
  <si>
    <t>Increase database</t>
  </si>
  <si>
    <t>Future system demand</t>
  </si>
  <si>
    <t>Knowledge management</t>
  </si>
  <si>
    <t>IT system advancement</t>
  </si>
  <si>
    <t>Expensive technologies</t>
  </si>
  <si>
    <t>Costly materials</t>
  </si>
  <si>
    <t>Informed consumers</t>
  </si>
  <si>
    <t>High expectations</t>
  </si>
  <si>
    <t>Complex needs problems</t>
  </si>
  <si>
    <t>High user rates</t>
  </si>
  <si>
    <t>Safe working capacity</t>
  </si>
  <si>
    <t>Lack of core ICT systems</t>
  </si>
  <si>
    <t>System reform</t>
  </si>
  <si>
    <t>Constraints in funding</t>
  </si>
  <si>
    <t>Skilled project management</t>
  </si>
  <si>
    <t>Capacity for large-scale change</t>
  </si>
  <si>
    <t>Competing demands for ICT funds</t>
  </si>
  <si>
    <t>Priority determination</t>
  </si>
  <si>
    <t>Project scheduling complexity</t>
  </si>
  <si>
    <t>Convergence of issues</t>
  </si>
  <si>
    <t>Significant risk environment</t>
  </si>
  <si>
    <t>Need for service delivery change</t>
  </si>
  <si>
    <t>Demand for services</t>
  </si>
  <si>
    <t>Workforce shortages</t>
  </si>
  <si>
    <t>Government priorities</t>
  </si>
  <si>
    <t>ICT strategies</t>
  </si>
  <si>
    <t>Alignment with Results and Services Plan</t>
  </si>
  <si>
    <t>Support for strategic programs</t>
  </si>
  <si>
    <t>Alignment with reform programs</t>
  </si>
  <si>
    <t>Consideration of whole-of-government strategies</t>
  </si>
  <si>
    <t>Reducing risk factors</t>
  </si>
  <si>
    <t>Preventing consumer issues</t>
  </si>
  <si>
    <t>Interventions for high-risk consumers</t>
  </si>
  <si>
    <t>Availability of services</t>
  </si>
  <si>
    <t>Effectiveness of services</t>
  </si>
  <si>
    <t>Coordination of care</t>
  </si>
  <si>
    <t>Supporting new care models</t>
  </si>
  <si>
    <t>Sustainability of reform</t>
  </si>
  <si>
    <t>Information flow along consumer journey</t>
  </si>
  <si>
    <t>Consumer experience improvement</t>
  </si>
  <si>
    <t>Appropriate consumer delivery</t>
  </si>
  <si>
    <t>Complexity and duplication in service delivery</t>
  </si>
  <si>
    <t>Need for improved collaboration</t>
  </si>
  <si>
    <t>Enhancement of coordination</t>
  </si>
  <si>
    <t>Quality and safety improvement</t>
  </si>
  <si>
    <t>Appropriate resource utilization</t>
  </si>
  <si>
    <t>Constraints and opportunities</t>
  </si>
  <si>
    <t>Alignment with national initiatives</t>
  </si>
  <si>
    <t>New directions for IT</t>
  </si>
  <si>
    <t>Primary goals of Executive Council</t>
  </si>
  <si>
    <t>Reform agenda</t>
  </si>
  <si>
    <t>Business reform</t>
  </si>
  <si>
    <t>Improvements to Indigenous consumers</t>
  </si>
  <si>
    <t>Preventative services</t>
  </si>
  <si>
    <t>Collaboration across jurisdictions</t>
  </si>
  <si>
    <t>Consistency in systems approaches</t>
  </si>
  <si>
    <t>National information network</t>
  </si>
  <si>
    <t>Regulatory frameworks</t>
  </si>
  <si>
    <t>ICT standards</t>
  </si>
  <si>
    <t>ICT strategic plan</t>
  </si>
  <si>
    <t>Unique Identifiers</t>
  </si>
  <si>
    <t>Individual Electronic Record</t>
  </si>
  <si>
    <t>Identity management standards</t>
  </si>
  <si>
    <t>Secure messaging</t>
  </si>
  <si>
    <t>Supply chain management</t>
  </si>
  <si>
    <t>Corporate reform program</t>
  </si>
  <si>
    <t>ICT reform program</t>
  </si>
  <si>
    <t>Implementation of IT solutions</t>
  </si>
  <si>
    <t>Development of ICT strategy</t>
  </si>
  <si>
    <t>Investment priorities</t>
  </si>
  <si>
    <t>Budget negotiation</t>
  </si>
  <si>
    <t>Program delivery</t>
  </si>
  <si>
    <t>Responsibilities of Support Services</t>
  </si>
  <si>
    <t>Implementation of system</t>
  </si>
  <si>
    <t>Hardware management</t>
  </si>
  <si>
    <t>Software management</t>
  </si>
  <si>
    <t>Local implementations</t>
  </si>
  <si>
    <t>Change management</t>
  </si>
  <si>
    <t>Staff training</t>
  </si>
  <si>
    <t>Benefits realization</t>
  </si>
  <si>
    <t>Prioritization of programs and projects</t>
  </si>
  <si>
    <t>Sound investment decisions</t>
  </si>
  <si>
    <t>Benefit to the organization</t>
  </si>
  <si>
    <t>Common processes across ICT</t>
  </si>
  <si>
    <t>Collaborative framework</t>
  </si>
  <si>
    <t>Achieving business priorities</t>
  </si>
  <si>
    <t>Standardizing processes across ICT</t>
  </si>
  <si>
    <t>Guidelines application</t>
  </si>
  <si>
    <t>Collaborative implementation</t>
  </si>
  <si>
    <t>Integration of governance models</t>
  </si>
  <si>
    <t>Consistency in application development</t>
  </si>
  <si>
    <t>Classification of applications</t>
  </si>
  <si>
    <t>Management of applications</t>
  </si>
  <si>
    <t>Achieving outcomes</t>
  </si>
  <si>
    <t>Alignment with business benefits</t>
  </si>
  <si>
    <t>Disconnect of strategy and implementation</t>
  </si>
  <si>
    <t>Development process</t>
  </si>
  <si>
    <t>Integration with existing methodology</t>
  </si>
  <si>
    <t>Informed decision-making</t>
  </si>
  <si>
    <t>Large content management</t>
  </si>
  <si>
    <t>Resource constraints</t>
  </si>
  <si>
    <t>Skills / Training</t>
  </si>
  <si>
    <t>Scope creep</t>
  </si>
  <si>
    <t>Equal system participation</t>
  </si>
  <si>
    <t>Change control process</t>
  </si>
  <si>
    <t>Core functionality vs area-specific needs</t>
  </si>
  <si>
    <t>Implementation delays</t>
  </si>
  <si>
    <t>Allocation of resources</t>
  </si>
  <si>
    <t>Management of programs</t>
  </si>
  <si>
    <t>Integration of systems</t>
  </si>
  <si>
    <t>Compatibility between systems</t>
  </si>
  <si>
    <t>Integration of unified systems</t>
  </si>
  <si>
    <t>Disruption to processes</t>
  </si>
  <si>
    <t>Data security</t>
  </si>
  <si>
    <t>Data privacy</t>
  </si>
  <si>
    <t>Timeliness</t>
  </si>
  <si>
    <t>Accuracy of data</t>
  </si>
  <si>
    <t>Accuracy of Reporting</t>
  </si>
  <si>
    <t>Integration of data</t>
  </si>
  <si>
    <t>Unified platform</t>
  </si>
  <si>
    <t>Data accessibility</t>
  </si>
  <si>
    <t>Prioritization</t>
  </si>
  <si>
    <t>Monitoring</t>
  </si>
  <si>
    <t>Infrastructure efficiency</t>
  </si>
  <si>
    <t>Resource optimization</t>
  </si>
  <si>
    <t>Infrastructure coherence</t>
  </si>
  <si>
    <t>Standard adherence</t>
  </si>
  <si>
    <t>Data quality</t>
  </si>
  <si>
    <t>Fragmentation
Outdated systems
Compatibility</t>
  </si>
  <si>
    <t>Access to information
Consistency
Predictability</t>
  </si>
  <si>
    <t>Efficient structures
System deployment &amp; Integration
Sustainability
Minimizing impact
Streamlined training processes</t>
  </si>
  <si>
    <t>ICT Alignment
Governance
Investment plans
Business strategy</t>
  </si>
  <si>
    <t>ICT Alignment
Risk Identification
Dependency</t>
  </si>
  <si>
    <t>Resource management
Capacity optimization
Planning</t>
  </si>
  <si>
    <t>Integrated analysis &amp; System outcome indicators
Resource availability
Financial management</t>
  </si>
  <si>
    <t>Priority areas &amp; Resource allocation
Funding availability
Core function delivery &amp; Urgent issue resolution</t>
  </si>
  <si>
    <t>Integration of core systems
Information accessibility
Resource management</t>
  </si>
  <si>
    <t>Increased services demand
Service delivery
System projections</t>
  </si>
  <si>
    <t>Quality &amp; Safety standards
High user rates
Safe working capacity</t>
  </si>
  <si>
    <t>Communication
Policies &amp; Procedures
Skills and competence
Work scheduling</t>
  </si>
  <si>
    <t>Constraints in funding
Skilled project management
Capacity for large-scale change</t>
  </si>
  <si>
    <t>System Support</t>
  </si>
  <si>
    <t>Compatibility</t>
  </si>
  <si>
    <t>System deployment &amp; Integration</t>
  </si>
  <si>
    <t>Business strategy</t>
  </si>
  <si>
    <t>Planning</t>
  </si>
  <si>
    <t>Integrated analysis &amp; System outcome indicators</t>
  </si>
  <si>
    <t>Priority areas &amp; Resource allocation</t>
  </si>
  <si>
    <t>Core function delivery &amp; Urgent issue resolution</t>
  </si>
  <si>
    <t>Service delivery</t>
  </si>
  <si>
    <t>Rising system usage</t>
  </si>
  <si>
    <t>Quality &amp; Safety standards</t>
  </si>
  <si>
    <t>Policies &amp; Procedures</t>
  </si>
  <si>
    <t>Skills and competence</t>
  </si>
  <si>
    <t>Work scheduling</t>
  </si>
  <si>
    <t>Preventative solutions</t>
  </si>
  <si>
    <t>User experience</t>
  </si>
  <si>
    <t>Future benefits</t>
  </si>
  <si>
    <t>Strengthening relationships</t>
  </si>
  <si>
    <t>Costs of services</t>
  </si>
  <si>
    <t>Sustainable Workforce</t>
  </si>
  <si>
    <t>New risk potential</t>
  </si>
  <si>
    <t>Maintenance of systems</t>
  </si>
  <si>
    <t>Responsibilities of Services</t>
  </si>
  <si>
    <t>Standardized information</t>
  </si>
  <si>
    <t>Budget control</t>
  </si>
  <si>
    <t>Regulatory adherence</t>
  </si>
  <si>
    <t>Customer service</t>
  </si>
  <si>
    <t>Process optimization</t>
  </si>
  <si>
    <t>Data governance</t>
  </si>
  <si>
    <t>Forecasting</t>
  </si>
  <si>
    <t>Scalability</t>
  </si>
  <si>
    <t>Futureproofing</t>
  </si>
  <si>
    <t>Teamwork enhancement</t>
  </si>
  <si>
    <t>Employee development</t>
  </si>
  <si>
    <t>Data integrity</t>
  </si>
  <si>
    <t>Increase database
Rising system usage
Future system demand</t>
  </si>
  <si>
    <t>Preventative solutions
User experience
Future benefits
Strengthening relationships
Costs of services
Sustainable Workforce
New risk potential</t>
  </si>
  <si>
    <t>ICT standards
ICT strategic plan
Interoperability
Standardized information
Unique Identifiers
Individual Electronic Record
Identity management standards
Secure messaging
Supply chain management</t>
  </si>
  <si>
    <t>Responsibilities of Support Services
Implementation of system
Maintenance of systems
Support for Consumers
Hardware management
Software management</t>
  </si>
  <si>
    <t>Responsibilities of Services
Local implementations
Change management
Staff training
Benefits realization</t>
  </si>
  <si>
    <t>Evaluation criteria
Prioritization
Monitoring
Achieving business priorities</t>
  </si>
  <si>
    <t>Classification of applications
Management of applications
Resource management
Achieving outcomes</t>
  </si>
  <si>
    <t>Alignment with business benefits
Risk Identification
Disconnect of strategy and implementation</t>
  </si>
  <si>
    <t>Alignment
Implementation delays
Allocation of resources</t>
  </si>
  <si>
    <t>Infrastructure efficiency
Standardized information
Resource optimization</t>
  </si>
  <si>
    <t>Timeliness
Accuracy of data
Accuracy of Reporting
Integration of data
Unified platform
Data accessibility
Data privacy</t>
  </si>
  <si>
    <t>NSW Health is changing how it does things to meet challenges. They're putting in a big program to fix clinical, corporate, and tech stuff. Getting the right IT tools is key to making sure these changes last. Before, they had a mess of different systems which made things harder and more expensive. Plus, some of their systems are ancient and hard to support</t>
  </si>
  <si>
    <t>Because of all this, it's hard to share patient info and coordinate care properly. Managers struggle to get accurate info on how well the systems are doing. And keeping them running costs a lot of money.</t>
  </si>
  <si>
    <t>This setup could harm the long-term success of the Clinical Services Redesign and Corporate Shared Services. So, they're reshaping the ICT program to fit these reforms better. They're aiming to connect scattered information and tech and quickly support both clinical and corporate changes.</t>
  </si>
  <si>
    <t>Back in 2000, the Integrated Clinical Information Program (ICIP) started based on advice from the NSW Health Council. Its goal is to fix the problems with a clear plan. The idea is to give essential clinical features to all of NSW. They've already made big strides in setting up patient administration, clinical, and corporate systems</t>
  </si>
  <si>
    <t>Clinical Systems Strategy
Corporate Systems Strategy
Business Information Strategy
Sustainable Infrastructure Strategy
Whole of Government ICT Strategic Directions</t>
  </si>
  <si>
    <t>They're making care safer and better by giving clinicians the info they need and setting up systems for consistent, predictable processes across the state.</t>
  </si>
  <si>
    <t>They're improving teamwork among health agencies in NSW, as well as with private companies and nationally, so everyone can work together better. This means info flows more smoothly, helping patients and making things more efficient.</t>
  </si>
  <si>
    <t>They're expecting to save a lot of money by setting up new structures and ways of doing things. By rolling out key programs quickly, they'll spend less on managing projects, and they can piggyback on existing changes to save even more. This also means less disruption for clinicians and patients and less money spent on training.</t>
  </si>
  <si>
    <t>The ICT Strategy is built on three main ideas:
Better support for clinicians and patient care.
Aligning with big NSW Health plans.
Saving a lot of money.
These ideas guide five key objectives:
Using ICT to drive big changes in clinical care.
Cutting down on duplicated admin systems and costs.
Providing top-notch info to everyone in the organization.
Setting up a flexible ICT system that supports both clinical and corporate reforms.
Managing ICT in a smart, coordinated way to get the most out of the investment.</t>
  </si>
  <si>
    <t>ICT Asset Management Strategy
NSW Health's Enterprise Architecture, which covers:
Clinical Systems Architecture
Corporate Systems Architecture and Strategy
Business Information Strategy
Infrastructure Strategy
Integration Architecture Strategy
ICT Governance Framework
ICT Portfolio Management and Program of Work
ICT Investment Plan for 2006-2017.</t>
  </si>
  <si>
    <t>From the RSP:
They've picked out results and services that rely on ICT assets.
They've identified risks related to ICT assets that could affect service delivery.
They've pinpointed services and measures that hinge on ICT assets working properly.
From the NSW Health Corporate Plan:
They've considered the overall vision for the community.
They've outlined how NSW Health will contribute to this vision.
They've focused on strategies to achieve goals, along with potential risks.
They've set up ways to measure performance and ensure targets are met.
They've looked at the costs involved in reaching the vision and meeting targets.</t>
  </si>
  <si>
    <t xml:space="preserve">    Contribution to major service reform agendas and alignment with planned NSW Health priorities and plans.
    Support for the patient journey across different care settings and improvement of healthcare quality and safety for a large number of people.
    Ability to enhance efficiency and effectiveness in healthcare delivery and workforce utilization.
    Adherence to state ICT strategic planning requirements.
    Potential to generate a positive return on investment.</t>
  </si>
  <si>
    <t>They should only add new projects to their investment plan. When it's time to replace old systems, they can handle it through contracts with vendors.</t>
  </si>
  <si>
    <t>By 2011, they plan to have core clinical and corporate systems set up across NSW. This will help patients move through the healthcare system smoothly and ensure efficient management. Implementing the ICT Strategy will bring benefits to patients, clinicians, departments, hospitals, areas, and the whole state.</t>
  </si>
  <si>
    <t>For patients and clinicians, the goal is to have a complete picture of the patient's health history. This way, all healthcare providers can work together effectively, knowing each other's roles and contributions. Corporate systems also support this by giving a clear view of employees, making sure care is delivered smoothly</t>
  </si>
  <si>
    <t>The strategy benefits patients by ensuring clinicians have all the information they need for optimal care, easily accessible whenever and wherever it's needed. This saves clinicians time by reducing the need to search for information or repeat tests unnecessarily, giving them more time for direct patient care.</t>
  </si>
  <si>
    <t>Nursing Unit Manager (NUM) can plan patient care better when they know all the demands and resources. This includes patients from the emergency room, post-surgery, and transfers, as well as available beds and staff skills.</t>
  </si>
  <si>
    <t>At hospital, area, and department executive levels, having a complete portfolio lets them look at health outcomes, service demand, resources, performance, and finances all together.</t>
  </si>
  <si>
    <t>The ICT Strategy focuses on key areas and will address them as resources allow. Other initiatives will only be added if they don't affect these core functions or if there's an urgent need.</t>
  </si>
  <si>
    <t>By 2011, clinical departments will have improved systems for workflow, decision-making support, and accessing necessary information. This helps clinicians make better decisions for patients, leading to safer care</t>
  </si>
  <si>
    <t>Integrated hospital systems mean information is collected once and available to all, reducing handover issues and improving resource management for smoother patient care.</t>
  </si>
  <si>
    <t>The ICT Strategy aims to improve patient care by giving Nursing Unit Managers better information to plan and care for patients, helping hospital executives manage resources and performance, making it easier for departments to access important info and make decisions, integrating key systems across hospitals for smoother patient care, and standardizing information across regions to manage resources and patient transfers more effectively</t>
  </si>
  <si>
    <t>Rolling out core systems across NSW will have big benefits. Everyone gains, but it's best when the whole state uses them. Standardized info will help NSW Health meet goals by improving patient care, ensuring timely access to services, and better coordination in the health system. Accurate data will help use resources better and manage future needs.</t>
  </si>
  <si>
    <t>A steady increase in demand for services is expected due to an aging population. In NSW, the number of people over 65 is growing quickly. Each year from 2012 to 2028, the percentage of older Australians is projected to rise by over 0.35 points annually, which is about four times the long-term average increase.</t>
  </si>
  <si>
    <t>Staff shortages in critical areas such as nursing and medicine Hospitals running at maximum capacity</t>
  </si>
  <si>
    <t>The rate of chronic diseases like heart disease, lung disease, diabetes, and cancer is rising. Obesity is becoming more common among young people, and our increasingly globalized society raises the risk of pandemics.</t>
  </si>
  <si>
    <t>Quality and safety standards are being challenged as demand increases and staff numbers decrease. For instance, from 2000 to 2005, NSW hospitals had an average occupancy of 93%. Some metropolitan hospitals had surgical and medical wards with 95-98% occupancy, while 85% is considered a much safer level.</t>
  </si>
  <si>
    <t>The key factors that cause these adverse events are:
_x0001_ Communication
_x0001_ Policies and procedures
_x0001_ Knowledge, skills and competence issues
_x0001_ Work scheduling</t>
  </si>
  <si>
    <t>There are many competing demands for ICT funds. Deciding which projects to prioritize and schedule is complex and needs ongoing review to ensure funds are allocated where they will be most beneficial.</t>
  </si>
  <si>
    <t>NSW Health needs to change how it delivers services to meet these challenges. They've started a big reform program and need the right IT solutions to support staff and make these changes last</t>
  </si>
  <si>
    <t>NSW Health is responding to big challenges like more people needing healthcare and not enough staff. They're looking at what the government wants, like improving mental health and using better technology. That helps them decide what to do next and where to spend money.</t>
  </si>
  <si>
    <t>The Results and Services Plan guides everything in NSW Health. There are other plans helping out too. The ICT Strategic Plan is one of them, making sure it works well with the main plan. They also look at what the whole government and the country are doing.</t>
  </si>
  <si>
    <t>The RSP is NSW Health's main plan to tackle challenges. They have four main goals:
Keep people healthy
Provide needed healthcare
Deliver top-quality services
Manage health services well
To achieve these, they focus on seven key directions:
Get everyone involved in prevention
Improve people's healthcare experiences
Strengthen community care
Work with others for better health
Make wise choices about healthcare costs
Build a strong healthcare workforce
Stay prepared for new challenges and chances</t>
  </si>
  <si>
    <t>NSW Health wants to prevent sickness and promote good health habits. They're focusing on getting more people vaccinated and helping those at risk for diseases like diabetes. ICT can help by sending alerts about things like missed vaccinations or overdue check-ups</t>
  </si>
  <si>
    <t>NSW Health wants to make sure everyone gets the care they need, when they need it. They're using tech to support new ways of caring for people and making sure changes stick. Better info during your care journey means a better experience and getting the right care.</t>
  </si>
  <si>
    <t>NSW Health aims to improve healthcare by working better together. They're using tech to help everyone collaborate and use resources wisely. That means better tools for healthcare workers and making sure everyone gets great care.</t>
  </si>
  <si>
    <t>The NSW Government's IT setup influences NSW Health's ICT plan. They aim to make sure NSW initiatives match up with and sometimes even help shape national and statewide plans</t>
  </si>
  <si>
    <t>The NSW Government is changing how they use computers and stuff. They want to save money on the boring tech stuff while keeping important services running smoothly. They're spending more on technology for important services and finding ways to save money with computers. This means using one fund for all tech needs, having a plan for the whole state, using fewer computer programs, sharing tech, and buying things together.</t>
  </si>
  <si>
    <t>COAG is a group working on important national stuff like mental health, healthcare workers, flu plans, and electronic health records. They're making big plans for healthcare, like making hospitals better and helping people stay healthy. This ICT plan is part of making those plans work by improving healthcare in hospitals and communities</t>
  </si>
  <si>
    <t>The eHealth initiative involves all states, territories, and the Australian Government. It began in 2000 to set up e-health across Australia. The Australian Government has invested $128 million in e-health projects across the country, plus an extra $10 million in 2005 for managed health network grants. The aim is to make sure everyone works together, with consistent approaches to eHealth, creating a national health information network. The program also helps make the right rules for eHealth initiatives.</t>
  </si>
  <si>
    <t>NEHTA makes sure health info works the same way everywhere in Australia. They're working on stuff like making sure doctors' notes and patient info look the same everywhere. They're also setting up a single ID for healthcare and getting ready for a national health record system. Plus, they're making sure the stuff doctors send each other is safe, and helping with buying healthcare stuff</t>
  </si>
  <si>
    <t>Health Support Services sets up and maintains key computer systems for healthcare. They give specific IT help to Area Health Services as defined by the law. This includes managing computers, software, and helping with setting up systems.</t>
  </si>
  <si>
    <t>Area Health Services are responsible for the management of local
implementations, change management and training of staff and benefits
realisation.</t>
  </si>
  <si>
    <t>They pick the most important projects and invest wisely for the health system. We work together on ICT stuff and have clear rules. This helps us decide what to build and how to run things</t>
  </si>
  <si>
    <t>NSW Health uses a coordinated approach to manage ICT projects. This helps us evaluate, prioritize, select, and monitor programs and projects. We adjust as needed to meet our business goals.</t>
  </si>
  <si>
    <t>They have set ways of doing things that support our ICT plan. These cover every step of a project's life.</t>
  </si>
  <si>
    <t>To make the strategy work, NSW Health collaborates with the Department of Health, Area Health Services, Health Technology, and third-party providers, using shared decision-making processes and building core applications at the state level</t>
  </si>
  <si>
    <t>Applications and projects are categorized as core, common, or divergent, influencing their prioritization, funding, and management, with core ones managed by the Department, common ones collaboratively, and divergent ones allowing for innovative solutions to local needs.</t>
  </si>
  <si>
    <t>The Project Governance framework makes sure projects do what they're supposed to and deliver the benefits they promised. It helps NSW Health focus on the right projects and ensures they're done correctly. This way, strategy and delivery stay connected, reducing risks for the whole portfolio</t>
  </si>
  <si>
    <t>In the Content Development phase, they design and build a prototype, then review it with clinicians. We use a method called Fast Track, which makes the process quicker. The prototype helps clinicians understand the application better and decide if it works for them</t>
  </si>
  <si>
    <t>In the Implementation phase, they're putting in the content decided by the state. Doing it all at once might seem like a lot, but it's the most efficient and cost-effective way. Using the Fast Track Method makes things quicker and cheaper, sticking to a standard design with state content. This means less hassle and less time spent learning for Area Health Services staff. Their team knows how to build the database, and doing things fast helps them stick to the plan without adding extra stuff.</t>
  </si>
  <si>
    <t>The SBB uses a maturity model to improve its features over time, with all Area Health Services contributing to each version, changes requiring approval from the majority of the Application Advisory Group, and new versions released annually, featuring required core functions, modifiable features, and local content.</t>
  </si>
  <si>
    <t>The Clinical Systems Strategy aims to implement essential clinical systems supporting Clinical Services Redesign, Quality and Safety initiatives, and clinical programs. It focuses on improving communication, reducing delays, and supporting patient care, ensuring resources are allocated flexibly to meet patient needs</t>
  </si>
  <si>
    <t>Three programs support the Clinical Systems Strategy: the Electronic Medical Record program for managing patients in hospitals, the Primary, Community, and Outpatient Care program for community care, and the Clinical Support program for essential support systems like Patient Administration and diagnostics.</t>
  </si>
  <si>
    <t>The Corporate Systems Strategy sets up essential systems to support the Corporate Shared Services reform program, cutting duplication and costs in administrative tasks to redirect funds to frontline care, with the Corporate Systems program as its backbone.</t>
  </si>
  <si>
    <t>The Business Information Strategy aims to provide timely, high-quality information throughout the organization, fostering a performance-driven culture. It helps turn data into insights, supports decision-making, aligns with strategic goals, ensures accountability, and follows the overall program and change management approach.</t>
  </si>
  <si>
    <t>Three programs support the Business Information Strategy: one delivers useful information to front-line staff, another integrates strategic frameworks and develops performance measures, and the third ensures systems can provide consistent data and sets up technical infrastructure</t>
  </si>
  <si>
    <t>The Sustainable Infrastructure program aims to streamline technical infrastructure, establish and uphold standards and architecture for statewide ICT initiatives, and ensure maximum benefit from ICT investments.</t>
  </si>
  <si>
    <t>The Sustainable Infrastructure program includes three parts: setting up infrastructure, establishing technical standards, and ensuring uniform data standards across systems in NSW.</t>
  </si>
  <si>
    <t>What are the possible solutions that can be implemented to mitigate reaised concerns while maintaing the organizations values ?</t>
  </si>
  <si>
    <t>Government priorities
Reform agenda
Business reform
Improvements to Indigenous consumers
Preventative services</t>
  </si>
  <si>
    <t>What are the possible solutions that can be implemented to mitigate reaised concerns while maintaing the organizations values ?
What are the possible solutions that can be implemented to mitigate raised concerns while maintaining the organizations values ?</t>
  </si>
  <si>
    <t>Collaboration
Interoperability
Information flow</t>
  </si>
  <si>
    <t>Workflow improvement
Decision support
Resource management
Information accessibility</t>
  </si>
  <si>
    <t>Integration of systems
Information accessibility
Resource management
Standardized information
Collaboration</t>
  </si>
  <si>
    <t>Systems implementation
Standardized information access
Resource utilization
Management of future demand</t>
  </si>
  <si>
    <t>focuses on developing national health information management and communication technology standards. Its work includes creating frameworks for interoperability, standardizing clinical communications, establishing unique healthcare identifiers, and preparing standards for individual electronic health records, identity management, secure messaging, and supply chain management.</t>
  </si>
  <si>
    <t>To tackle challenges and prepare for the future, NSW Health is changing how it delivers services. Implementing IT solutions to support staff and integrate business processes is key for sustainable service delivery changes.</t>
  </si>
  <si>
    <t>Resource Management and Utilization</t>
  </si>
  <si>
    <t>Collaboration and Communication</t>
  </si>
  <si>
    <t>Data and Information Management</t>
  </si>
  <si>
    <t>Business Alignment</t>
  </si>
  <si>
    <t>Consumer Experience and Support</t>
  </si>
  <si>
    <t>Standardization and Streamlining Processes</t>
  </si>
  <si>
    <t>Financial Management and Budgeting</t>
  </si>
  <si>
    <t>Operational Effectiveness and Efficiency</t>
  </si>
  <si>
    <t>Compliance and Governance</t>
  </si>
  <si>
    <t>Future Planning and System Demand</t>
  </si>
  <si>
    <t>Infrastructure and Hardware Management</t>
  </si>
  <si>
    <t>Implementation Challenges and Delays</t>
  </si>
  <si>
    <t>System and Technology Improvement</t>
  </si>
  <si>
    <t>System Deployment and Integration</t>
  </si>
  <si>
    <t>System Maintenance and Support</t>
  </si>
  <si>
    <t>Program and Project Management</t>
  </si>
  <si>
    <t>Risk Identification and Management</t>
  </si>
  <si>
    <t>Strategic Planning and Development</t>
  </si>
  <si>
    <t>Policy and Organizational Reform</t>
  </si>
  <si>
    <t>Employee Training and Development</t>
  </si>
  <si>
    <t>Data Security, Quality and Privacy</t>
  </si>
  <si>
    <t>Concern</t>
  </si>
  <si>
    <t>Tech Concept</t>
  </si>
  <si>
    <t>Tech Layers</t>
  </si>
  <si>
    <t>ID</t>
  </si>
  <si>
    <t>Facts</t>
  </si>
  <si>
    <t>Organizational Values</t>
  </si>
  <si>
    <t>Table 1:  Thematic Analysis</t>
  </si>
  <si>
    <t>Editable Fields</t>
  </si>
  <si>
    <t>Glossary Check</t>
  </si>
  <si>
    <t>Accuracy of Reporting
Duplication</t>
  </si>
  <si>
    <t>Table 6: Tool Data</t>
  </si>
  <si>
    <t>Total</t>
  </si>
  <si>
    <t>Factors</t>
  </si>
  <si>
    <t>Groups</t>
  </si>
  <si>
    <t>Sub Groups</t>
  </si>
  <si>
    <t>Table 4: Current Groups</t>
  </si>
  <si>
    <t>Table 3: Factor Check</t>
  </si>
  <si>
    <t>Factors that Need to be added</t>
  </si>
  <si>
    <t>Current Groups</t>
  </si>
  <si>
    <t>Catergories</t>
  </si>
  <si>
    <t>Sub Catergories</t>
  </si>
  <si>
    <t>Extracts</t>
  </si>
  <si>
    <t>References</t>
  </si>
  <si>
    <t>Table 2: Glossary</t>
  </si>
  <si>
    <t>Communication Tools</t>
  </si>
  <si>
    <t>Predictive Analytics</t>
  </si>
  <si>
    <t>Factor</t>
  </si>
  <si>
    <t>Data Management</t>
  </si>
  <si>
    <t>Application</t>
  </si>
  <si>
    <t>Data Quality</t>
  </si>
  <si>
    <t>Reporting Systems</t>
  </si>
  <si>
    <t>Strategic Alignment</t>
  </si>
  <si>
    <t>Outcome Measurement</t>
  </si>
  <si>
    <t>Strategic Planning</t>
  </si>
  <si>
    <t>Program Governance</t>
  </si>
  <si>
    <t>Policy Compliance</t>
  </si>
  <si>
    <t>Change Management</t>
  </si>
  <si>
    <t>Results-Based Planning</t>
  </si>
  <si>
    <t>Resource Management</t>
  </si>
  <si>
    <t>Service Design</t>
  </si>
  <si>
    <t>Resource Optimization</t>
  </si>
  <si>
    <t>Service Availability</t>
  </si>
  <si>
    <t>Organizational Value</t>
  </si>
  <si>
    <t>Financial Planning</t>
  </si>
  <si>
    <t>Change Initiatives</t>
  </si>
  <si>
    <t>Change Readiness</t>
  </si>
  <si>
    <t>Performance Tuning</t>
  </si>
  <si>
    <t>Transition Planning</t>
  </si>
  <si>
    <t>Stakeholder Engagement</t>
  </si>
  <si>
    <t>Interagency Cooperation</t>
  </si>
  <si>
    <t>Governance Structure</t>
  </si>
  <si>
    <t>Joint Program Delivery</t>
  </si>
  <si>
    <t>Process Standardization</t>
  </si>
  <si>
    <t>System Interoperability</t>
  </si>
  <si>
    <t>Integration Architecture</t>
  </si>
  <si>
    <t>Case Management Systems</t>
  </si>
  <si>
    <t>Process Optimization</t>
  </si>
  <si>
    <t>Policy &amp; Regulation</t>
  </si>
  <si>
    <t>Policy Alignment</t>
  </si>
  <si>
    <t>Standards Adherence</t>
  </si>
  <si>
    <t>Dev Standards</t>
  </si>
  <si>
    <t>System Architecture</t>
  </si>
  <si>
    <t>Risk and Opportunity Analysis</t>
  </si>
  <si>
    <t>UX Design</t>
  </si>
  <si>
    <t>Helpdesk / User Services</t>
  </si>
  <si>
    <t>Integrated Service Design</t>
  </si>
  <si>
    <t>Care Coordination Systems</t>
  </si>
  <si>
    <t>Core Services</t>
  </si>
  <si>
    <t>Organizational Change</t>
  </si>
  <si>
    <t>Cost Efficiency</t>
  </si>
  <si>
    <t>Procurement Strategy</t>
  </si>
  <si>
    <t>Service Costing</t>
  </si>
  <si>
    <t>Priority Services</t>
  </si>
  <si>
    <t>Open Data / Interoperability</t>
  </si>
  <si>
    <t>Privacy and Security</t>
  </si>
  <si>
    <t>Data Governance</t>
  </si>
  <si>
    <t>Cybersecurity</t>
  </si>
  <si>
    <t>Information Exchange</t>
  </si>
  <si>
    <t>Decision Support Systems</t>
  </si>
  <si>
    <t>Service Planning</t>
  </si>
  <si>
    <t>System Dependencies</t>
  </si>
  <si>
    <t>ICT Strategic Planning</t>
  </si>
  <si>
    <t>Software Development Lifecycle</t>
  </si>
  <si>
    <t>Execution Gap</t>
  </si>
  <si>
    <t>Legacy Systems</t>
  </si>
  <si>
    <t>Redundancy Management</t>
  </si>
  <si>
    <t>Service Evaluation</t>
  </si>
  <si>
    <t>Lean Architecture</t>
  </si>
  <si>
    <t>HR Systems</t>
  </si>
  <si>
    <t>Workflow Systems</t>
  </si>
  <si>
    <t>Project Metrics</t>
  </si>
  <si>
    <t>Cost Analysis</t>
  </si>
  <si>
    <t>Budgeting Systems</t>
  </si>
  <si>
    <t>System Silos</t>
  </si>
  <si>
    <t>Funding Sources</t>
  </si>
  <si>
    <t>Capacity Planning</t>
  </si>
  <si>
    <t>Program Oversight</t>
  </si>
  <si>
    <t>Policy Objectives</t>
  </si>
  <si>
    <t>System Scalability</t>
  </si>
  <si>
    <t>IT-Business Alignment</t>
  </si>
  <si>
    <t>Transformation Planning</t>
  </si>
  <si>
    <t>Compliance and Standards</t>
  </si>
  <si>
    <t>Long-term Planning</t>
  </si>
  <si>
    <t>Implementation Roadmap</t>
  </si>
  <si>
    <t>IAM</t>
  </si>
  <si>
    <t>Timeline Risk</t>
  </si>
  <si>
    <t>Rollout Process</t>
  </si>
  <si>
    <t>Deployment</t>
  </si>
  <si>
    <t>Scheduling</t>
  </si>
  <si>
    <t>Inclusive Design</t>
  </si>
  <si>
    <t>Equity</t>
  </si>
  <si>
    <t>Data Collection</t>
  </si>
  <si>
    <t>Digital Health Records</t>
  </si>
  <si>
    <t>Open Access</t>
  </si>
  <si>
    <t>Workflow Management</t>
  </si>
  <si>
    <t>Journey Mapping</t>
  </si>
  <si>
    <t>Health Literacy Tools</t>
  </si>
  <si>
    <t>System Integration</t>
  </si>
  <si>
    <t>Infrastructure Optimization</t>
  </si>
  <si>
    <t>Systems Integration</t>
  </si>
  <si>
    <t>Core Platform Integration</t>
  </si>
  <si>
    <t>Data Interoperability</t>
  </si>
  <si>
    <t>Governance Integration</t>
  </si>
  <si>
    <t>Unified Platforms</t>
  </si>
  <si>
    <t>Methodological Compatibility</t>
  </si>
  <si>
    <t>Standards-based Integration</t>
  </si>
  <si>
    <t>Capital Planning</t>
  </si>
  <si>
    <t>Priority Setting</t>
  </si>
  <si>
    <t>Digital Modernization</t>
  </si>
  <si>
    <t>KM Systems</t>
  </si>
  <si>
    <t>System Deficit</t>
  </si>
  <si>
    <t>ECM (Enterprise Content Management)</t>
  </si>
  <si>
    <t>Site-Specific Rollouts</t>
  </si>
  <si>
    <t>Ongoing Costs</t>
  </si>
  <si>
    <t>System Operations</t>
  </si>
  <si>
    <t>MIS Systems</t>
  </si>
  <si>
    <t>Demand Forecasting</t>
  </si>
  <si>
    <t>Risk Mitigation</t>
  </si>
  <si>
    <t>System Monitoring</t>
  </si>
  <si>
    <t>National Infrastructure</t>
  </si>
  <si>
    <t>Collaboration Tools</t>
  </si>
  <si>
    <t>Service Innovation</t>
  </si>
  <si>
    <t>Innovation Strategy</t>
  </si>
  <si>
    <t>Risk Assessment</t>
  </si>
  <si>
    <t>Legacy Replacement</t>
  </si>
  <si>
    <t>System Modernization</t>
  </si>
  <si>
    <t>KPIs / Metrics</t>
  </si>
  <si>
    <t>Demand Modeling</t>
  </si>
  <si>
    <t>Preventive Care Systems</t>
  </si>
  <si>
    <t>Early Intervention Tools</t>
  </si>
  <si>
    <t>Risk Management</t>
  </si>
  <si>
    <t>Strategic Goals</t>
  </si>
  <si>
    <t>Decision Framework</t>
  </si>
  <si>
    <t>Portfolio Management</t>
  </si>
  <si>
    <t>Resource Prioritization</t>
  </si>
  <si>
    <t>Prioritization Matrix</t>
  </si>
  <si>
    <t>Vendor Management</t>
  </si>
  <si>
    <t>Execution Management</t>
  </si>
  <si>
    <t>Outcome Evaluation</t>
  </si>
  <si>
    <t>Project Management</t>
  </si>
  <si>
    <t>Compliance Framework</t>
  </si>
  <si>
    <t>Continuous Improvement</t>
  </si>
  <si>
    <t>Change Strategy</t>
  </si>
  <si>
    <t>Policy Environment</t>
  </si>
  <si>
    <t>System Upgrade</t>
  </si>
  <si>
    <t>Workforce / Budget</t>
  </si>
  <si>
    <t>Resource Bottlenecks</t>
  </si>
  <si>
    <t>Resource Allocation Tools</t>
  </si>
  <si>
    <t>Efficiency Tools</t>
  </si>
  <si>
    <t>Utilization Metrics</t>
  </si>
  <si>
    <t>Service Charter</t>
  </si>
  <si>
    <t>Operational Support</t>
  </si>
  <si>
    <t>Risk Management Tools</t>
  </si>
  <si>
    <t>Occupational Safety</t>
  </si>
  <si>
    <t>Project Governance</t>
  </si>
  <si>
    <t>Encrypted Communication</t>
  </si>
  <si>
    <t>Risk Register</t>
  </si>
  <si>
    <t>Project Capability</t>
  </si>
  <si>
    <t>LMS</t>
  </si>
  <si>
    <t>Workforce Development</t>
  </si>
  <si>
    <t>Version Control</t>
  </si>
  <si>
    <t>ROI Analysis</t>
  </si>
  <si>
    <t>Workforce Planning</t>
  </si>
  <si>
    <t>Professional Development</t>
  </si>
  <si>
    <t>Compliance Management</t>
  </si>
  <si>
    <t>Data Standards</t>
  </si>
  <si>
    <t>Universal Access</t>
  </si>
  <si>
    <t>ITIL / SOPs</t>
  </si>
  <si>
    <t>Training Programs</t>
  </si>
  <si>
    <t>Logistics Systems</t>
  </si>
  <si>
    <t>Service Desk</t>
  </si>
  <si>
    <t>Strategic Support</t>
  </si>
  <si>
    <t>End-User Support</t>
  </si>
  <si>
    <t>Model of Care</t>
  </si>
  <si>
    <t>Sustainability Planning</t>
  </si>
  <si>
    <t>HR Strategy</t>
  </si>
  <si>
    <t>Deployment Planning</t>
  </si>
  <si>
    <t>Future Planning</t>
  </si>
  <si>
    <t>Modernization Strategy</t>
  </si>
  <si>
    <t>Technical Support</t>
  </si>
  <si>
    <t>Implementation Planning</t>
  </si>
  <si>
    <t>Responsiveness</t>
  </si>
  <si>
    <t>Platform Architecture</t>
  </si>
  <si>
    <t>Identity Management</t>
  </si>
  <si>
    <t>User Scalability</t>
  </si>
  <si>
    <t>Personalization</t>
  </si>
  <si>
    <t>Scheduling Tools</t>
  </si>
  <si>
    <t>Business Process Management</t>
  </si>
  <si>
    <t>Reporting Systems
Redundancy Management</t>
  </si>
  <si>
    <t>System Silos
System Modernization
System Interoperability</t>
  </si>
  <si>
    <t>Data Management
Standards Adherence
Demand Modeling</t>
  </si>
  <si>
    <t>Stakeholder Engagement
Standards-based Integration
Workflow Management</t>
  </si>
  <si>
    <t>Lean Architecture
Deployment Planning
Sustainability Planning
Risk Mitigation
Training Programs</t>
  </si>
  <si>
    <t>End-User Support
Program Governance
Cost Efficiency</t>
  </si>
  <si>
    <t>IT-Business Alignment
Risk Management Tools
System Dependencies</t>
  </si>
  <si>
    <t>Equity
System Upgrade
Vendor Management</t>
  </si>
  <si>
    <t>Scheduling
Implementation Planning
Service Desk
MIS Systems</t>
  </si>
  <si>
    <t>Stakeholder Engagement
Helpdesk / User Services
HR Systems</t>
  </si>
  <si>
    <t>Resource Allocation Tools
Performance Tuning
Strategic Planning</t>
  </si>
  <si>
    <t>Resource Prioritization
Funding Sources
Core Services</t>
  </si>
  <si>
    <t>Business Process Management
Decision Support Systems
Resource Allocation Tools
Open Access</t>
  </si>
  <si>
    <t>Core Platform Integration
Open Access
Resource Allocation Tools</t>
  </si>
  <si>
    <t>Unified Platforms
Open Access
Resource Allocation Tools
Data Standards
Stakeholder Engagement</t>
  </si>
  <si>
    <t>Implementation Planning
Universal Access
Utilization Metrics
Demand Forecasting</t>
  </si>
  <si>
    <t>Scalability
Service Design
Future Planning</t>
  </si>
  <si>
    <t>Workforce Planning
Priority Services
User Scalability</t>
  </si>
  <si>
    <t>KM Systems
Digital Modernization</t>
  </si>
  <si>
    <t>Cost Analysis
Procurement Strategy</t>
  </si>
  <si>
    <t>Compliance Framework
System Scalability
Occupational Safety</t>
  </si>
  <si>
    <t>Communication Tools
Governance
Workforce Development
Scheduling Tools</t>
  </si>
  <si>
    <t>System Deficit
Modernization Strategy</t>
  </si>
  <si>
    <t>Integrated Service Design
Risk Register
Service Innovation</t>
  </si>
  <si>
    <t>Service Planning
Business Process Management
Policy Objectives
Implementation Roadmap</t>
  </si>
  <si>
    <t>Results-Based Planning
Strategic Support
Change Management
Policy Alignment</t>
  </si>
  <si>
    <t>Early Intervention Tools
UX Design
Forecasting
Stakeholder Engagement
Service Costing
HR Strategy
Risk Assessment</t>
  </si>
  <si>
    <t>Risk Mitigation
Risk Management
Predictive Analytics</t>
  </si>
  <si>
    <t>Process Optimization
Collaboration Tools
Workflow Systems
Continuous Improvement
Resource Optimization</t>
  </si>
  <si>
    <t>Risk and Opportunity Analysis
Policy Compliance</t>
  </si>
  <si>
    <t>Innovation Strategy
Strategic Goals</t>
  </si>
  <si>
    <t>Policy Objectives
Change Strategy
Change Initiatives
Inclusive Design
Preventive Care Systems</t>
  </si>
  <si>
    <t>Interagency Cooperation
System Architecture
National Infrastructure
Policy Environment</t>
  </si>
  <si>
    <t>Compliance and Standards
Long-term Planning
Standards-based Integration
Data Standards
Identity Management
Digital Health Records
IAM
Encrypted Communication
Logistics Systems</t>
  </si>
  <si>
    <t>Organizational Change
Transformation Planning
Rollout Process</t>
  </si>
  <si>
    <t>ICT Strategic Planning
Priority Setting
Financial Planning
Execution Management</t>
  </si>
  <si>
    <t>Portfolio Management
ROI Analysis
Organizational Value
Process Standardization
Governance Structure</t>
  </si>
  <si>
    <t>Project Metrics
Decision Framework
System Monitoring
Strategic Alignment</t>
  </si>
  <si>
    <t>Joint Program Delivery
Governance Integration
Dev Standards</t>
  </si>
  <si>
    <t>ECM (Enterprise Content Management)
Resource Bottlenecks
LMS
Project Governance</t>
  </si>
  <si>
    <t>Strategic Planning
Timeline Risk
Resource Management</t>
  </si>
  <si>
    <t>Program Oversight
Unified Platforms
Integration Architecture</t>
  </si>
  <si>
    <t>Responsiveness
Data Quality
Reporting Systems
Data Interoperability
Platform Architecture
Open Data / Interoperability
Privacy and Security</t>
  </si>
  <si>
    <t>Decision Framework
Strategic Planning
System Monitoring</t>
  </si>
  <si>
    <t>Infrastructure Optimization
Data Standards
Efficiency Tools</t>
  </si>
  <si>
    <t>System Integration
Compliance Management
Data Governance</t>
  </si>
  <si>
    <t>Strategic Cohesion</t>
  </si>
  <si>
    <t>Resilient Execution</t>
  </si>
  <si>
    <t>Sustainable Systems</t>
  </si>
  <si>
    <t>Governance with Integrity</t>
  </si>
  <si>
    <t>Strategic Project Leadership</t>
  </si>
  <si>
    <t>Sustainable Efficiency</t>
  </si>
  <si>
    <t>Accountable Risk Management</t>
  </si>
  <si>
    <t>Consistent Excellence</t>
  </si>
  <si>
    <t>Forward-Thinking Leadership</t>
  </si>
  <si>
    <t>Innovative Evolution</t>
  </si>
  <si>
    <t>Reliable Implementation</t>
  </si>
  <si>
    <t>Responsive Support</t>
  </si>
  <si>
    <t>Data Security, Quality and Privacy
Resource Management and Utilization</t>
  </si>
  <si>
    <t>Compliance and Governance
System and Technology Improvement
Standardization and Streamlining Processes</t>
  </si>
  <si>
    <t>Business Alignment
Consumer Experience and Support
System Deployment and Integration
Policy and Organizational Reform
Compliance and Governance</t>
  </si>
  <si>
    <t>Data and Information Management
Standardization and Streamlining Processes
Strategic Planning and Development</t>
  </si>
  <si>
    <t>Collaboration and Communication
System Deployment and Integration
Infrastructure and Hardware Management</t>
  </si>
  <si>
    <t>Program and Project Management
System Deployment and Integration
Policy and Organizational Reform
Operational Effectiveness and Efficiency
Employee Training and Development</t>
  </si>
  <si>
    <t>Consumer Experience and Support
Business Alignment
Financial Management and Budgeting</t>
  </si>
  <si>
    <t>Business Alignment
Consumer Experience and Support
Financial Management and Budgeting
Compliance and Governance</t>
  </si>
  <si>
    <t>Business Alignment
Risk Identification and Management
System Deployment and Integration</t>
  </si>
  <si>
    <t>Data and Information Management
Resource Management and Utilization
Policy and Organizational Reform</t>
  </si>
  <si>
    <t>Future Planning and System Demand
System Deployment and Integration
Consumer Experience and Support
Data and Information Management</t>
  </si>
  <si>
    <t>Collaboration and Communication
Collaboration and Communication
Program and Project Management</t>
  </si>
  <si>
    <t>Operational Effectiveness and Efficiency
Data and Information Management
Operational Effectiveness and Efficiency</t>
  </si>
  <si>
    <t>Resource Management and Utilization
Compliance and Governance
Strategic Planning and Development</t>
  </si>
  <si>
    <t>Compliance and Governance
Resource Management and Utilization
Future Planning and System Demand</t>
  </si>
  <si>
    <t>Risk Identification and Management
Compliance and Governance
Collaboration and Communication</t>
  </si>
  <si>
    <t>Operational Effectiveness and Efficiency
Resource Management and Utilization
Resource Management and Utilization
Data and Information Management</t>
  </si>
  <si>
    <t>System Deployment and Integration
Data and Information Management
Resource Management and Utilization</t>
  </si>
  <si>
    <t>System Deployment and Integration
Data and Information Management
Resource Management and Utilization
Data and Information Management
Collaboration and Communication</t>
  </si>
  <si>
    <t>System Deployment and Integration
Data and Information Management
Resource Management and Utilization
Future Planning and System Demand</t>
  </si>
  <si>
    <t>Data and Information Management
Consumer Experience and Support
Future Planning and System Demand</t>
  </si>
  <si>
    <t>System Maintenance and Support
Data and Information Management
System and Technology Improvement</t>
  </si>
  <si>
    <t>Data and Information Management
Data and Information Management
Infrastructure and Hardware Management</t>
  </si>
  <si>
    <t>Data and Information Management
System and Technology Improvement</t>
  </si>
  <si>
    <t>Future Planning and System Demand
Financial Management and Budgeting</t>
  </si>
  <si>
    <t>System Deployment and Integration
Business Alignment
Operational Effectiveness and Efficiency</t>
  </si>
  <si>
    <t>Operational Effectiveness and Efficiency
Business Alignment
System and Technology Improvement</t>
  </si>
  <si>
    <t>Standardization and Streamlining Processes
Strategic Planning and Development
Employee Training and Development
Program and Project Management</t>
  </si>
  <si>
    <t>System and Technology Improvement
Policy and Organizational Reform</t>
  </si>
  <si>
    <t>Consumer Experience and Support
Program and Project Management
Resource Management and Utilization</t>
  </si>
  <si>
    <t>Consumer Experience and Support
Risk Identification and Management
Operational Effectiveness and Efficiency</t>
  </si>
  <si>
    <t>System Deployment and Integration
System Maintenance and Support
Consumer Experience and Support
Implementation Challenges and Delays</t>
  </si>
  <si>
    <t>Resource Management and Utilization
Policy and Organizational Reform
Business Alignment
Standardization and Streamlining Processes</t>
  </si>
  <si>
    <t>Financial Management and Budgeting
Consumer Experience and Support
Compliance and Governance
Collaboration and Communication
Collaboration and Communication
System Maintenance and Support
Risk Identification and Management</t>
  </si>
  <si>
    <t>Risk Identification and Management
Operational Effectiveness and Efficiency
Consumer Experience and Support</t>
  </si>
  <si>
    <t>Business Alignment
Consumer Experience and Support
Collaboration and Communication
Consumer Experience and Support
Policy and Organizational Reform
Infrastructure and Hardware Management
Consumer Experience and Support
Resource Management and Utilization</t>
  </si>
  <si>
    <t>Compliance and Governance
Collaboration and Communication
Financial Management and Budgeting
Operational Effectiveness and Efficiency
Consumer Experience and Support</t>
  </si>
  <si>
    <t>Financial Management and Budgeting
Business Alignment</t>
  </si>
  <si>
    <t>System and Technology Improvement
Operational Effectiveness and Efficiency</t>
  </si>
  <si>
    <t>Consumer Experience and Support
Policy and Organizational Reform
Business Alignment
Data and Information Management
Strategic Planning and Development</t>
  </si>
  <si>
    <t>Collaboration and Communication
Standardization and Streamlining Processes
Data and Information Management
Compliance and Governance</t>
  </si>
  <si>
    <t>Implementation Challenges and Delays
Implementation Challenges and Delays
System Deployment and Integration
Data and Information Management
Data Security, Quality and Privacy
Consumer Experience and Support
Implementation Challenges and Delays
Data Security, Quality and Privacy
Resource Management and Utilization</t>
  </si>
  <si>
    <t>Financial Management and Budgeting
Data Security, Quality and Privacy
Consumer Experience and Support</t>
  </si>
  <si>
    <t>Collaboration and Communication
Financial Management and Budgeting
Business Alignment
Compliance and Governance</t>
  </si>
  <si>
    <t>Policy and Organizational Reform
Data and Information Management
System Maintenance and Support
Consumer Experience and Support
Business Alignment
Data and Information Management</t>
  </si>
  <si>
    <t>Policy and Organizational Reform
System Deployment and Integration
Collaboration and Communication
Employee Training and Development
Resource Management and Utilization</t>
  </si>
  <si>
    <t>Risk Identification and Management
Financial Management and Budgeting
Business Alignment
Collaboration and Communication
Collaboration and Communication</t>
  </si>
  <si>
    <t>Financial Management and Budgeting
Program and Project Management
System Maintenance and Support
Business Alignment</t>
  </si>
  <si>
    <t>Standardization and Streamlining Processes
Business Alignment</t>
  </si>
  <si>
    <t>Standardization and Streamlining Processes
Compliance and Governance
Standardization and Streamlining Processes</t>
  </si>
  <si>
    <t>Collaboration and Communication
System Maintenance and Support
Resource Management and Utilization
Operational Effectiveness and Efficiency</t>
  </si>
  <si>
    <t>Business Alignment
Risk Identification and Management
Compliance and Governance</t>
  </si>
  <si>
    <t>System Deployment and Integration
System Deployment and Integration
System Deployment and Integration</t>
  </si>
  <si>
    <t>Data and Information Management
Resource Management and Utilization
Employee Training and Development
Program and Project Management</t>
  </si>
  <si>
    <t>Standardization and Streamlining Processes
Compliance and Governance
Compliance and Governance</t>
  </si>
  <si>
    <t>Business Alignment
Consumer Experience and Support
Consumer Experience and Support</t>
  </si>
  <si>
    <t>Program and Project Management
System Deployment and Integration
Financial Management and Budgeting</t>
  </si>
  <si>
    <t>System Deployment and Integration
Resource Management and Utilization
Data and Information Management
Data Security, Quality and Privacy</t>
  </si>
  <si>
    <t>Operational Effectiveness and Efficiency
Data Security, Quality and Privacy
Data Security, Quality and Privacy
System Deployment and Integration
System Deployment and Integration
Data and Information Management
Data Security, Quality and Privacy</t>
  </si>
  <si>
    <t>Program and Project Management
Business Alignment
System Maintenance and Support</t>
  </si>
  <si>
    <t>Data and Information Management
Data and Information Management
Resource Management and Utilization</t>
  </si>
  <si>
    <t>System Deployment and Integration
Operational Effectiveness and Efficiency
Data and Information Management</t>
  </si>
  <si>
    <t>Current Sub Group</t>
  </si>
  <si>
    <t>Total Rows:</t>
  </si>
  <si>
    <t>21</t>
  </si>
  <si>
    <t>Total Rows: 0</t>
  </si>
  <si>
    <t>User Accessibility Solutions</t>
  </si>
  <si>
    <t>Accessibility APIs, adaptive UI frameworks, assistive technologies, and responsive design across platforms.</t>
  </si>
  <si>
    <t>Data Analytics and Reporting</t>
  </si>
  <si>
    <t>Data warehouses, BI tools (like Power BI, Tableau), ETL processes, and real-time dashboards.</t>
  </si>
  <si>
    <t>Analytics Framework Integration</t>
  </si>
  <si>
    <t>Data integration platforms, API gateways, centralized data lakes, and analytics engines.</t>
  </si>
  <si>
    <t>Application Lifecycle Management</t>
  </si>
  <si>
    <t>DevOps pipelines, container orchestration (Kubernetes), version control, and monitoring tools.</t>
  </si>
  <si>
    <t>Application Categorization</t>
  </si>
  <si>
    <t>Metadata repositories, CMDB systems, and application portfolio management tools.</t>
  </si>
  <si>
    <t>Application Design Strategy</t>
  </si>
  <si>
    <t>Modular architecture, microservices, API management, and user-centered design platforms.</t>
  </si>
  <si>
    <t>IT Asset Management</t>
  </si>
  <si>
    <t>Inventory management systems, hardware monitoring tools, and configuration management databases.</t>
  </si>
  <si>
    <t>Process Automation</t>
  </si>
  <si>
    <t>RPA tools (UiPath, Automation Anywhere), workflow engines, and scripting frameworks.</t>
  </si>
  <si>
    <t>Benefits Management Framework</t>
  </si>
  <si>
    <t>Performance tracking software, KPI dashboards, and financial modeling tools.</t>
  </si>
  <si>
    <t>Best Practice Implementation</t>
  </si>
  <si>
    <t>Compliance management systems, policy enforcement software, and audit trail logging.</t>
  </si>
  <si>
    <t>Budget Constraint Handling</t>
  </si>
  <si>
    <t>Financial planning software, cost tracking systems, and resource allocation platforms.</t>
  </si>
  <si>
    <t>Budget Allocation Strategies</t>
  </si>
  <si>
    <t>ERP systems, budgeting modules, and portfolio management software.</t>
  </si>
  <si>
    <t>Accounting software, financial databases, and forecasting tools.</t>
  </si>
  <si>
    <t>Business Case Development</t>
  </si>
  <si>
    <t>Project management tools, ROI calculators, and collaboration platforms.</t>
  </si>
  <si>
    <t>Business Continuity Planning</t>
  </si>
  <si>
    <t>Backup and recovery systems, failover clusters, and disaster recovery platforms.</t>
  </si>
  <si>
    <t>BPM suites (Appian, Pega), workflow automation tools, and process modeling software.</t>
  </si>
  <si>
    <t>BPM platforms (e.g., Appian, Pega), workflow engines, process automation tools.</t>
  </si>
  <si>
    <t>Infrastructure monitoring tools, capacity modeling software, cloud resource management.</t>
  </si>
  <si>
    <t>Financial planning software, ERP systems, investment portfolio management tools.</t>
  </si>
  <si>
    <t>Patient management systems, health information exchanges, secure messaging platforms.</t>
  </si>
  <si>
    <t>CRM systems, document management, integrated health IT platforms.</t>
  </si>
  <si>
    <t>Change management software, communication platforms, project tracking tools.</t>
  </si>
  <si>
    <t>Collaboration tools, training portals, feedback and adoption tracking systems.</t>
  </si>
  <si>
    <t>Readiness assessment tools, survey platforms, stakeholder engagement systems.</t>
  </si>
  <si>
    <t>Strategic planning software, roadmapping tools, business intelligence dashboards.</t>
  </si>
  <si>
    <t>Team communication apps (e.g., Teams, Slack), document sharing platforms, virtual meeting tech.</t>
  </si>
  <si>
    <t>Unified communications systems, VoIP, video conferencing platforms.</t>
  </si>
  <si>
    <t>Policy management systems, audit tools, compliance tracking software.</t>
  </si>
  <si>
    <t>Governance platforms, risk management tools, regulatory reporting systems.</t>
  </si>
  <si>
    <t>Workflow enforcement tools, automated compliance monitoring, reporting dashboards.</t>
  </si>
  <si>
    <t>Performance monitoring tools, quality management software, analytics platforms.</t>
  </si>
  <si>
    <t>Middleware, API management tools, ESB (Enterprise Service Bus), microservices architecture.</t>
  </si>
  <si>
    <t>Application servers, service orchestration platforms, API gateways.</t>
  </si>
  <si>
    <t>Financial analytics software, cost modeling tools, procurement databases.</t>
  </si>
  <si>
    <t>Resource management platforms, cost tracking systems, optimization algorithms.</t>
  </si>
  <si>
    <t>Firewalls, intrusion detection systems, endpoint protection, identity and access management.</t>
  </si>
  <si>
    <t>ETL tools, data capture applications, IoT sensors, data pipelines.</t>
  </si>
  <si>
    <t>Data cataloging, metadata management, master data management systems.</t>
  </si>
  <si>
    <t>Data integration platforms, API connectors, standard data exchange protocols (e.g., HL7, FHIR).</t>
  </si>
  <si>
    <t>Database management systems, data lakes, cloud storage solutions.</t>
  </si>
  <si>
    <t>Data cleansing tools, validation software, profiling and monitoring tools.</t>
  </si>
  <si>
    <t>Industry-standard schemas, ontologies, data dictionaries, protocol compliance.</t>
  </si>
  <si>
    <t>Decision modeling tools, rule engines, workflow automation.</t>
  </si>
  <si>
    <t>BI platforms, predictive analytics engines, data visualization tools.</t>
  </si>
  <si>
    <t>Statistical modeling software, machine learning platforms, time series analysis tools.</t>
  </si>
  <si>
    <t>Simulation software, scenario planning tools, demand management platforms.</t>
  </si>
  <si>
    <t>CI/CD pipelines, containerization (Docker), infrastructure as code (Terraform).</t>
  </si>
  <si>
    <t>Project management software, release management tools, configuration management.</t>
  </si>
  <si>
    <t>Coding standards enforcement tools, static analysis, version control systems.</t>
  </si>
  <si>
    <t>EHR/EMR platforms, secure cloud hosting, compliance with health data regulations (HIPAA, etc.).</t>
  </si>
  <si>
    <t>Cloud migration tools, microservices, container orchestration, legacy system refactoring.</t>
  </si>
  <si>
    <t>Predictive analytics, alerting systems, patient monitoring platforms.</t>
  </si>
  <si>
    <t>Document management systems, metadata tagging, workflow automation.</t>
  </si>
  <si>
    <t>Monitoring software, load balancers, resource scheduling platforms.</t>
  </si>
  <si>
    <t>End-to-end encryption protocols, secure messaging platforms, PKI infrastructure.</t>
  </si>
  <si>
    <t>Helpdesk software, remote desktop tools, ticketing systems.</t>
  </si>
  <si>
    <t>Inclusive design frameworks, accessibility technology, multilingual platforms.</t>
  </si>
  <si>
    <t>Performance monitoring, gap analysis tools, workflow optimization software.</t>
  </si>
  <si>
    <t>Project tracking software, status dashboards, resource allocation tools.</t>
  </si>
  <si>
    <t>Budgeting software, forecasting models, financial dashboards.</t>
  </si>
  <si>
    <t>Predictive analytics, trend analysis tools, scenario modeling platforms.</t>
  </si>
  <si>
    <t>Financial management systems, grant tracking tools, funding databases.</t>
  </si>
  <si>
    <t>Strategic planning software, scenario analysis tools, business intelligence.</t>
  </si>
  <si>
    <t>Policy management systems, compliance tracking, audit management tools.</t>
  </si>
  <si>
    <t>Integrated risk management platforms, cross-department workflow tools.</t>
  </si>
  <si>
    <t>Organizational chart software, collaboration platforms, communication channels.</t>
  </si>
  <si>
    <t>Patient education portals, multimedia content delivery systems, accessibility software.</t>
  </si>
  <si>
    <t>Ticketing systems, knowledge bases, live chat and call center software.</t>
  </si>
  <si>
    <t>Workforce planning tools, talent management software, analytics dashboards.</t>
  </si>
  <si>
    <t>Payroll systems, employee databases, performance management platforms.</t>
  </si>
  <si>
    <t>Identity providers, Single Sign-On (SSO), multi-factor authentication, directory services.</t>
  </si>
  <si>
    <t>Roadmapping tools, portfolio management software, stakeholder collaboration platforms.</t>
  </si>
  <si>
    <t>Unique identifier systems, authentication protocols, identity federation services.</t>
  </si>
  <si>
    <t>Project management software, resource planning tools, risk assessment platforms.</t>
  </si>
  <si>
    <t>Timeline tools, milestone tracking software, dependency mapping tools.</t>
  </si>
  <si>
    <t>User research platforms, accessibility testing tools, UI/UX design software.</t>
  </si>
  <si>
    <t>APIs, secure data transfer protocols, integration middleware.</t>
  </si>
  <si>
    <t>Network monitoring, virtualization platforms, cloud cost management tools.</t>
  </si>
  <si>
    <t>Idea management platforms, R&amp;D tracking software, technology scouting tools.</t>
  </si>
  <si>
    <t>Service design software, cross-system integration platforms, user journey mapping tools.</t>
  </si>
  <si>
    <t>API gateways, ESB, microservices architecture, message brokers.</t>
  </si>
  <si>
    <t>Secure collaboration platforms, data sharing agreements, federation technologies.</t>
  </si>
  <si>
    <t>Balanced scorecards, strategy mapping tools, collaboration platforms.</t>
  </si>
  <si>
    <t>Process documentation tools, service management platforms, compliance tracking.</t>
  </si>
  <si>
    <t>Collaborative project management tools, communication platforms, shared resource pools.</t>
  </si>
  <si>
    <t>Customer experience software, analytics platforms, visualization tools.</t>
  </si>
  <si>
    <t>Knowledge bases, document management, collaboration software.</t>
  </si>
  <si>
    <t>Performance dashboards, data visualization tools, business intelligence platforms.</t>
  </si>
  <si>
    <t>Modular infrastructure, containerization, cloud-native services.</t>
  </si>
  <si>
    <t>Migration tools, modernization frameworks, virtualization software.</t>
  </si>
  <si>
    <t>Mainframe environments, older database systems, on-premises servers.</t>
  </si>
  <si>
    <t>E-learning platforms, content management systems, training analytics software.</t>
  </si>
  <si>
    <t>Supply chain management software, inventory tracking, transportation management.</t>
  </si>
  <si>
    <t>Strategic planning software, forecasting models, scenario analysis tools.</t>
  </si>
  <si>
    <t>Standards compliance tools, integration frameworks, API adapters.</t>
  </si>
  <si>
    <t>Management dashboards, reporting tools, database systems.</t>
  </si>
  <si>
    <t>Clinical management software, patient engagement platforms, analytics tools.</t>
  </si>
  <si>
    <t>Cloud adoption frameworks, microservices, DevOps toolchains.</t>
  </si>
  <si>
    <t>Wide area networks, government cloud services, shared service platforms.</t>
  </si>
  <si>
    <t>Safety monitoring systems, compliance software, incident reporting tools.</t>
  </si>
  <si>
    <t>Cost tracking systems, budgeting tools, maintenance scheduling software.</t>
  </si>
  <si>
    <t>Public portals, content management systems, API gateways.</t>
  </si>
  <si>
    <t>Open data standards, APIs, data portals.</t>
  </si>
  <si>
    <t>Service management tools, helpdesk platforms, infrastructure monitoring.</t>
  </si>
  <si>
    <t>Change management platforms, communication tools, training software.</t>
  </si>
  <si>
    <t>Performance measurement systems, value tracking tools, business intelligence.</t>
  </si>
  <si>
    <t>Data analytics platforms, survey tools, reporting dashboards.</t>
  </si>
  <si>
    <t>KPI tracking tools, performance dashboards, data visualization software.</t>
  </si>
  <si>
    <t>Monitoring tools, system optimization software, load balancers.</t>
  </si>
  <si>
    <t>User profiling systems, recommendation engines, adaptive UI frameworks.</t>
  </si>
  <si>
    <t>Cloud platforms, microservices architecture, container orchestration.</t>
  </si>
  <si>
    <t>Compliance management systems, policy repositories, audit tools.</t>
  </si>
  <si>
    <t>Strategy mapping software, governance frameworks, collaboration platforms.</t>
  </si>
  <si>
    <t>Automated compliance monitoring, reporting systems, risk assessment tools.</t>
  </si>
  <si>
    <t>Regulatory databases, legislative tracking tools, risk management platforms.</t>
  </si>
  <si>
    <t>Strategic planning tools, balanced scorecards, performance management software.</t>
  </si>
  <si>
    <t>Project portfolio management (PPM) tools, resource allocation software.</t>
  </si>
  <si>
    <t>Machine learning platforms, data mining tools, statistical software.</t>
  </si>
  <si>
    <t>Health monitoring devices, alerting platforms, patient engagement software.</t>
  </si>
  <si>
    <t>Decision support software, scoring tools, resource management platforms.</t>
  </si>
  <si>
    <t>Service catalogues, resource planning tools, demand management software.</t>
  </si>
  <si>
    <t>Strategic planning tools, stakeholder engagement software, analytics platforms.</t>
  </si>
  <si>
    <t>Encryption tools, access control systems, data loss prevention software.</t>
  </si>
  <si>
    <t>Workflow engines, automation platforms, process mining tools.</t>
  </si>
  <si>
    <t>SOP management software, compliance tools, training platforms.</t>
  </si>
  <si>
    <t>Vendor management systems, procurement software, contract management tools.</t>
  </si>
  <si>
    <t>Learning management systems, training tracking software, e-learning platforms.</t>
  </si>
  <si>
    <t>Governance platforms, risk management tools, compliance dashboards.</t>
  </si>
  <si>
    <t>Project tracking software, status reporting tools, issue management platforms.</t>
  </si>
  <si>
    <t>Project management software, resource planning tools, collaboration platforms.</t>
  </si>
  <si>
    <t>Risk and compliance software, stakeholder management tools, reporting dashboards.</t>
  </si>
  <si>
    <t>Scheduling tools, collaboration platforms, resource allocation software.</t>
  </si>
  <si>
    <t>KPI dashboards, analytics tools, reporting software.</t>
  </si>
  <si>
    <t>Data deduplication tools, system monitoring, backup and recovery systems.</t>
  </si>
  <si>
    <t>Business intelligence platforms, dashboard software, data visualization tools.</t>
  </si>
  <si>
    <t>Capacity planning software, scheduling tools, resource management platforms.</t>
  </si>
  <si>
    <t>Performance monitoring, workflow analysis software, optimization tools.</t>
  </si>
  <si>
    <t>Workforce management software, budgeting tools, project tracking systems.</t>
  </si>
  <si>
    <t>Automation tools, analytics platforms, load balancing systems.</t>
  </si>
  <si>
    <t>Decision support tools, portfolio management software, resource planning platforms.</t>
  </si>
  <si>
    <t>Incident management systems, alerting platforms, customer support software.</t>
  </si>
  <si>
    <t>Performance management software, strategic planning tools, reporting dashboards.</t>
  </si>
  <si>
    <t>Risk management platforms, SWOT analysis tools, scenario planning software.</t>
  </si>
  <si>
    <t>Risk scoring tools, audit management software, compliance tracking systems.</t>
  </si>
  <si>
    <t>Incident tracking software, mitigation planning tools, policy enforcement platforms.</t>
  </si>
  <si>
    <t>Risk registers, compliance monitoring software, reporting dashboards.</t>
  </si>
  <si>
    <t>Contingency planning software, issue tracking systems, response coordination tools.</t>
  </si>
  <si>
    <t>Financial modeling tools, business case software, investment tracking systems.</t>
  </si>
  <si>
    <t>Deployment automation tools, change management software, communication platforms.</t>
  </si>
  <si>
    <t>Cloud infrastructure, load balancers, elastic resource provisioning.</t>
  </si>
  <si>
    <t>Project management software, calendar integration, workflow automation tools.</t>
  </si>
  <si>
    <t>Workforce scheduling software, task management systems, resource planners.</t>
  </si>
  <si>
    <t>Monitoring systems, failover infrastructure, SLA tracking software.</t>
  </si>
  <si>
    <t>Policy management platforms, communication portals, service level documentation.</t>
  </si>
  <si>
    <t>Cost tracking software, financial planning tools, billing systems.</t>
  </si>
  <si>
    <t>UX/UI design tools, service blueprinting software, customer journey mapping.</t>
  </si>
  <si>
    <t>Ticketing systems, knowledge bases, remote support software.</t>
  </si>
  <si>
    <t>Survey tools, analytics platforms, performance dashboards.</t>
  </si>
  <si>
    <t>Idea management platforms, R&amp;D tracking software, prototyping tools.</t>
  </si>
  <si>
    <t>Capacity planning software, demand forecasting tools, strategic planning platforms.</t>
  </si>
  <si>
    <t>Project management tools, localized deployment platforms, communication systems.</t>
  </si>
  <si>
    <t>Version control systems, CI/CD pipelines, code review tools.</t>
  </si>
  <si>
    <t>Collaboration platforms, survey software, communication tools.</t>
  </si>
  <si>
    <t>Code quality tools, compliance software, audit management systems.</t>
  </si>
  <si>
    <t>API management, middleware platforms, protocol converters.</t>
  </si>
  <si>
    <t>Balanced scorecards, strategy mapping tools, performance management platforms.</t>
  </si>
  <si>
    <t>Goal-setting software, KPI tracking tools, executive dashboards.</t>
  </si>
  <si>
    <t>Roadmapping tools, portfolio management software, scenario analysis tools.</t>
  </si>
  <si>
    <t>Collaboration platforms, project management tools, communication systems.</t>
  </si>
  <si>
    <t>Environmental monitoring software, sustainability reporting tools, analytics platforms.</t>
  </si>
  <si>
    <t>Cloud platforms, microservices, network topology management.</t>
  </si>
  <si>
    <t>Gap analysis tools, system health monitoring, modernization frameworks.</t>
  </si>
  <si>
    <t>Configuration management databases, dependency mapping tools, orchestration platforms.</t>
  </si>
  <si>
    <t>Middleware, API gateways, data transformation services.</t>
  </si>
  <si>
    <t>Standard protocols (SOAP, REST), API management, messaging queues.</t>
  </si>
  <si>
    <t>Legacy system migration tools, cloud adoption platforms, containerization.</t>
  </si>
  <si>
    <t>Monitoring dashboards, alerting systems, log management tools.</t>
  </si>
  <si>
    <t>IT service management platforms, automation tools, incident response systems.</t>
  </si>
  <si>
    <t>Cloud auto-scaling, load balancing, distributed databases.</t>
  </si>
  <si>
    <t>Data integration platforms, cross-department communication tools, centralized repositories.</t>
  </si>
  <si>
    <t>Patch management tools, deployment automation, testing frameworks.</t>
  </si>
  <si>
    <t>ESB, API gateways, event-driven architectures.</t>
  </si>
  <si>
    <t>Remote support software, knowledge management, helpdesk systems.</t>
  </si>
  <si>
    <t>Project risk management software, scheduling tools, issue tracking.</t>
  </si>
  <si>
    <t>LMS, e-learning platforms, training content management.</t>
  </si>
  <si>
    <t>Change management platforms, roadmap software, communication tools.</t>
  </si>
  <si>
    <t>Project scheduling, resource allocation software, stakeholder engagement platforms.</t>
  </si>
  <si>
    <t>Cloud platforms, integrated application suites, API management.</t>
  </si>
  <si>
    <t>Responsive web design, cross-platform frameworks, accessibility tools.</t>
  </si>
  <si>
    <t>Load testing tools, cloud elasticity, session management.</t>
  </si>
  <si>
    <t>Monitoring dashboards, analytics platforms, performance tracking tools.</t>
  </si>
  <si>
    <t>Prototyping tools, user testing platforms, accessibility compliance software.</t>
  </si>
  <si>
    <t>Procurement software, contract management systems, supplier portals.</t>
  </si>
  <si>
    <t>Git, SVN, repository hosting platforms like GitHub, GitLab.</t>
  </si>
  <si>
    <t>Workflow engines, BPM software, task automation platforms.</t>
  </si>
  <si>
    <t>Business process automation tools, collaboration platforms, monitoring software.</t>
  </si>
  <si>
    <t>Resource planning tools, budgeting software, workforce analytics.</t>
  </si>
  <si>
    <t>LMS, career planning software, skills tracking platforms.</t>
  </si>
  <si>
    <t>Risk repository systems, mitigation tracking platforms, compliance dashboards.</t>
  </si>
  <si>
    <t>Forecasting tools, capacity planning software, recruitment systems</t>
  </si>
  <si>
    <t>Strategic Planning
KPIs / Metrics
Systems Integration
Sustainability Planning
Policy &amp; Regulation</t>
  </si>
  <si>
    <t>IT-Business Alignment
Program Oversight
Capacity Planning
Strategic Planning</t>
  </si>
  <si>
    <t>Personalization
Open Access
Process Automation</t>
  </si>
  <si>
    <t>Analytics Framework Integration
Workforce / Budget
Budgeting Systems</t>
  </si>
  <si>
    <t>Data Collection
Scalability
Business Process Management</t>
  </si>
  <si>
    <t>Health Literacy Tools
Stakeholder Engagement
Care Coordination Systems</t>
  </si>
  <si>
    <t>Budget Constraint Handling
Project Capability
Change Readiness</t>
  </si>
  <si>
    <t>Budget Allocation Strategies
Prioritization Matrix
Project Management</t>
  </si>
  <si>
    <t>Service Availability
Service Evaluation
Capital Planning
Model of Care
Long-term Planning
Journey Mapping
UX Design
Service Design</t>
  </si>
  <si>
    <t>Operational Support
Deployment
System Operations
Service Desk
IT Asset Management
Version Control</t>
  </si>
  <si>
    <t>Service Charter
Site-Specific Rollouts
Transition Planning
Professional Development
Benefits Management Framework</t>
  </si>
  <si>
    <t>ITIL / SOPs
Best Practice Implementation</t>
  </si>
  <si>
    <t>Application Categorization
Application Lifecycle Management
Resource Allocation Tools
Outcome Measurement</t>
  </si>
  <si>
    <t>Business Case Development
Risk Management Tools
Execution Gap</t>
  </si>
  <si>
    <t>Software Development Lifecycle
Methodological Compatibility
Data Analytics and Reporting</t>
  </si>
  <si>
    <t>User Accessibility Solutions
Governance
Application Design Strategy</t>
  </si>
  <si>
    <t>Case Management Systems
Business Continuity Planning
Cybersecurity
Privacy and Security</t>
  </si>
  <si>
    <t>Business intelligence platforms, dashboard software, data visualization tools.
Data deduplication tools, system monitoring, backup and recovery systems.</t>
  </si>
  <si>
    <t>Data integration platforms, cross-department communication tools, centralized repositories.
Legacy system migration tools, cloud adoption platforms, containerization.
Standard protocols (SOAP, REST), API management, messaging queues.</t>
  </si>
  <si>
    <t>Roadmapping tools, portfolio management software, scenario analysis tools.
Performance dashboards, data visualization tools, business intelligence platforms.
ESB, API gateways, event-driven architectures.
Environmental monitoring software, sustainability reporting tools, analytics platforms.
Compliance management systems, policy repositories, audit tools.</t>
  </si>
  <si>
    <t>Database management systems, data lakes, cloud storage solutions.
Code quality tools, compliance software, audit management systems.
Simulation software, scenario planning tools, demand management platforms.</t>
  </si>
  <si>
    <t>Collaboration platforms, survey software, communication tools.
API management, middleware platforms, protocol converters.
Workflow engines, BPM software, task automation platforms.</t>
  </si>
  <si>
    <t>Modular infrastructure, containerization, cloud-native services.
Project management software, release management tools, configuration management.
Environmental monitoring software, sustainability reporting tools, analytics platforms.
Contingency planning software, issue tracking systems, response coordination tools.
LMS, e-learning platforms, training content management.</t>
  </si>
  <si>
    <t>Helpdesk software, remote desktop tools, ticketing systems.
Governance platforms, risk management tools, compliance dashboards.
Resource management platforms, cost tracking systems, optimization algorithms.</t>
  </si>
  <si>
    <t>Balanced scorecards, strategy mapping tools, collaboration platforms.
Project tracking software, status reporting tools, issue management platforms.
Infrastructure monitoring tools, capacity modeling software, cloud resource management.
Roadmapping tools, portfolio management software, scenario analysis tools.</t>
  </si>
  <si>
    <t>Balanced scorecards, strategy mapping tools, collaboration platforms.
Risk registers, compliance monitoring software, reporting dashboards.
Configuration management databases, dependency mapping tools, orchestration platforms.</t>
  </si>
  <si>
    <t>Inclusive design frameworks, accessibility technology, multilingual platforms.
Patch management tools, deployment automation, testing frameworks.
Procurement software, contract management systems, supplier portals.</t>
  </si>
  <si>
    <t>Project management software, calendar integration, workflow automation tools.
Project management software, resource planning tools, risk assessment platforms.
Ticketing systems, knowledge bases, remote support software.
Management dashboards, reporting tools, database systems.</t>
  </si>
  <si>
    <t>Collaboration platforms, survey software, communication tools.
Ticketing systems, knowledge bases, live chat and call center software.
Payroll systems, employee databases, performance management platforms.</t>
  </si>
  <si>
    <t>User profiling systems, recommendation engines, adaptive UI frameworks.
Public portals, content management systems, API gateways.
RPA tools (UiPath, Automation Anywhere), workflow engines, and scripting frameworks.</t>
  </si>
  <si>
    <t>Capacity planning software, scheduling tools, resource management platforms.
Monitoring tools, system optimization software, load balancers.
Roadmapping tools, portfolio management software, scenario analysis tools.</t>
  </si>
  <si>
    <t>Data integration platforms, API gateways, centralized data lakes, and analytics engines.
Resource planning tools, budgeting software, workforce analytics.
Accounting software, financial databases, and forecasting tools.</t>
  </si>
  <si>
    <t>Decision support tools, portfolio management software, resource planning platforms.
Financial management systems, grant tracking tools, funding databases.
Application servers, service orchestration platforms, API gateways.</t>
  </si>
  <si>
    <t>BPM suites (Appian, Pega), workflow automation tools, and process modeling software.
BI platforms, predictive analytics engines, data visualization tools.
Capacity planning software, scheduling tools, resource management platforms.
Public portals, content management systems, API gateways.</t>
  </si>
  <si>
    <t>Middleware, API management tools, ESB (Enterprise Service Bus), microservices architecture.
Public portals, content management systems, API gateways.
Capacity planning software, scheduling tools, resource management platforms.</t>
  </si>
  <si>
    <t>Cloud platforms, integrated application suites, API management.
Public portals, content management systems, API gateways.
Capacity planning software, scheduling tools, resource management platforms.
Industry-standard schemas, ontologies, data dictionaries, protocol compliance.
Collaboration platforms, survey software, communication tools.</t>
  </si>
  <si>
    <t>Project management software, resource planning tools, risk assessment platforms.
Responsive web design, cross-platform frameworks, accessibility tools.
Monitoring dashboards, analytics platforms, performance tracking tools.
Statistical modeling software, machine learning platforms, time series analysis tools.</t>
  </si>
  <si>
    <t>Cloud infrastructure, load balancers, elastic resource provisioning.
UX/UI design tools, service blueprinting software, customer journey mapping.
Strategic planning software, scenario analysis tools, business intelligence.</t>
  </si>
  <si>
    <t>Forecasting tools, capacity planning software, recruitment systems
Service catalogues, resource planning tools, demand management software.
Load testing tools, cloud elasticity, session management.</t>
  </si>
  <si>
    <t>ETL tools, data capture applications, IoT sensors, data pipelines.
Cloud infrastructure, load balancers, elastic resource provisioning.
BPM platforms (e.g., Appian, Pega), workflow engines, process automation tools.</t>
  </si>
  <si>
    <t>Knowledge bases, document management, collaboration software.
Cloud migration tools, microservices, container orchestration, legacy system refactoring.</t>
  </si>
  <si>
    <t>Financial analytics software, cost modeling tools, procurement databases.
Vendor management systems, procurement software, contract management tools.</t>
  </si>
  <si>
    <t>Patient education portals, multimedia content delivery systems, accessibility software.
Collaboration platforms, survey software, communication tools.
Patient management systems, health information exchanges, secure messaging platforms.</t>
  </si>
  <si>
    <t>Governance platforms, risk management tools, regulatory reporting systems.
Cloud auto-scaling, load balancing, distributed databases.
Safety monitoring systems, compliance software, incident reporting tools.</t>
  </si>
  <si>
    <t>Unified communications systems, VoIP, video conferencing platforms.
Policy management systems, compliance tracking, audit management tools.
LMS, career planning software, skills tracking platforms.
Workforce scheduling software, task management systems, resource planners.</t>
  </si>
  <si>
    <t>Gap analysis tools, system health monitoring, modernization frameworks.
Cloud adoption frameworks, microservices, DevOps toolchains.</t>
  </si>
  <si>
    <t>Financial planning software, cost tracking systems, and resource allocation platforms.
Project management software, resource planning tools, collaboration platforms.
Readiness assessment tools, survey platforms, stakeholder engagement systems.</t>
  </si>
  <si>
    <t>ERP systems, budgeting modules, and portfolio management software.
Decision support software, scoring tools, resource management platforms.
Scheduling tools, collaboration platforms, resource allocation software.</t>
  </si>
  <si>
    <t>Service design software, cross-system integration platforms, user journey mapping tools.
Risk repository systems, mitigation tracking platforms, compliance dashboards.
Idea management platforms, R&amp;D tracking software, prototyping tools.</t>
  </si>
  <si>
    <t>Capacity planning software, demand forecasting tools, strategic planning platforms.
Application
Strategic planning tools, balanced scorecards, performance management software.
Timeline tools, milestone tracking software, dependency mapping tools.</t>
  </si>
  <si>
    <t>Performance management software, strategic planning tools, reporting dashboards.
Collaboration platforms, project management tools, communication systems.
Collaboration tools, training portals, feedback and adoption tracking systems.
Strategy mapping software, governance frameworks, collaboration platforms.</t>
  </si>
  <si>
    <t>Predictive analytics, alerting systems, patient monitoring platforms.
Prototyping tools, user testing platforms, accessibility compliance software.
Predictive analytics, trend analysis tools, scenario modeling platforms.
Collaboration platforms, survey software, communication tools.
Cost tracking software, financial planning tools, billing systems.
Workforce planning tools, talent management software, analytics dashboards.
Risk scoring tools, audit management software, compliance tracking systems.</t>
  </si>
  <si>
    <t>Contingency planning software, issue tracking systems, response coordination tools.
Incident tracking software, mitigation planning tools, policy enforcement platforms.
Machine learning platforms, data mining tools, statistical software.</t>
  </si>
  <si>
    <t>Monitoring systems, failover infrastructure, SLA tracking software.
Survey tools, analytics platforms, performance dashboards.
Financial planning software, ERP systems, investment portfolio management tools.
Clinical management software, patient engagement platforms, analytics tools.
Strategic planning software, forecasting models, scenario analysis tools.
Customer experience software, analytics platforms, visualization tools.
Prototyping tools, user testing platforms, accessibility compliance software.
UX/UI design tools, service blueprinting software, customer journey mapping.</t>
  </si>
  <si>
    <t>Workflow engines, automation platforms, process mining tools.
Team communication apps (e.g., Teams, Slack), document sharing platforms, virtual meeting tech.
Business process automation tools, collaboration platforms, monitoring software.
Performance monitoring tools, quality management software, analytics platforms.
Automation tools, analytics platforms, load balancing systems.</t>
  </si>
  <si>
    <t>Risk management platforms, SWOT analysis tools, scenario planning software.
Automated compliance monitoring, reporting systems, risk assessment tools.</t>
  </si>
  <si>
    <t>Idea management platforms, R&amp;D tracking software, technology scouting tools.
Goal-setting software, KPI tracking tools, executive dashboards.</t>
  </si>
  <si>
    <t>Strategic planning tools, balanced scorecards, performance management software.
Strategic planning software, roadmapping tools, business intelligence dashboards.
Change management software, communication platforms, project tracking tools.
User research platforms, accessibility testing tools, UI/UX design software.
Health monitoring devices, alerting platforms, patient engagement software.</t>
  </si>
  <si>
    <t>Secure collaboration platforms, data sharing agreements, federation technologies.
Cloud platforms, microservices, network topology management.
Wide area networks, government cloud services, shared service platforms.
Regulatory databases, legislative tracking tools, risk management platforms.</t>
  </si>
  <si>
    <t>Policy management systems, audit tools, compliance tracking software.
Strategic planning software, forecasting models, scenario analysis tools.
API management, middleware platforms, protocol converters.
Industry-standard schemas, ontologies, data dictionaries, protocol compliance.
Unique identifier systems, authentication protocols, identity federation services.
EHR/EMR platforms, secure cloud hosting, compliance with health data regulations (HIPAA, etc.).
Identity providers, Single Sign-On (SSO), multi-factor authentication, directory services.
End-to-end encryption protocols, secure messaging platforms, PKI infrastructure.
Supply chain management software, inventory tracking, transportation management.</t>
  </si>
  <si>
    <t>Change management platforms, communication tools, training software.
Change management platforms, roadmap software, communication tools.
Deployment automation tools, change management software, communication platforms.</t>
  </si>
  <si>
    <t>Roadmapping tools, portfolio management software, stakeholder collaboration platforms.
Strategic planning tools, stakeholder engagement software, analytics platforms.
Budgeting software, forecasting models, financial dashboards.
Project tracking software, status dashboards, resource allocation tools.</t>
  </si>
  <si>
    <t>Service management tools, helpdesk platforms, infrastructure monitoring.
CI/CD pipelines, containerization (Docker), infrastructure as code (Terraform).
IT service management platforms, automation tools, incident response systems.
Ticketing systems, knowledge bases, remote support software.
Inventory management systems, hardware monitoring tools, and configuration management databases.
Git, SVN, repository hosting platforms like GitHub, GitLab.</t>
  </si>
  <si>
    <t>Policy management platforms, communication portals, service level documentation.
Project management tools, localized deployment platforms, communication systems.
Project scheduling, resource allocation software, stakeholder engagement platforms.
Learning management systems, training tracking software, e-learning platforms.
Performance tracking software, KPI dashboards, and financial modeling tools.</t>
  </si>
  <si>
    <t>Project portfolio management (PPM) tools, resource allocation software.
Financial modeling tools, business case software, investment tracking systems.
Performance measurement systems, value tracking tools, business intelligence.
SOP management software, compliance tools, training platforms.
Organizational chart software, collaboration platforms, communication channels.</t>
  </si>
  <si>
    <t>KPI dashboards, analytics tools, reporting software.
Decision modeling tools, rule engines, workflow automation.
Monitoring dashboards, alerting systems, log management tools.
Balanced scorecards, strategy mapping tools, performance management platforms.</t>
  </si>
  <si>
    <t>Process documentation tools, service management platforms, compliance tracking.
Compliance management systems, policy enforcement software, and audit trail logging.</t>
  </si>
  <si>
    <t>Collaborative project management tools, communication platforms, shared resource pools.
Integrated risk management platforms, cross-department workflow tools.
Coding standards enforcement tools, static analysis, version control systems.</t>
  </si>
  <si>
    <t>Metadata repositories, CMDB systems, and application portfolio management tools.
DevOps pipelines, container orchestration (Kubernetes), version control, and monitoring tools.
Capacity planning software, scheduling tools, resource management platforms.
KPI tracking tools, performance dashboards, data visualization software.</t>
  </si>
  <si>
    <t>Project management tools, ROI calculators, and collaboration platforms.
Risk registers, compliance monitoring software, reporting dashboards.
Performance monitoring, gap analysis tools, workflow optimization software.</t>
  </si>
  <si>
    <t>Version control systems, CI/CD pipelines, code review tools.
Standards compliance tools, integration frameworks, API adapters.
Data warehouses, BI tools (like Power BI, Tableau), ETL processes, and real-time dashboards.</t>
  </si>
  <si>
    <t>Document management systems, metadata tagging, workflow automation.
Performance monitoring, workflow analysis software, optimization tools.
E-learning platforms, content management systems, training analytics software.
Risk and compliance software, stakeholder management tools, reporting dashboards.</t>
  </si>
  <si>
    <t>Accessibility APIs, adaptive UI frameworks, assistive technologies, and responsive design across platforms.
Policy management systems, compliance tracking, audit management tools.
Modular architecture, microservices, API management, and user-centered design platforms.</t>
  </si>
  <si>
    <t>Roadmapping tools, portfolio management software, scenario analysis tools.
Project risk management software, scheduling tools, issue tracking.
Workforce management software, budgeting tools, project tracking systems.</t>
  </si>
  <si>
    <t>Project tracking software, status reporting tools, issue management platforms.
Cloud platforms, integrated application suites, API management.
API gateways, ESB, microservices architecture, message brokers.</t>
  </si>
  <si>
    <t>CRM systems, document management, integrated health IT platforms.
Backup and recovery systems, failover clusters, and disaster recovery platforms.
Firewalls, intrusion detection systems, endpoint protection, identity and access management.
Encryption tools, access control systems, data loss prevention software.</t>
  </si>
  <si>
    <t>Incident management systems, alerting platforms, customer support software.
Data cleansing tools, validation software, profiling and monitoring tools.
Business intelligence platforms, dashboard software, data visualization tools.
Data integration platforms, API connectors, standard data exchange protocols (e.g., HL7, FHIR).
Cloud platforms, microservices architecture, container orchestration.
Open data standards, APIs, data portals.
Encryption tools, access control systems, data loss prevention software.</t>
  </si>
  <si>
    <t>Decision modeling tools, rule engines, workflow automation.
Roadmapping tools, portfolio management software, scenario analysis tools.
Monitoring dashboards, alerting systems, log management tools.</t>
  </si>
  <si>
    <t>Network monitoring, virtualization platforms, cloud cost management tools.
Industry-standard schemas, ontologies, data dictionaries, protocol compliance.
Monitoring software, load balancers, resource scheduling platforms.</t>
  </si>
  <si>
    <t>Middleware, API gateways, data transformation services.
Workflow enforcement tools, automated compliance monitoring, reporting dashboards.
Data cataloging, metadata management, master data management systems.</t>
  </si>
  <si>
    <t>Table 5: Search Data</t>
  </si>
  <si>
    <t>Total Extracts</t>
  </si>
  <si>
    <t>Data integrity
Sustainable Efficiency</t>
  </si>
  <si>
    <t>Regulatory adherence
Innovative Evolution
Consistent Excellence</t>
  </si>
  <si>
    <t>Strategic Cohesion
Customer service
Reliable Implementation
Governance with Integrity
Regulatory adherence</t>
  </si>
  <si>
    <t>Data governance
Consistent Excellence
Forward-Thinking Leadership</t>
  </si>
  <si>
    <t>Teamwork enhancement
Reliable Implementation
Sustainable Systems</t>
  </si>
  <si>
    <t>Strategic Project Leadership
Reliable Implementation
Governance with Integrity
Process optimization
Employee development</t>
  </si>
  <si>
    <t>Customer service
Strategic Cohesion
Budget control</t>
  </si>
  <si>
    <t>Strategic Cohesion
Customer service
Budget control
Regulatory adherence</t>
  </si>
  <si>
    <t>Strategic Cohesion
Accountable Risk Management
Reliable Implementation</t>
  </si>
  <si>
    <t>Data governance
Sustainable Efficiency
Governance with Integrity</t>
  </si>
  <si>
    <t>Futureproofing
Reliable Implementation
Customer service
Data governance</t>
  </si>
  <si>
    <t>Teamwork enhancement
Teamwork enhancement
Strategic Project Leadership</t>
  </si>
  <si>
    <t>Process optimization
Data governance
Process optimization</t>
  </si>
  <si>
    <t>Sustainable Efficiency
Regulatory adherence
Forward-Thinking Leadership</t>
  </si>
  <si>
    <t>Regulatory adherence
Sustainable Efficiency
Futureproofing</t>
  </si>
  <si>
    <t>Accountable Risk Management
Regulatory adherence
Teamwork enhancement</t>
  </si>
  <si>
    <t>Process optimization
Sustainable Efficiency
Sustainable Efficiency
Data governance</t>
  </si>
  <si>
    <t>Reliable Implementation
Data governance
Sustainable Efficiency</t>
  </si>
  <si>
    <t>Reliable Implementation
Data governance
Sustainable Efficiency
Data governance
Teamwork enhancement</t>
  </si>
  <si>
    <t>Reliable Implementation
Data governance
Sustainable Efficiency
Futureproofing</t>
  </si>
  <si>
    <t>Data governance
Customer service
Futureproofing</t>
  </si>
  <si>
    <t>Responsive Support
Data governance
Innovative Evolution</t>
  </si>
  <si>
    <t>Data governance
Data governance
Sustainable Systems</t>
  </si>
  <si>
    <t>Data governance
Innovative Evolution</t>
  </si>
  <si>
    <t>Futureproofing
Budget control</t>
  </si>
  <si>
    <t>Reliable Implementation
Strategic Cohesion
Process optimization</t>
  </si>
  <si>
    <t>Process optimization
Strategic Cohesion
Innovative Evolution</t>
  </si>
  <si>
    <t>Consistent Excellence
Forward-Thinking Leadership
Employee development
Strategic Project Leadership</t>
  </si>
  <si>
    <t>Innovative Evolution
Governance with Integrity</t>
  </si>
  <si>
    <t>Customer service
Strategic Project Leadership
Sustainable Efficiency</t>
  </si>
  <si>
    <t>Customer service
Accountable Risk Management
Process optimization</t>
  </si>
  <si>
    <t>Reliable Implementation
Responsive Support
Customer service
Resilient Execution</t>
  </si>
  <si>
    <t>Sustainable Efficiency
Governance with Integrity
Strategic Cohesion
Consistent Excellence</t>
  </si>
  <si>
    <t>Budget control
Customer service
Regulatory adherence
Teamwork enhancement
Teamwork enhancement
Responsive Support
Accountable Risk Management</t>
  </si>
  <si>
    <t>Accountable Risk Management
Process optimization
Customer service</t>
  </si>
  <si>
    <t>Strategic Cohesion
Customer service
Teamwork enhancement
Customer service
Governance with Integrity
Sustainable Systems
Customer service
Sustainable Efficiency</t>
  </si>
  <si>
    <t>Regulatory adherence
Teamwork enhancement
Budget control
Process optimization
Customer service</t>
  </si>
  <si>
    <t>Budget control
Strategic Cohesion</t>
  </si>
  <si>
    <t>Innovative Evolution
Process optimization</t>
  </si>
  <si>
    <t>Customer service
Governance with Integrity
Strategic Cohesion
Data governance
Forward-Thinking Leadership</t>
  </si>
  <si>
    <t>Teamwork enhancement
Consistent Excellence
Data governance
Regulatory adherence</t>
  </si>
  <si>
    <t>Resilient Execution
Resilient Execution
Reliable Implementation
Data governance
Data integrity
Customer service
Resilient Execution
Data integrity
Sustainable Efficiency</t>
  </si>
  <si>
    <t>Budget control
Data integrity
Customer service</t>
  </si>
  <si>
    <t>Teamwork enhancement
Budget control
Strategic Cohesion
Regulatory adherence</t>
  </si>
  <si>
    <t>Governance with Integrity
Data governance
Responsive Support
Customer service
Strategic Cohesion
Data governance</t>
  </si>
  <si>
    <t>Governance with Integrity
Reliable Implementation
Teamwork enhancement
Employee development
Sustainable Efficiency</t>
  </si>
  <si>
    <t>Accountable Risk Management
Budget control
Strategic Cohesion
Teamwork enhancement
Teamwork enhancement</t>
  </si>
  <si>
    <t>Budget control
Strategic Project Leadership
Responsive Support
Strategic Cohesion</t>
  </si>
  <si>
    <t>Consistent Excellence
Strategic Cohesion</t>
  </si>
  <si>
    <t>Consistent Excellence
Regulatory adherence
Consistent Excellence</t>
  </si>
  <si>
    <t>Teamwork enhancement
Responsive Support
Sustainable Efficiency
Process optimization</t>
  </si>
  <si>
    <t>Strategic Cohesion
Accountable Risk Management
Regulatory adherence</t>
  </si>
  <si>
    <t>Reliable Implementation
Reliable Implementation
Reliable Implementation</t>
  </si>
  <si>
    <t>Data governance
Sustainable Efficiency
Employee development
Strategic Project Leadership</t>
  </si>
  <si>
    <t>Consistent Excellence
Regulatory adherence
Regulatory adherence</t>
  </si>
  <si>
    <t>Strategic Cohesion
Customer service
Customer service</t>
  </si>
  <si>
    <t>Strategic Project Leadership
Reliable Implementation
Budget control</t>
  </si>
  <si>
    <t>Reliable Implementation
Sustainable Efficiency
Data governance
Data integrity</t>
  </si>
  <si>
    <t>Process optimization
Data integrity
Data integrity
Reliable Implementation
Reliable Implementation
Data governance
Data integrity</t>
  </si>
  <si>
    <t>Strategic Project Leadership
Strategic Cohesion
Responsive Support</t>
  </si>
  <si>
    <t>Data governance
Data governance
Sustainable Efficiency</t>
  </si>
  <si>
    <t>Reliable Implementation
Process optimization
Data governance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</si>
</sst>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9" x14ac:knownFonts="1">
    <font>
      <sz val="11"/>
      <color theme="1"/>
      <name val="Calibri"/>
      <family val="2"/>
      <scheme val="minor"/>
    </font>
    <font>
      <b/>
      <sz val="11"/>
      <color theme="1"/>
      <name val="Calibri"/>
      <family val="2"/>
      <scheme val="minor"/>
    </font>
    <font>
      <b/>
      <sz val="14"/>
      <color theme="1"/>
      <name val="Calibri"/>
      <family val="2"/>
      <scheme val="minor"/>
    </font>
    <font>
      <b/>
      <sz val="14"/>
      <color theme="5" tint="-0.249977111117893"/>
      <name val="Calibri"/>
      <family val="2"/>
      <scheme val="minor"/>
    </font>
    <font>
      <sz val="11"/>
      <name val="Calibri"/>
      <family val="2"/>
      <scheme val="minor"/>
    </font>
    <font>
      <b/>
      <sz val="11"/>
      <color theme="0"/>
      <name val="Calibri"/>
      <family val="2"/>
      <scheme val="minor"/>
    </font>
    <font>
      <sz val="11"/>
      <color rgb="FF000000"/>
      <name val="Calibri"/>
      <family val="2"/>
    </font>
    <font>
      <b/>
      <sz val="11"/>
      <color rgb="FF000000"/>
      <name val="Calibri"/>
      <family val="2"/>
    </font>
    <font>
      <b/>
      <sz val="11"/>
      <name val="Calibri"/>
      <family val="2"/>
      <scheme val="minor"/>
    </font>
  </fonts>
  <fills count="13">
    <fill>
      <patternFill patternType="none"/>
    </fill>
    <fill>
      <patternFill patternType="gray125"/>
    </fill>
    <fill>
      <patternFill patternType="solid">
        <fgColor rgb="FFFFFF00"/>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002060"/>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rgb="FF7030A0"/>
        <bgColor indexed="64"/>
      </patternFill>
    </fill>
    <fill>
      <patternFill patternType="solid">
        <fgColor rgb="FFFFFF00"/>
        <bgColor theme="8"/>
      </patternFill>
    </fill>
    <fill>
      <patternFill patternType="solid">
        <fgColor rgb="FF7030A0"/>
        <bgColor theme="4"/>
      </patternFill>
    </fill>
    <fill>
      <patternFill patternType="solid">
        <fgColor rgb="FFFFFF00"/>
        <bgColor theme="4"/>
      </patternFill>
    </fill>
    <fill>
      <patternFill patternType="solid">
        <fgColor rgb="FF808080"/>
        <bgColor indexed="64"/>
      </patternFill>
    </fill>
  </fills>
  <borders count="14">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indexed="64"/>
      </left>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theme="8" tint="0.39997558519241921"/>
      </top>
      <bottom style="thin">
        <color theme="8" tint="0.39997558519241921"/>
      </bottom>
      <diagonal/>
    </border>
    <border>
      <left/>
      <right/>
      <top style="thin">
        <color theme="8" tint="0.39997558519241921"/>
      </top>
      <bottom style="thin">
        <color theme="8" tint="0.39997558519241921"/>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indexed="64"/>
      </left>
      <right style="medium">
        <color indexed="64"/>
      </right>
      <top/>
      <bottom style="medium">
        <color indexed="64"/>
      </bottom>
      <diagonal/>
    </border>
  </borders>
  <cellStyleXfs count="1">
    <xf numFmtId="0" fontId="0" fillId="0" borderId="0"/>
  </cellStyleXfs>
  <cellXfs count="53">
    <xf numFmtId="0" fontId="0" fillId="0" borderId="0" xfId="0"/>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wrapText="1"/>
    </xf>
    <xf numFmtId="0" fontId="4" fillId="0" borderId="0" xfId="0" applyFont="1" applyAlignment="1">
      <alignment vertical="center" wrapText="1"/>
    </xf>
    <xf numFmtId="0" fontId="0" fillId="0" borderId="0" xfId="0" applyAlignment="1">
      <alignment vertical="center"/>
    </xf>
    <xf numFmtId="0" fontId="0" fillId="0" borderId="0" xfId="0" applyProtection="1">
      <protection locked="0"/>
    </xf>
    <xf numFmtId="0" fontId="0" fillId="0" borderId="5" xfId="0" applyBorder="1" applyAlignment="1">
      <alignment wrapText="1"/>
    </xf>
    <xf numFmtId="0" fontId="0" fillId="0" borderId="5" xfId="0" applyBorder="1"/>
    <xf numFmtId="0" fontId="0" fillId="0" borderId="5" xfId="0" applyBorder="1" applyAlignment="1">
      <alignment horizontal="center" vertical="center" wrapText="1"/>
    </xf>
    <xf numFmtId="0" fontId="0" fillId="0" borderId="0" xfId="0" applyAlignment="1">
      <alignment horizontal="center"/>
    </xf>
    <xf numFmtId="0" fontId="5" fillId="4" borderId="0" xfId="0" applyFont="1" applyFill="1" applyAlignment="1">
      <alignment horizontal="center"/>
    </xf>
    <xf numFmtId="0" fontId="1" fillId="3" borderId="0" xfId="0" applyFont="1" applyFill="1" applyAlignment="1">
      <alignment horizontal="center" vertical="center" wrapText="1"/>
    </xf>
    <xf numFmtId="0" fontId="8" fillId="0" borderId="5" xfId="0" applyFont="1" applyBorder="1" applyAlignment="1" applyProtection="1">
      <alignment horizontal="center" vertical="center" wrapText="1"/>
      <protection locked="0"/>
    </xf>
    <xf numFmtId="0" fontId="8" fillId="0" borderId="6" xfId="0" applyFont="1" applyBorder="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1" fillId="2" borderId="7" xfId="0" applyFont="1" applyFill="1" applyBorder="1" applyAlignment="1">
      <alignment horizontal="center" vertical="center"/>
    </xf>
    <xf numFmtId="0" fontId="0" fillId="2" borderId="0" xfId="0" applyFill="1" applyAlignment="1">
      <alignment horizontal="center" vertical="center"/>
    </xf>
    <xf numFmtId="0" fontId="0" fillId="2" borderId="5" xfId="0" applyFill="1" applyBorder="1" applyAlignment="1">
      <alignment vertical="center" wrapText="1"/>
    </xf>
    <xf numFmtId="0" fontId="0" fillId="2" borderId="5" xfId="0" applyFill="1" applyBorder="1" applyAlignment="1">
      <alignment horizontal="center" vertical="center" wrapText="1"/>
    </xf>
    <xf numFmtId="0" fontId="0" fillId="2" borderId="5" xfId="0" applyFill="1" applyBorder="1" applyAlignment="1">
      <alignment wrapText="1"/>
    </xf>
    <xf numFmtId="0" fontId="4" fillId="2" borderId="5" xfId="0" applyFont="1" applyFill="1" applyBorder="1" applyAlignment="1">
      <alignment horizontal="center" vertical="center" wrapText="1"/>
    </xf>
    <xf numFmtId="0" fontId="0" fillId="0" borderId="6" xfId="0" applyBorder="1" applyAlignment="1">
      <alignment horizontal="center" vertical="center" wrapText="1"/>
    </xf>
    <xf numFmtId="0" fontId="4" fillId="0" borderId="5" xfId="0" applyFont="1" applyBorder="1" applyAlignment="1">
      <alignment horizontal="center" vertical="center" wrapText="1"/>
    </xf>
    <xf numFmtId="0" fontId="5" fillId="0" borderId="0" xfId="0" applyFont="1" applyAlignment="1">
      <alignment horizontal="center" vertical="center"/>
    </xf>
    <xf numFmtId="0" fontId="4" fillId="0" borderId="0" xfId="0" applyFont="1" applyAlignment="1">
      <alignment horizontal="left" vertical="center"/>
    </xf>
    <xf numFmtId="0" fontId="5" fillId="5" borderId="0" xfId="0" applyFont="1" applyFill="1" applyAlignment="1">
      <alignment horizontal="center"/>
    </xf>
    <xf numFmtId="0" fontId="5" fillId="5" borderId="0" xfId="0" applyFont="1" applyFill="1"/>
    <xf numFmtId="0" fontId="1" fillId="7" borderId="0" xfId="0" applyFont="1" applyFill="1" applyAlignment="1">
      <alignment vertical="center" wrapText="1"/>
    </xf>
    <xf numFmtId="0" fontId="1" fillId="8" borderId="10" xfId="0" applyFont="1" applyFill="1" applyBorder="1" applyAlignment="1">
      <alignment horizontal="center" vertical="center" wrapText="1"/>
    </xf>
    <xf numFmtId="0" fontId="8" fillId="9" borderId="8" xfId="0" applyFont="1" applyFill="1" applyBorder="1" applyAlignment="1">
      <alignment horizontal="center" vertical="center" wrapText="1"/>
    </xf>
    <xf numFmtId="0" fontId="8" fillId="9" borderId="9" xfId="0" applyFont="1" applyFill="1" applyBorder="1" applyAlignment="1">
      <alignment horizontal="center" vertical="center" wrapText="1"/>
    </xf>
    <xf numFmtId="0" fontId="1" fillId="8" borderId="0" xfId="0" applyFont="1" applyFill="1" applyAlignment="1">
      <alignment horizontal="center"/>
    </xf>
    <xf numFmtId="0" fontId="1" fillId="10" borderId="11" xfId="0" applyFont="1" applyFill="1" applyBorder="1" applyAlignment="1">
      <alignment horizontal="center"/>
    </xf>
    <xf numFmtId="0" fontId="1" fillId="11" borderId="11" xfId="0" applyFont="1" applyFill="1" applyBorder="1" applyAlignment="1">
      <alignment horizontal="center"/>
    </xf>
    <xf numFmtId="0" fontId="1" fillId="11" borderId="12" xfId="0" applyFont="1" applyFill="1" applyBorder="1" applyAlignment="1">
      <alignment horizontal="center"/>
    </xf>
    <xf numFmtId="0" fontId="0" fillId="0" borderId="0" xfId="0" applyAlignment="1">
      <alignment horizontal="center" wrapText="1"/>
    </xf>
    <xf numFmtId="0" fontId="0" fillId="2" borderId="0" xfId="0" applyFill="1" applyAlignment="1">
      <alignment vertical="center" wrapText="1"/>
    </xf>
    <xf numFmtId="0" fontId="4" fillId="12" borderId="0" xfId="0" applyFont="1" applyFill="1" applyAlignment="1">
      <alignment horizontal="left" vertical="center"/>
    </xf>
    <xf numFmtId="0" fontId="0" fillId="12" borderId="0" xfId="0" applyFill="1"/>
    <xf numFmtId="0" fontId="8" fillId="7" borderId="0" xfId="0" applyFont="1" applyFill="1" applyAlignment="1">
      <alignment vertical="center" wrapText="1"/>
    </xf>
    <xf numFmtId="0" fontId="0" fillId="8" borderId="13" xfId="0" applyFill="1" applyBorder="1" applyAlignment="1">
      <alignment horizontal="center" vertical="center"/>
    </xf>
    <xf numFmtId="0" fontId="1" fillId="0" borderId="7" xfId="0" applyFont="1" applyBorder="1" applyAlignment="1">
      <alignment horizontal="center"/>
    </xf>
    <xf numFmtId="0" fontId="5" fillId="4" borderId="0" xfId="0" applyFont="1" applyFill="1" applyAlignment="1">
      <alignment horizontal="center"/>
    </xf>
    <xf numFmtId="0" fontId="3" fillId="0" borderId="4" xfId="0" applyFont="1" applyBorder="1" applyAlignment="1">
      <alignment horizontal="center"/>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2" fillId="0" borderId="0" xfId="0" applyFont="1" applyAlignment="1">
      <alignment horizontal="center"/>
    </xf>
    <xf numFmtId="0" fontId="5" fillId="6" borderId="0" xfId="0" applyFont="1" applyFill="1" applyAlignment="1">
      <alignment horizontal="center"/>
    </xf>
    <xf numFmtId="0" fontId="5" fillId="5" borderId="0" xfId="0" applyFont="1" applyFill="1" applyAlignment="1">
      <alignment horizontal="center"/>
    </xf>
    <xf numFmtId="0" fontId="5" fillId="5" borderId="0" xfId="0" applyFont="1" applyFill="1"/>
  </cellXfs>
  <cellStyles count="1">
    <cellStyle name="Normal" xfId="0" builtinId="0"/>
  </cellStyles>
  <dxfs count="54">
    <dxf>
      <numFmt numFmtId="0" formatCode="General"/>
      <alignment horizontal="general" vertical="center" textRotation="0" wrapText="1" indent="0" justifyLastLine="0" shrinkToFit="0" readingOrder="0"/>
    </dxf>
    <dxf>
      <alignment vertical="center" textRotation="0" indent="0" justifyLastLine="0" shrinkToFit="0" readingOrder="0"/>
    </dxf>
    <dxf>
      <alignment vertical="center" textRotation="0"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alignment horizontal="center" vertical="bottom" textRotation="0" indent="0" justifyLastLine="0" shrinkToFit="0" readingOrder="0"/>
    </dxf>
    <dxf>
      <font>
        <b/>
        <i val="0"/>
        <strike val="0"/>
        <condense val="0"/>
        <extend val="0"/>
        <outline val="0"/>
        <shadow val="0"/>
        <u val="none"/>
        <vertAlign val="baseline"/>
        <sz val="11"/>
        <color auto="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ill>
        <patternFill patternType="solid">
          <fgColor indexed="64"/>
          <bgColor rgb="FFFFFF00"/>
        </patternFill>
      </fill>
    </dxf>
    <dxf>
      <fill>
        <patternFill patternType="none">
          <fgColor indexed="64"/>
          <bgColor indexed="65"/>
        </patternFill>
      </fill>
    </dxf>
    <dxf>
      <fill>
        <patternFill patternType="solid">
          <fgColor indexed="64"/>
          <bgColor rgb="FFFFFF00"/>
        </patternFill>
      </fill>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alignment horizontal="general" vertical="center" textRotation="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808080"/>
        </patternFill>
      </fill>
      <alignment horizontal="left" vertical="center" textRotation="0" wrapText="0" indent="0" justifyLastLine="0" shrinkToFit="0" readingOrder="0"/>
    </dxf>
    <dxf>
      <font>
        <b val="0"/>
        <strike val="0"/>
        <outline val="0"/>
        <shadow val="0"/>
        <u val="none"/>
        <vertAlign val="baseline"/>
        <sz val="11"/>
        <color auto="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808080"/>
        </patternFill>
      </fill>
      <alignment horizontal="left" vertical="center" textRotation="0" wrapText="0" indent="0" justifyLastLine="0" shrinkToFit="0" readingOrder="0"/>
    </dxf>
    <dxf>
      <font>
        <b val="0"/>
        <strike val="0"/>
        <outline val="0"/>
        <shadow val="0"/>
        <u val="none"/>
        <vertAlign val="baseline"/>
        <sz val="11"/>
        <color auto="1"/>
        <name val="Calibri"/>
        <family val="2"/>
        <scheme val="minor"/>
      </font>
      <alignment horizontal="left" vertical="center" textRotation="0" wrapText="0" indent="0" justifyLastLine="0" shrinkToFit="0" readingOrder="0"/>
    </dxf>
    <dxf>
      <fill>
        <patternFill patternType="solid">
          <fgColor indexed="64"/>
          <bgColor rgb="FF808080"/>
        </patternFill>
      </fill>
      <alignment horizontal="center" vertical="center" textRotation="0" wrapText="0" indent="0" justifyLastLine="0" shrinkToFit="0" readingOrder="0"/>
    </dxf>
    <dxf>
      <font>
        <b val="0"/>
        <strike val="0"/>
        <outline val="0"/>
        <shadow val="0"/>
        <u val="none"/>
        <vertAlign val="baseline"/>
        <sz val="11"/>
        <color auto="1"/>
        <name val="Calibri"/>
        <family val="2"/>
        <scheme val="minor"/>
      </font>
      <alignment horizontal="left"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none">
          <fgColor indexed="64"/>
          <bgColor auto="1"/>
        </patternFill>
      </fill>
      <alignment horizontal="center" vertical="center" textRotation="0" wrapText="0" indent="0" justifyLastLine="0" shrinkToFit="0" readingOrder="0"/>
    </dxf>
    <dxf>
      <fill>
        <patternFill patternType="solid">
          <fgColor indexed="64"/>
          <bgColor rgb="FF808080"/>
        </patternFill>
      </fill>
    </dxf>
    <dxf>
      <fill>
        <patternFill patternType="solid">
          <fgColor indexed="64"/>
          <bgColor rgb="FF808080"/>
        </patternFill>
      </fill>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4" tint="-0.249977111117893"/>
        </patternFill>
      </fill>
      <alignment horizontal="center" vertical="center" textRotation="0" wrapText="1" indent="0" justifyLastLine="0" shrinkToFit="0" readingOrder="0"/>
    </dxf>
    <dxf>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top/>
        <bottom/>
      </border>
    </dxf>
    <dxf>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top/>
        <bottom/>
      </border>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solid">
          <fgColor indexed="64"/>
          <bgColor rgb="FFFFFF00"/>
        </patternFill>
      </fill>
      <alignment horizontal="center" vertical="center" textRotation="0" wrapText="1" indent="0" justifyLastLine="0" shrinkToFit="0" readingOrder="0"/>
    </dxf>
    <dxf>
      <fill>
        <patternFill patternType="solid">
          <fgColor indexed="64"/>
          <bgColor rgb="FFFFFF00"/>
        </patternFill>
      </fill>
      <alignment horizontal="center"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center" vertical="center" textRotation="0" wrapText="0" indent="0" justifyLastLine="0" shrinkToFit="0" readingOrder="0"/>
    </dxf>
    <dxf>
      <fill>
        <patternFill patternType="solid">
          <fgColor indexed="64"/>
          <bgColor rgb="FFFFFF00"/>
        </patternFill>
      </fill>
      <alignment horizontal="center" vertical="center" textRotation="0" indent="0" justifyLastLine="0" shrinkToFit="0" readingOrder="0"/>
    </dxf>
    <dxf>
      <border outline="0">
        <right style="thin">
          <color indexed="64"/>
        </right>
      </border>
    </dxf>
    <dxf>
      <alignment horizontal="center" vertical="center" textRotation="0" wrapText="1" indent="0" justifyLastLine="0" shrinkToFit="0" readingOrder="0"/>
    </dxf>
    <dxf>
      <font>
        <strike val="0"/>
        <outline val="0"/>
        <shadow val="0"/>
        <u val="none"/>
        <vertAlign val="baseline"/>
        <sz val="11"/>
        <color auto="1"/>
        <name val="Calibri"/>
        <family val="2"/>
        <scheme val="minor"/>
      </font>
      <fill>
        <patternFill patternType="none">
          <fgColor indexed="64"/>
          <bgColor auto="1"/>
        </patternFill>
      </fill>
      <alignment horizontal="center" vertical="center" textRotation="0" wrapText="1" indent="0" justifyLastLine="0" shrinkToFit="0" readingOrder="0"/>
    </dxf>
    <dxf>
      <fill>
        <patternFill>
          <bgColor rgb="FFFF0000"/>
        </patternFill>
      </fill>
    </dxf>
  </dxfs>
  <tableStyles count="1" defaultTableStyle="TableStyleMedium2" defaultPivotStyle="PivotStyleLight16">
    <tableStyle name="Invisible" pivot="0" table="0" count="0" xr9:uid="{E07388E1-7985-4032-B769-5C322B7618C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400050</xdr:colOff>
          <xdr:row>3</xdr:row>
          <xdr:rowOff>161925</xdr:rowOff>
        </xdr:from>
        <xdr:to>
          <xdr:col>6</xdr:col>
          <xdr:colOff>0</xdr:colOff>
          <xdr:row>3</xdr:row>
          <xdr:rowOff>628650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Update Possible Solutions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371475</xdr:colOff>
          <xdr:row>3</xdr:row>
          <xdr:rowOff>123825</xdr:rowOff>
        </xdr:from>
        <xdr:to>
          <xdr:col>7</xdr:col>
          <xdr:colOff>0</xdr:colOff>
          <xdr:row>3</xdr:row>
          <xdr:rowOff>638175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Update Organizational Values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1</xdr:row>
          <xdr:rowOff>95250</xdr:rowOff>
        </xdr:from>
        <xdr:to>
          <xdr:col>4</xdr:col>
          <xdr:colOff>1704975</xdr:colOff>
          <xdr:row>1</xdr:row>
          <xdr:rowOff>485775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Check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400050</xdr:colOff>
          <xdr:row>1</xdr:row>
          <xdr:rowOff>47625</xdr:rowOff>
        </xdr:from>
        <xdr:to>
          <xdr:col>7</xdr:col>
          <xdr:colOff>1123950</xdr:colOff>
          <xdr:row>1</xdr:row>
          <xdr:rowOff>485775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1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Check Current Groups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xdr:colOff>
          <xdr:row>0</xdr:row>
          <xdr:rowOff>66675</xdr:rowOff>
        </xdr:from>
        <xdr:to>
          <xdr:col>4</xdr:col>
          <xdr:colOff>1543050</xdr:colOff>
          <xdr:row>0</xdr:row>
          <xdr:rowOff>542925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Catergories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0</xdr:row>
          <xdr:rowOff>66675</xdr:rowOff>
        </xdr:from>
        <xdr:to>
          <xdr:col>6</xdr:col>
          <xdr:colOff>9525</xdr:colOff>
          <xdr:row>0</xdr:row>
          <xdr:rowOff>542925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Sub Catergories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39C65B1-301A-4664-8C30-852B8C943832}" name="Table1" displayName="Table1" ref="A7:I73" headerRowDxfId="52" dataDxfId="51" tableBorderDxfId="50">
  <autoFilter ref="A7:I73" xr:uid="{D39C65B1-301A-4664-8C30-852B8C943832}"/>
  <tableColumns count="9">
    <tableColumn id="1" xr3:uid="{E37F10F0-3B28-44D1-909D-56174809CD15}" name="ID" totalsRowLabel="Total" dataDxfId="49" totalsRowDxfId="48">
      <calculatedColumnFormula>A7+1</calculatedColumnFormula>
    </tableColumn>
    <tableColumn id="2" xr3:uid="{AF52C601-054F-4544-8A9F-E4E66B42EAF2}" name="References" dataDxfId="47" totalsRowDxfId="46"/>
    <tableColumn id="3" xr3:uid="{98663B65-2A1B-45B8-9B7B-E5AA992F38ED}" name="Extracts" dataDxfId="45" totalsRowDxfId="44"/>
    <tableColumn id="4" xr3:uid="{32D4F5A3-434E-41A7-B4FE-8A0A4DDD0E9A}" name="Facts" dataDxfId="43" totalsRowDxfId="42"/>
    <tableColumn id="5" xr3:uid="{58B8B5D6-2CE4-4032-B24A-E79E6D6499FC}" name="Factors" dataDxfId="41" totalsRowDxfId="40"/>
    <tableColumn id="6" xr3:uid="{4CBF119E-EA62-4897-BA19-B5277A113CD7}" name="Groups" dataDxfId="39" totalsRowDxfId="38"/>
    <tableColumn id="7" xr3:uid="{9245D754-1CF3-4F33-A9FD-11B36365C483}" name="Sub Groups" dataDxfId="37" totalsRowDxfId="36"/>
    <tableColumn id="8" xr3:uid="{1E1314C4-1724-4F46-B5BA-BB850A2B3061}" name="Notes/Additional" dataDxfId="35" totalsRowDxfId="34"/>
    <tableColumn id="9" xr3:uid="{9BABA224-03F1-4C2F-A655-FAAFE66B6540}" name="Glossary Check" totalsRowFunction="count" dataDxfId="33" totalsRowDxfId="32">
      <calculatedColumnFormula>CheckGlossary($E8, Table2[Factors])</calculatedColumnFormula>
    </tableColumn>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557346A-8157-4AB7-BA24-95DEAB55C7E0}" name="Table2" displayName="Table2" ref="A5:C219" totalsRowCount="1" headerRowDxfId="31" dataDxfId="30">
  <autoFilter ref="A5:C218" xr:uid="{F557346A-8157-4AB7-BA24-95DEAB55C7E0}"/>
  <sortState xmlns:xlrd2="http://schemas.microsoft.com/office/spreadsheetml/2017/richdata2" ref="A6:C218">
    <sortCondition ref="A5:A218"/>
  </sortState>
  <tableColumns count="3">
    <tableColumn id="1" xr3:uid="{A62D73FD-7276-4F2D-9085-D203977C73C4}" name="Factors" totalsRowLabel="Total" dataDxfId="29" totalsRowDxfId="28"/>
    <tableColumn id="4" xr3:uid="{CEE9EB9B-E91C-41C5-A782-3045000D3D4D}" name="Groups"/>
    <tableColumn id="2" xr3:uid="{4D87C797-9AF2-4A53-B9A2-1F9D701C9272}" name="Sub Groups" totalsRowFunction="count" dataDxfId="27" totalsRowDxfId="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4EFC92-3300-4F45-A64E-D2ABBD972040}" name="Table3" displayName="Table3" ref="E5:E7" insertRow="1" totalsRowCount="1" headerRowDxfId="25" totalsRowDxfId="24">
  <autoFilter ref="E5:E6" xr:uid="{564EFC92-3300-4F45-A64E-D2ABBD972040}"/>
  <tableColumns count="1">
    <tableColumn id="1" xr3:uid="{484E5B82-363C-4245-9DEE-C2DF5DAAB66B}" name="Factors that Need to be added" totalsRowLabel="Total Rows: 0" totalsRowDxfId="2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71F6413-E688-439B-ACCD-82F7D0B9CBF0}" name="Table4" displayName="Table4" ref="G5:H27" totalsRowCount="1" headerRowDxfId="22" dataDxfId="21" totalsRowDxfId="20">
  <autoFilter ref="G5:H26" xr:uid="{071F6413-E688-439B-ACCD-82F7D0B9CBF0}"/>
  <sortState xmlns:xlrd2="http://schemas.microsoft.com/office/spreadsheetml/2017/richdata2" ref="G4:G5">
    <sortCondition ref="G5"/>
  </sortState>
  <tableColumns count="2">
    <tableColumn id="1" xr3:uid="{D404CA30-2006-4947-A67D-31137D4C5B75}" name="Current Groups" totalsRowLabel="Total Rows:" dataDxfId="19" totalsRowDxfId="18"/>
    <tableColumn id="2" xr3:uid="{228C32B8-1BC6-4762-A315-581DB8260629}" name="Current Sub Group" totalsRowLabel="21" dataDxfId="17" totalsRowDxfId="1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8A77055-C259-414B-BB36-D21754969C94}" name="table5" displayName="table5" ref="A4:C218" totalsRowCount="1" headerRowDxfId="15" dataDxfId="14">
  <autoFilter ref="A4:C217" xr:uid="{88A77055-C259-414B-BB36-D21754969C94}"/>
  <sortState xmlns:xlrd2="http://schemas.microsoft.com/office/spreadsheetml/2017/richdata2" ref="A5:C217">
    <sortCondition ref="A4:A217"/>
  </sortState>
  <tableColumns count="3">
    <tableColumn id="1" xr3:uid="{0C4B0DBE-4A73-4192-B377-7DA531385DE2}" name="Factor" totalsRowLabel="Total" totalsRowDxfId="13">
      <calculatedColumnFormula>Glossary!A6</calculatedColumnFormula>
    </tableColumn>
    <tableColumn id="2" xr3:uid="{3E208449-6526-44CF-AC59-CB9429924362}" name="Catergories" dataDxfId="12" totalsRowDxfId="11"/>
    <tableColumn id="3" xr3:uid="{0C1310BA-D048-4003-820D-563F24B1B8D2}" name="Sub Catergories" totalsRowFunction="count" dataDxfId="10" totalsRowDxfId="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79CF538-C3D7-4737-A223-A0DBD291B3C6}" name="Table6" displayName="Table6" ref="A4:G70" totalsRowShown="0" headerRowDxfId="8" dataDxfId="7">
  <autoFilter ref="A4:G70" xr:uid="{F79CF538-C3D7-4737-A223-A0DBD291B3C6}"/>
  <tableColumns count="7">
    <tableColumn id="1" xr3:uid="{D1D6EA50-9BC1-4A54-BECD-39796F25EBD7}" name="ID" dataDxfId="6">
      <calculatedColumnFormula>'Thematic Analysis'!#REF!</calculatedColumnFormula>
    </tableColumn>
    <tableColumn id="2" xr3:uid="{E24CE3CC-B4B6-4C4F-90E7-295304758DF1}" name="Factors" dataDxfId="5">
      <calculatedColumnFormula>'Thematic Analysis'!E8</calculatedColumnFormula>
    </tableColumn>
    <tableColumn id="7" xr3:uid="{922643FC-B475-48C8-895E-24816DC8ADB8}" name="Groups" dataDxfId="4">
      <calculatedColumnFormula>'Thematic Analysis'!F8</calculatedColumnFormula>
    </tableColumn>
    <tableColumn id="3" xr3:uid="{DDA15557-5AE9-4190-B274-0F309E7E6249}" name="Sub Groups" dataDxfId="3">
      <calculatedColumnFormula>'Thematic Analysis'!G8</calculatedColumnFormula>
    </tableColumn>
    <tableColumn id="4" xr3:uid="{8317CC99-47AA-4512-9B48-6638EFE433BC}" name="Catergories" dataDxfId="2"/>
    <tableColumn id="5" xr3:uid="{CFDDE1F2-4EBC-4AF6-BED1-F881894AC077}" name="Sub Catergories" dataDxfId="1"/>
    <tableColumn id="6" xr3:uid="{75D8CE58-185C-4867-8B65-8D04627A39E7}" name="Extracts" dataDxfId="0">
      <calculatedColumnFormula>'Thematic Analysis'!$D8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2.vml"/><Relationship Id="rId7"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6.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1169"/>
  <sheetViews>
    <sheetView tabSelected="1" zoomScaleNormal="100" workbookViewId="0">
      <pane ySplit="7" topLeftCell="A73" activePane="bottomLeft" state="frozen"/>
      <selection pane="bottomLeft" activeCell="G2" sqref="G2"/>
    </sheetView>
  </sheetViews>
  <sheetFormatPr defaultRowHeight="15" x14ac:dyDescent="0.25"/>
  <cols>
    <col min="1" max="1" width="17.85546875" style="2" customWidth="1"/>
    <col min="2" max="2" width="28.42578125" customWidth="1"/>
    <col min="3" max="3" width="80.140625" bestFit="1" customWidth="1"/>
    <col min="4" max="4" width="49.7109375" customWidth="1"/>
    <col min="5" max="5" width="45.5703125" customWidth="1"/>
    <col min="6" max="6" width="41.85546875" customWidth="1"/>
    <col min="7" max="7" width="51.28515625" customWidth="1"/>
    <col min="8" max="8" width="21.42578125" customWidth="1"/>
    <col min="9" max="9" width="33.7109375" customWidth="1"/>
    <col min="10" max="10" width="20.28515625" customWidth="1"/>
  </cols>
  <sheetData>
    <row r="1" spans="1:9" ht="15" customHeight="1" thickBot="1" x14ac:dyDescent="0.35">
      <c r="C1" s="49" t="s">
        <v>0</v>
      </c>
      <c r="D1" s="49"/>
      <c r="E1" s="49"/>
      <c r="F1" s="49"/>
      <c r="I1" s="2"/>
    </row>
    <row r="2" spans="1:9" ht="19.5" thickBot="1" x14ac:dyDescent="0.35">
      <c r="C2" s="45" t="s">
        <v>1</v>
      </c>
      <c r="D2" s="45"/>
      <c r="E2" s="45"/>
      <c r="F2" s="45"/>
      <c r="I2" s="43" t="s">
        <v>1100</v>
      </c>
    </row>
    <row r="3" spans="1:9" ht="30.75" customHeight="1" thickBot="1" x14ac:dyDescent="0.3">
      <c r="A3" s="17" t="s">
        <v>480</v>
      </c>
      <c r="C3" s="46" t="s">
        <v>443</v>
      </c>
      <c r="D3" s="47"/>
      <c r="E3" s="47"/>
      <c r="F3" s="48"/>
      <c r="I3" s="42">
        <f>ROWS(Table1[])-1</f>
        <v>65</v>
      </c>
    </row>
    <row r="4" spans="1:9" ht="57.75" customHeight="1" x14ac:dyDescent="0.25">
      <c r="I4" s="2"/>
    </row>
    <row r="5" spans="1:9" x14ac:dyDescent="0.25">
      <c r="A5" s="44" t="s">
        <v>479</v>
      </c>
      <c r="B5" s="44"/>
      <c r="C5" s="44"/>
      <c r="D5" s="44"/>
      <c r="E5" s="44"/>
      <c r="F5" s="44"/>
      <c r="G5" s="44"/>
      <c r="H5" s="44"/>
      <c r="I5" s="44"/>
    </row>
    <row r="6" spans="1:9" x14ac:dyDescent="0.25">
      <c r="A6" s="12"/>
      <c r="B6" s="12"/>
      <c r="C6" s="12"/>
      <c r="D6" s="12"/>
      <c r="E6" s="31" t="s">
        <v>473</v>
      </c>
      <c r="F6" s="32" t="s">
        <v>5</v>
      </c>
      <c r="G6" s="31" t="s">
        <v>478</v>
      </c>
      <c r="H6" s="12"/>
      <c r="I6" s="12"/>
    </row>
    <row r="7" spans="1:9" s="7" customFormat="1" x14ac:dyDescent="0.25">
      <c r="A7" s="14" t="s">
        <v>476</v>
      </c>
      <c r="B7" s="14" t="s">
        <v>495</v>
      </c>
      <c r="C7" s="15" t="s">
        <v>494</v>
      </c>
      <c r="D7" s="15" t="s">
        <v>477</v>
      </c>
      <c r="E7" s="15" t="s">
        <v>485</v>
      </c>
      <c r="F7" s="16" t="s">
        <v>486</v>
      </c>
      <c r="G7" s="15" t="s">
        <v>487</v>
      </c>
      <c r="H7" s="16" t="s">
        <v>2</v>
      </c>
      <c r="I7" s="16" t="s">
        <v>481</v>
      </c>
    </row>
    <row r="8" spans="1:9" ht="300" x14ac:dyDescent="0.25">
      <c r="A8" s="18">
        <v>1</v>
      </c>
      <c r="B8" s="19" t="s">
        <v>6</v>
      </c>
      <c r="C8" s="19" t="s">
        <v>24</v>
      </c>
      <c r="D8" s="19" t="s">
        <v>384</v>
      </c>
      <c r="E8" s="20" t="s">
        <v>482</v>
      </c>
      <c r="F8" s="10" t="s">
        <v>739</v>
      </c>
      <c r="G8" s="23" t="s">
        <v>1101</v>
      </c>
      <c r="H8" s="4"/>
      <c r="I8" s="10" t="str">
        <f>CheckGlossary($E8, Table2[Factors])</f>
        <v>In Glossary
In Glossary</v>
      </c>
    </row>
    <row r="9" spans="1:9" ht="60" x14ac:dyDescent="0.25">
      <c r="A9" s="18">
        <f>A8+1</f>
        <v>2</v>
      </c>
      <c r="B9" s="19" t="s">
        <v>3</v>
      </c>
      <c r="C9" s="19" t="s">
        <v>7</v>
      </c>
      <c r="D9" s="19" t="s">
        <v>385</v>
      </c>
      <c r="E9" s="20" t="s">
        <v>136</v>
      </c>
      <c r="F9" s="10" t="s">
        <v>459</v>
      </c>
      <c r="G9" s="10" t="s">
        <v>365</v>
      </c>
      <c r="H9" s="8"/>
      <c r="I9" s="10" t="str">
        <f>CheckGlossary($E9, Table2[Factors])</f>
        <v>In Glossary</v>
      </c>
    </row>
    <row r="10" spans="1:9" ht="90" x14ac:dyDescent="0.25">
      <c r="A10" s="18">
        <f t="shared" ref="A10:A73" si="0">A9+1</f>
        <v>3</v>
      </c>
      <c r="B10" s="19" t="s">
        <v>3</v>
      </c>
      <c r="C10" s="19" t="s">
        <v>8</v>
      </c>
      <c r="D10" s="19" t="s">
        <v>386</v>
      </c>
      <c r="E10" s="20" t="s">
        <v>138</v>
      </c>
      <c r="F10" s="10" t="s">
        <v>462</v>
      </c>
      <c r="G10" s="10" t="s">
        <v>729</v>
      </c>
      <c r="H10" s="8"/>
      <c r="I10" s="10" t="str">
        <f>CheckGlossary($E10, Table2[Factors])</f>
        <v>In Glossary</v>
      </c>
    </row>
    <row r="11" spans="1:9" ht="105" x14ac:dyDescent="0.25">
      <c r="A11" s="18">
        <f t="shared" si="0"/>
        <v>4</v>
      </c>
      <c r="B11" s="19" t="s">
        <v>3</v>
      </c>
      <c r="C11" s="19" t="s">
        <v>9</v>
      </c>
      <c r="D11" s="19" t="s">
        <v>387</v>
      </c>
      <c r="E11" s="20" t="s">
        <v>325</v>
      </c>
      <c r="F11" s="10" t="s">
        <v>740</v>
      </c>
      <c r="G11" s="10" t="s">
        <v>1102</v>
      </c>
      <c r="H11" s="8"/>
      <c r="I11" s="10" t="str">
        <f>CheckGlossary($E11, Table2[Factors])</f>
        <v>In Glossary
In Glossary
In Glossary</v>
      </c>
    </row>
    <row r="12" spans="1:9" ht="150" x14ac:dyDescent="0.25">
      <c r="A12" s="18">
        <f t="shared" si="0"/>
        <v>5</v>
      </c>
      <c r="B12" s="19" t="s">
        <v>4</v>
      </c>
      <c r="C12" s="19" t="s">
        <v>32</v>
      </c>
      <c r="D12" s="19" t="s">
        <v>388</v>
      </c>
      <c r="E12" s="20" t="s">
        <v>111</v>
      </c>
      <c r="F12" s="10" t="s">
        <v>741</v>
      </c>
      <c r="G12" s="10" t="s">
        <v>1103</v>
      </c>
      <c r="H12" s="9"/>
      <c r="I12" s="10" t="str">
        <f>CheckGlossary($E12, Table2[Factors])</f>
        <v>In Glossary
In Glossary
In Glossary
In Glossary
In Glossary</v>
      </c>
    </row>
    <row r="13" spans="1:9" ht="60" x14ac:dyDescent="0.25">
      <c r="A13" s="18">
        <f t="shared" si="0"/>
        <v>6</v>
      </c>
      <c r="B13" s="19" t="s">
        <v>11</v>
      </c>
      <c r="C13" s="19" t="s">
        <v>10</v>
      </c>
      <c r="D13" s="19" t="s">
        <v>389</v>
      </c>
      <c r="E13" s="20" t="s">
        <v>326</v>
      </c>
      <c r="F13" s="10" t="s">
        <v>742</v>
      </c>
      <c r="G13" s="10" t="s">
        <v>1104</v>
      </c>
      <c r="H13" s="9"/>
      <c r="I13" s="10" t="str">
        <f>CheckGlossary($E13, Table2[Factors])</f>
        <v>In Glossary
In Glossary
In Glossary</v>
      </c>
    </row>
    <row r="14" spans="1:9" ht="75" x14ac:dyDescent="0.25">
      <c r="A14" s="18">
        <f t="shared" si="0"/>
        <v>7</v>
      </c>
      <c r="B14" s="19" t="s">
        <v>11</v>
      </c>
      <c r="C14" s="19" t="s">
        <v>37</v>
      </c>
      <c r="D14" s="19" t="s">
        <v>390</v>
      </c>
      <c r="E14" s="20" t="s">
        <v>446</v>
      </c>
      <c r="F14" s="10" t="s">
        <v>743</v>
      </c>
      <c r="G14" s="10" t="s">
        <v>1105</v>
      </c>
      <c r="H14" s="9"/>
      <c r="I14" s="10" t="str">
        <f>CheckGlossary($E14, Table2[Factors])</f>
        <v>In Glossary
In Glossary
In Glossary</v>
      </c>
    </row>
    <row r="15" spans="1:9" ht="210" x14ac:dyDescent="0.25">
      <c r="A15" s="18">
        <f t="shared" si="0"/>
        <v>8</v>
      </c>
      <c r="B15" s="19" t="s">
        <v>11</v>
      </c>
      <c r="C15" s="19" t="s">
        <v>38</v>
      </c>
      <c r="D15" s="19" t="s">
        <v>391</v>
      </c>
      <c r="E15" s="20" t="s">
        <v>327</v>
      </c>
      <c r="F15" s="10" t="s">
        <v>744</v>
      </c>
      <c r="G15" s="10" t="s">
        <v>1106</v>
      </c>
      <c r="H15" s="9"/>
      <c r="I15" s="10" t="str">
        <f>CheckGlossary($E15, Table2[Factors])</f>
        <v>In Glossary
In Glossary
In Glossary
In Glossary
In Glossary</v>
      </c>
    </row>
    <row r="16" spans="1:9" ht="255" x14ac:dyDescent="0.25">
      <c r="A16" s="18">
        <f t="shared" si="0"/>
        <v>9</v>
      </c>
      <c r="B16" s="19" t="s">
        <v>12</v>
      </c>
      <c r="C16" s="19" t="s">
        <v>33</v>
      </c>
      <c r="D16" s="19" t="s">
        <v>392</v>
      </c>
      <c r="E16" s="20" t="s">
        <v>112</v>
      </c>
      <c r="F16" s="10" t="s">
        <v>745</v>
      </c>
      <c r="G16" s="10" t="s">
        <v>1107</v>
      </c>
      <c r="H16" s="9"/>
      <c r="I16" s="10" t="str">
        <f>CheckGlossary($E16, Table2[Factors])</f>
        <v>In Glossary
In Glossary
In Glossary</v>
      </c>
    </row>
    <row r="17" spans="1:9" ht="225" x14ac:dyDescent="0.25">
      <c r="A17" s="18">
        <f t="shared" si="0"/>
        <v>10</v>
      </c>
      <c r="B17" s="19" t="s">
        <v>13</v>
      </c>
      <c r="C17" s="19" t="s">
        <v>34</v>
      </c>
      <c r="D17" s="19" t="s">
        <v>393</v>
      </c>
      <c r="E17" s="20" t="s">
        <v>328</v>
      </c>
      <c r="F17" s="10" t="s">
        <v>746</v>
      </c>
      <c r="G17" s="10" t="s">
        <v>1108</v>
      </c>
      <c r="H17" s="9"/>
      <c r="I17" s="10" t="str">
        <f>CheckGlossary($E17, Table2[Factors])</f>
        <v>In Glossary
In Glossary
In Glossary
In Glossary</v>
      </c>
    </row>
    <row r="18" spans="1:9" ht="330" x14ac:dyDescent="0.25">
      <c r="A18" s="18">
        <f t="shared" si="0"/>
        <v>11</v>
      </c>
      <c r="B18" s="19" t="s">
        <v>14</v>
      </c>
      <c r="C18" s="19" t="s">
        <v>15</v>
      </c>
      <c r="D18" s="19" t="s">
        <v>394</v>
      </c>
      <c r="E18" s="20" t="s">
        <v>329</v>
      </c>
      <c r="F18" s="10" t="s">
        <v>747</v>
      </c>
      <c r="G18" s="10" t="s">
        <v>1109</v>
      </c>
      <c r="H18" s="9"/>
      <c r="I18" s="10" t="str">
        <f>CheckGlossary($E18, Table2[Factors])</f>
        <v>In Glossary
In Glossary
In Glossary</v>
      </c>
    </row>
    <row r="19" spans="1:9" ht="240" x14ac:dyDescent="0.25">
      <c r="A19" s="18">
        <f t="shared" si="0"/>
        <v>12</v>
      </c>
      <c r="B19" s="19" t="s">
        <v>16</v>
      </c>
      <c r="C19" s="19" t="s">
        <v>25</v>
      </c>
      <c r="D19" s="19" t="s">
        <v>395</v>
      </c>
      <c r="E19" s="20" t="s">
        <v>167</v>
      </c>
      <c r="F19" s="10" t="s">
        <v>458</v>
      </c>
      <c r="G19" s="10" t="s">
        <v>362</v>
      </c>
      <c r="H19" s="9"/>
      <c r="I19" s="10" t="str">
        <f>CheckGlossary($E19, Table2[Factors])</f>
        <v>In Glossary</v>
      </c>
    </row>
    <row r="20" spans="1:9" ht="90" x14ac:dyDescent="0.25">
      <c r="A20" s="18">
        <f t="shared" si="0"/>
        <v>13</v>
      </c>
      <c r="B20" s="19" t="s">
        <v>16</v>
      </c>
      <c r="C20" s="19" t="s">
        <v>35</v>
      </c>
      <c r="D20" s="19" t="s">
        <v>396</v>
      </c>
      <c r="E20" s="20" t="s">
        <v>53</v>
      </c>
      <c r="F20" s="10" t="s">
        <v>748</v>
      </c>
      <c r="G20" s="10" t="s">
        <v>1110</v>
      </c>
      <c r="H20" s="8"/>
      <c r="I20" s="10" t="str">
        <f>CheckGlossary($E20, Table2[Factors])</f>
        <v>In Glossary
In Glossary
In Glossary</v>
      </c>
    </row>
    <row r="21" spans="1:9" ht="120" x14ac:dyDescent="0.25">
      <c r="A21" s="18">
        <f t="shared" si="0"/>
        <v>14</v>
      </c>
      <c r="B21" s="19" t="s">
        <v>17</v>
      </c>
      <c r="C21" s="19" t="s">
        <v>36</v>
      </c>
      <c r="D21" s="19" t="s">
        <v>397</v>
      </c>
      <c r="E21" s="20" t="s">
        <v>134</v>
      </c>
      <c r="F21" s="10" t="s">
        <v>749</v>
      </c>
      <c r="G21" s="10" t="s">
        <v>1111</v>
      </c>
      <c r="H21" s="8"/>
      <c r="I21" s="10" t="str">
        <f>CheckGlossary($E21, Table2[Factors])</f>
        <v>In Glossary
In Glossary
In Glossary
In Glossary</v>
      </c>
    </row>
    <row r="22" spans="1:9" ht="150" x14ac:dyDescent="0.25">
      <c r="A22" s="18">
        <f t="shared" si="0"/>
        <v>15</v>
      </c>
      <c r="B22" s="19" t="s">
        <v>17</v>
      </c>
      <c r="C22" s="21" t="s">
        <v>26</v>
      </c>
      <c r="D22" s="21" t="s">
        <v>398</v>
      </c>
      <c r="E22" s="20" t="s">
        <v>135</v>
      </c>
      <c r="F22" s="10" t="s">
        <v>750</v>
      </c>
      <c r="G22" s="10" t="s">
        <v>1112</v>
      </c>
      <c r="H22" s="8"/>
      <c r="I22" s="10" t="str">
        <f>CheckGlossary($E22, Table2[Factors])</f>
        <v>In Glossary
In Glossary
In Glossary</v>
      </c>
    </row>
    <row r="23" spans="1:9" ht="105" x14ac:dyDescent="0.25">
      <c r="A23" s="18">
        <f t="shared" si="0"/>
        <v>16</v>
      </c>
      <c r="B23" s="19" t="s">
        <v>17</v>
      </c>
      <c r="C23" s="19" t="s">
        <v>18</v>
      </c>
      <c r="D23" s="19" t="s">
        <v>399</v>
      </c>
      <c r="E23" s="20" t="s">
        <v>113</v>
      </c>
      <c r="F23" s="10" t="s">
        <v>751</v>
      </c>
      <c r="G23" s="10" t="s">
        <v>1113</v>
      </c>
      <c r="H23" s="8"/>
      <c r="I23" s="10" t="str">
        <f>CheckGlossary($E23, Table2[Factors])</f>
        <v>In Glossary
In Glossary
In Glossary</v>
      </c>
    </row>
    <row r="24" spans="1:9" ht="75" x14ac:dyDescent="0.25">
      <c r="A24" s="18">
        <f t="shared" si="0"/>
        <v>17</v>
      </c>
      <c r="B24" s="19" t="s">
        <v>19</v>
      </c>
      <c r="C24" s="19" t="s">
        <v>20</v>
      </c>
      <c r="D24" s="19" t="s">
        <v>400</v>
      </c>
      <c r="E24" s="20" t="s">
        <v>330</v>
      </c>
      <c r="F24" s="10" t="s">
        <v>752</v>
      </c>
      <c r="G24" s="10" t="s">
        <v>1114</v>
      </c>
      <c r="H24" s="8"/>
      <c r="I24" s="10" t="str">
        <f>CheckGlossary($E24, Table2[Factors])</f>
        <v>In Glossary
In Glossary
In Glossary</v>
      </c>
    </row>
    <row r="25" spans="1:9" ht="60" x14ac:dyDescent="0.25">
      <c r="A25" s="18">
        <f t="shared" si="0"/>
        <v>18</v>
      </c>
      <c r="B25" s="19" t="s">
        <v>19</v>
      </c>
      <c r="C25" s="19" t="s">
        <v>27</v>
      </c>
      <c r="D25" s="19" t="s">
        <v>401</v>
      </c>
      <c r="E25" s="20" t="s">
        <v>331</v>
      </c>
      <c r="F25" s="10" t="s">
        <v>753</v>
      </c>
      <c r="G25" s="10" t="s">
        <v>1115</v>
      </c>
      <c r="H25" s="8"/>
      <c r="I25" s="10" t="str">
        <f>CheckGlossary($E25, Table2[Factors])</f>
        <v>In Glossary
In Glossary
In Glossary</v>
      </c>
    </row>
    <row r="26" spans="1:9" ht="75" x14ac:dyDescent="0.25">
      <c r="A26" s="18">
        <f t="shared" si="0"/>
        <v>19</v>
      </c>
      <c r="B26" s="19" t="s">
        <v>19</v>
      </c>
      <c r="C26" s="19" t="s">
        <v>28</v>
      </c>
      <c r="D26" s="19" t="s">
        <v>402</v>
      </c>
      <c r="E26" s="20" t="s">
        <v>332</v>
      </c>
      <c r="F26" s="10" t="s">
        <v>754</v>
      </c>
      <c r="G26" s="10" t="s">
        <v>1116</v>
      </c>
      <c r="H26" s="8"/>
      <c r="I26" s="10" t="str">
        <f>CheckGlossary($E26, Table2[Factors])</f>
        <v>In Glossary
In Glossary
In Glossary</v>
      </c>
    </row>
    <row r="27" spans="1:9" ht="135" x14ac:dyDescent="0.25">
      <c r="A27" s="18">
        <f t="shared" si="0"/>
        <v>20</v>
      </c>
      <c r="B27" s="19" t="s">
        <v>19</v>
      </c>
      <c r="C27" s="19" t="s">
        <v>29</v>
      </c>
      <c r="D27" s="19" t="s">
        <v>403</v>
      </c>
      <c r="E27" s="22" t="s">
        <v>447</v>
      </c>
      <c r="F27" s="10" t="s">
        <v>755</v>
      </c>
      <c r="G27" s="10" t="s">
        <v>1117</v>
      </c>
      <c r="H27" s="8"/>
      <c r="I27" s="10" t="str">
        <f>CheckGlossary($E27, Table2[Factors])</f>
        <v>In Glossary
In Glossary
In Glossary
In Glossary</v>
      </c>
    </row>
    <row r="28" spans="1:9" ht="165" x14ac:dyDescent="0.25">
      <c r="A28" s="18">
        <f t="shared" si="0"/>
        <v>21</v>
      </c>
      <c r="B28" s="19" t="s">
        <v>19</v>
      </c>
      <c r="C28" s="19" t="s">
        <v>39</v>
      </c>
      <c r="D28" s="19" t="s">
        <v>404</v>
      </c>
      <c r="E28" s="20" t="s">
        <v>333</v>
      </c>
      <c r="F28" s="10" t="s">
        <v>756</v>
      </c>
      <c r="G28" s="10" t="s">
        <v>1118</v>
      </c>
      <c r="H28" s="8"/>
      <c r="I28" s="10" t="str">
        <f>CheckGlossary($E28, Table2[Factors])</f>
        <v>In Glossary
In Glossary
In Glossary</v>
      </c>
    </row>
    <row r="29" spans="1:9" ht="409.5" x14ac:dyDescent="0.25">
      <c r="A29" s="18">
        <f t="shared" si="0"/>
        <v>22</v>
      </c>
      <c r="B29" s="19" t="s">
        <v>21</v>
      </c>
      <c r="C29" s="19" t="s">
        <v>30</v>
      </c>
      <c r="D29" s="19" t="s">
        <v>405</v>
      </c>
      <c r="E29" s="20" t="s">
        <v>448</v>
      </c>
      <c r="F29" s="10" t="s">
        <v>757</v>
      </c>
      <c r="G29" s="10" t="s">
        <v>1119</v>
      </c>
      <c r="H29" s="8"/>
      <c r="I29" s="10" t="str">
        <f>CheckGlossary($E29, Table2[Factors])</f>
        <v>In Glossary
In Glossary
In Glossary
In Glossary
In Glossary</v>
      </c>
    </row>
    <row r="30" spans="1:9" ht="165" x14ac:dyDescent="0.25">
      <c r="A30" s="18">
        <f t="shared" si="0"/>
        <v>23</v>
      </c>
      <c r="B30" s="19" t="s">
        <v>22</v>
      </c>
      <c r="C30" s="19" t="s">
        <v>31</v>
      </c>
      <c r="D30" s="19" t="s">
        <v>406</v>
      </c>
      <c r="E30" s="20" t="s">
        <v>449</v>
      </c>
      <c r="F30" s="10" t="s">
        <v>758</v>
      </c>
      <c r="G30" s="10" t="s">
        <v>1120</v>
      </c>
      <c r="H30" s="8"/>
      <c r="I30" s="10" t="str">
        <f>CheckGlossary($E30, Table2[Factors])</f>
        <v>In Glossary
In Glossary
In Glossary
In Glossary</v>
      </c>
    </row>
    <row r="31" spans="1:9" ht="90" x14ac:dyDescent="0.25">
      <c r="A31" s="18">
        <f t="shared" si="0"/>
        <v>24</v>
      </c>
      <c r="B31" s="19" t="s">
        <v>23</v>
      </c>
      <c r="C31" s="19" t="s">
        <v>40</v>
      </c>
      <c r="D31" s="21" t="s">
        <v>407</v>
      </c>
      <c r="E31" s="20" t="s">
        <v>334</v>
      </c>
      <c r="F31" s="10" t="s">
        <v>759</v>
      </c>
      <c r="G31" s="10" t="s">
        <v>1121</v>
      </c>
      <c r="H31" s="8"/>
      <c r="I31" s="10" t="str">
        <f>CheckGlossary($E31, Table2[Factors])</f>
        <v>In Glossary
In Glossary
In Glossary</v>
      </c>
    </row>
    <row r="32" spans="1:9" ht="75" customHeight="1" x14ac:dyDescent="0.25">
      <c r="A32" s="18">
        <f t="shared" si="0"/>
        <v>25</v>
      </c>
      <c r="B32" s="19" t="s">
        <v>23</v>
      </c>
      <c r="C32" s="19" t="s">
        <v>41</v>
      </c>
      <c r="D32" s="19" t="s">
        <v>408</v>
      </c>
      <c r="E32" s="20" t="s">
        <v>114</v>
      </c>
      <c r="F32" s="10" t="s">
        <v>760</v>
      </c>
      <c r="G32" s="10" t="s">
        <v>1122</v>
      </c>
      <c r="H32" s="8"/>
      <c r="I32" s="10" t="str">
        <f>CheckGlossary($E32, Table2[Factors])</f>
        <v>In Glossary
In Glossary
In Glossary</v>
      </c>
    </row>
    <row r="33" spans="1:9" ht="75" x14ac:dyDescent="0.25">
      <c r="A33" s="18">
        <f t="shared" si="0"/>
        <v>26</v>
      </c>
      <c r="B33" s="19" t="s">
        <v>23</v>
      </c>
      <c r="C33" s="19" t="s">
        <v>42</v>
      </c>
      <c r="D33" s="19" t="s">
        <v>409</v>
      </c>
      <c r="E33" s="20" t="s">
        <v>373</v>
      </c>
      <c r="F33" s="10" t="s">
        <v>761</v>
      </c>
      <c r="G33" s="10" t="s">
        <v>1123</v>
      </c>
      <c r="H33" s="8"/>
      <c r="I33" s="10" t="str">
        <f>CheckGlossary($E33, Table2[Factors])</f>
        <v>In Glossary
In Glossary
In Glossary</v>
      </c>
    </row>
    <row r="34" spans="1:9" ht="45" x14ac:dyDescent="0.25">
      <c r="A34" s="18">
        <f t="shared" si="0"/>
        <v>27</v>
      </c>
      <c r="B34" s="19" t="s">
        <v>23</v>
      </c>
      <c r="C34" s="19" t="s">
        <v>43</v>
      </c>
      <c r="D34" s="19" t="s">
        <v>43</v>
      </c>
      <c r="E34" s="20" t="s">
        <v>115</v>
      </c>
      <c r="F34" s="10" t="s">
        <v>762</v>
      </c>
      <c r="G34" s="10" t="s">
        <v>1124</v>
      </c>
      <c r="H34" s="8"/>
      <c r="I34" s="10" t="str">
        <f>CheckGlossary($E34, Table2[Factors])</f>
        <v>In Glossary
In Glossary</v>
      </c>
    </row>
    <row r="35" spans="1:9" ht="30" x14ac:dyDescent="0.25">
      <c r="A35" s="18">
        <f t="shared" si="0"/>
        <v>28</v>
      </c>
      <c r="B35" s="19" t="s">
        <v>23</v>
      </c>
      <c r="C35" s="19" t="s">
        <v>44</v>
      </c>
      <c r="D35" s="19" t="s">
        <v>44</v>
      </c>
      <c r="E35" s="20" t="s">
        <v>116</v>
      </c>
      <c r="F35" s="10" t="s">
        <v>763</v>
      </c>
      <c r="G35" s="10" t="s">
        <v>1125</v>
      </c>
      <c r="H35" s="8"/>
      <c r="I35" s="10" t="str">
        <f>CheckGlossary($E35, Table2[Factors])</f>
        <v>In Glossary
In Glossary</v>
      </c>
    </row>
    <row r="36" spans="1:9" ht="45" x14ac:dyDescent="0.25">
      <c r="A36" s="18">
        <f t="shared" si="0"/>
        <v>29</v>
      </c>
      <c r="B36" s="19" t="s">
        <v>23</v>
      </c>
      <c r="C36" s="19" t="s">
        <v>45</v>
      </c>
      <c r="D36" s="19" t="s">
        <v>45</v>
      </c>
      <c r="E36" s="20" t="s">
        <v>117</v>
      </c>
      <c r="F36" s="10" t="s">
        <v>764</v>
      </c>
      <c r="G36" s="10" t="s">
        <v>1126</v>
      </c>
      <c r="H36" s="8"/>
      <c r="I36" s="10" t="str">
        <f>CheckGlossary($E36, Table2[Factors])</f>
        <v>In Glossary
In Glossary
In Glossary</v>
      </c>
    </row>
    <row r="37" spans="1:9" ht="105" x14ac:dyDescent="0.25">
      <c r="A37" s="18">
        <f t="shared" si="0"/>
        <v>30</v>
      </c>
      <c r="B37" s="19" t="s">
        <v>23</v>
      </c>
      <c r="C37" s="19" t="s">
        <v>46</v>
      </c>
      <c r="D37" s="19" t="s">
        <v>410</v>
      </c>
      <c r="E37" s="20" t="s">
        <v>335</v>
      </c>
      <c r="F37" s="10" t="s">
        <v>765</v>
      </c>
      <c r="G37" s="10" t="s">
        <v>1127</v>
      </c>
      <c r="H37" s="8"/>
      <c r="I37" s="10" t="str">
        <f>CheckGlossary($E37, Table2[Factors])</f>
        <v>In Glossary
In Glossary
In Glossary</v>
      </c>
    </row>
    <row r="38" spans="1:9" ht="90" x14ac:dyDescent="0.25">
      <c r="A38" s="18">
        <f t="shared" si="0"/>
        <v>31</v>
      </c>
      <c r="B38" s="19" t="s">
        <v>23</v>
      </c>
      <c r="C38" s="19" t="s">
        <v>47</v>
      </c>
      <c r="D38" s="19" t="s">
        <v>411</v>
      </c>
      <c r="E38" s="20" t="s">
        <v>336</v>
      </c>
      <c r="F38" s="10" t="s">
        <v>766</v>
      </c>
      <c r="G38" s="10" t="s">
        <v>1128</v>
      </c>
      <c r="H38" s="8"/>
      <c r="I38" s="10" t="str">
        <f>CheckGlossary($E38, Table2[Factors])</f>
        <v>In Glossary
In Glossary
In Glossary
In Glossary</v>
      </c>
    </row>
    <row r="39" spans="1:9" ht="75" x14ac:dyDescent="0.25">
      <c r="A39" s="18">
        <f t="shared" si="0"/>
        <v>32</v>
      </c>
      <c r="B39" s="19" t="s">
        <v>23</v>
      </c>
      <c r="C39" s="19" t="s">
        <v>48</v>
      </c>
      <c r="D39" s="19" t="s">
        <v>48</v>
      </c>
      <c r="E39" s="20" t="s">
        <v>118</v>
      </c>
      <c r="F39" s="10" t="s">
        <v>767</v>
      </c>
      <c r="G39" s="10" t="s">
        <v>1129</v>
      </c>
      <c r="H39" s="8"/>
      <c r="I39" s="10" t="str">
        <f>CheckGlossary($E39, Table2[Factors])</f>
        <v>In Glossary
In Glossary</v>
      </c>
    </row>
    <row r="40" spans="1:9" ht="105" x14ac:dyDescent="0.25">
      <c r="A40" s="18">
        <f t="shared" si="0"/>
        <v>33</v>
      </c>
      <c r="B40" s="19" t="s">
        <v>23</v>
      </c>
      <c r="C40" s="19" t="s">
        <v>49</v>
      </c>
      <c r="D40" s="19" t="s">
        <v>49</v>
      </c>
      <c r="E40" s="20" t="s">
        <v>337</v>
      </c>
      <c r="F40" s="10" t="s">
        <v>768</v>
      </c>
      <c r="G40" s="24" t="s">
        <v>1130</v>
      </c>
      <c r="H40" s="8"/>
      <c r="I40" s="10" t="str">
        <f>CheckGlossary($E40, Table2[Factors])</f>
        <v>In Glossary
In Glossary
In Glossary</v>
      </c>
    </row>
    <row r="41" spans="1:9" ht="60" x14ac:dyDescent="0.25">
      <c r="A41" s="18">
        <f t="shared" si="0"/>
        <v>34</v>
      </c>
      <c r="B41" s="19" t="s">
        <v>23</v>
      </c>
      <c r="C41" s="19" t="s">
        <v>50</v>
      </c>
      <c r="D41" s="19" t="s">
        <v>412</v>
      </c>
      <c r="E41" s="20" t="s">
        <v>54</v>
      </c>
      <c r="F41" s="10" t="s">
        <v>769</v>
      </c>
      <c r="G41" s="10" t="s">
        <v>1131</v>
      </c>
      <c r="H41" s="8"/>
      <c r="I41" s="10" t="str">
        <f>CheckGlossary($E41, Table2[Factors])</f>
        <v>In Glossary
In Glossary
In Glossary</v>
      </c>
    </row>
    <row r="42" spans="1:9" ht="105" x14ac:dyDescent="0.25">
      <c r="A42" s="18">
        <f t="shared" si="0"/>
        <v>35</v>
      </c>
      <c r="B42" s="19" t="s">
        <v>51</v>
      </c>
      <c r="C42" s="19" t="s">
        <v>52</v>
      </c>
      <c r="D42" s="19" t="s">
        <v>413</v>
      </c>
      <c r="E42" s="20" t="s">
        <v>55</v>
      </c>
      <c r="F42" s="10" t="s">
        <v>769</v>
      </c>
      <c r="G42" s="10" t="s">
        <v>1131</v>
      </c>
      <c r="H42" s="8"/>
      <c r="I42" s="10" t="str">
        <f>CheckGlossary($E42, Table2[Factors])</f>
        <v>In Glossary
In Glossary
In Glossary</v>
      </c>
    </row>
    <row r="43" spans="1:9" ht="150" x14ac:dyDescent="0.25">
      <c r="A43" s="18">
        <f t="shared" si="0"/>
        <v>36</v>
      </c>
      <c r="B43" s="19" t="s">
        <v>56</v>
      </c>
      <c r="C43" s="19" t="s">
        <v>57</v>
      </c>
      <c r="D43" s="19" t="s">
        <v>414</v>
      </c>
      <c r="E43" s="20" t="s">
        <v>119</v>
      </c>
      <c r="F43" s="10" t="s">
        <v>770</v>
      </c>
      <c r="G43" s="10" t="s">
        <v>1132</v>
      </c>
      <c r="H43" s="8"/>
      <c r="I43" s="10" t="str">
        <f>CheckGlossary($E43, Table2[Factors])</f>
        <v>In Glossary
In Glossary
In Glossary
In Glossary</v>
      </c>
    </row>
    <row r="44" spans="1:9" ht="120" x14ac:dyDescent="0.25">
      <c r="A44" s="18">
        <f t="shared" si="0"/>
        <v>37</v>
      </c>
      <c r="B44" s="19" t="s">
        <v>56</v>
      </c>
      <c r="C44" s="19" t="s">
        <v>58</v>
      </c>
      <c r="D44" s="19" t="s">
        <v>415</v>
      </c>
      <c r="E44" s="20" t="s">
        <v>59</v>
      </c>
      <c r="F44" s="10" t="s">
        <v>771</v>
      </c>
      <c r="G44" s="10" t="s">
        <v>1133</v>
      </c>
      <c r="H44" s="8"/>
      <c r="I44" s="10" t="str">
        <f>CheckGlossary($E44, Table2[Factors])</f>
        <v>In Glossary
In Glossary
In Glossary
In Glossary</v>
      </c>
    </row>
    <row r="45" spans="1:9" ht="225" x14ac:dyDescent="0.25">
      <c r="A45" s="18">
        <f t="shared" si="0"/>
        <v>38</v>
      </c>
      <c r="B45" s="19" t="s">
        <v>61</v>
      </c>
      <c r="C45" s="19" t="s">
        <v>60</v>
      </c>
      <c r="D45" s="19" t="s">
        <v>416</v>
      </c>
      <c r="E45" s="20" t="s">
        <v>374</v>
      </c>
      <c r="F45" s="10" t="s">
        <v>772</v>
      </c>
      <c r="G45" s="10" t="s">
        <v>1134</v>
      </c>
      <c r="H45" s="8"/>
      <c r="I45" s="10" t="str">
        <f>CheckGlossary($E45, Table2[Factors])</f>
        <v>In Glossary
In Glossary
In Glossary
In Glossary
In Glossary
In Glossary
In Glossary</v>
      </c>
    </row>
    <row r="46" spans="1:9" ht="120" x14ac:dyDescent="0.25">
      <c r="A46" s="18">
        <f t="shared" si="0"/>
        <v>39</v>
      </c>
      <c r="B46" s="19" t="s">
        <v>62</v>
      </c>
      <c r="C46" s="19" t="s">
        <v>63</v>
      </c>
      <c r="D46" s="19" t="s">
        <v>417</v>
      </c>
      <c r="E46" s="20" t="s">
        <v>133</v>
      </c>
      <c r="F46" s="10" t="s">
        <v>773</v>
      </c>
      <c r="G46" s="10" t="s">
        <v>1135</v>
      </c>
      <c r="H46" s="8"/>
      <c r="I46" s="10" t="str">
        <f>CheckGlossary($E46, Table2[Factors])</f>
        <v>In Glossary
In Glossary
In Glossary</v>
      </c>
    </row>
    <row r="47" spans="1:9" ht="120" x14ac:dyDescent="0.25">
      <c r="A47" s="18">
        <f t="shared" si="0"/>
        <v>40</v>
      </c>
      <c r="B47" s="19" t="s">
        <v>64</v>
      </c>
      <c r="C47" s="19" t="s">
        <v>65</v>
      </c>
      <c r="D47" s="19" t="s">
        <v>418</v>
      </c>
      <c r="E47" s="20" t="s">
        <v>120</v>
      </c>
      <c r="F47" s="10" t="s">
        <v>774</v>
      </c>
      <c r="G47" s="10" t="s">
        <v>1136</v>
      </c>
      <c r="H47" s="8"/>
      <c r="I47" s="10" t="str">
        <f>CheckGlossary($E47, Table2[Factors])</f>
        <v>In Glossary
In Glossary
In Glossary
In Glossary
In Glossary
In Glossary
In Glossary
In Glossary</v>
      </c>
    </row>
    <row r="48" spans="1:9" ht="150" x14ac:dyDescent="0.25">
      <c r="A48" s="18">
        <f t="shared" si="0"/>
        <v>41</v>
      </c>
      <c r="B48" s="19" t="s">
        <v>66</v>
      </c>
      <c r="C48" s="19" t="s">
        <v>67</v>
      </c>
      <c r="D48" s="19" t="s">
        <v>419</v>
      </c>
      <c r="E48" s="20" t="s">
        <v>121</v>
      </c>
      <c r="F48" s="10" t="s">
        <v>775</v>
      </c>
      <c r="G48" s="10" t="s">
        <v>1137</v>
      </c>
      <c r="H48" s="8"/>
      <c r="I48" s="10" t="str">
        <f>CheckGlossary($E48, Table2[Factors])</f>
        <v>In Glossary
In Glossary
In Glossary
In Glossary
In Glossary</v>
      </c>
    </row>
    <row r="49" spans="1:9" ht="75" x14ac:dyDescent="0.25">
      <c r="A49" s="18">
        <f t="shared" si="0"/>
        <v>42</v>
      </c>
      <c r="B49" s="19" t="s">
        <v>68</v>
      </c>
      <c r="C49" s="19" t="s">
        <v>69</v>
      </c>
      <c r="D49" s="19" t="s">
        <v>420</v>
      </c>
      <c r="E49" s="20" t="s">
        <v>122</v>
      </c>
      <c r="F49" s="10" t="s">
        <v>776</v>
      </c>
      <c r="G49" s="10" t="s">
        <v>1138</v>
      </c>
      <c r="H49" s="8"/>
      <c r="I49" s="10" t="str">
        <f>CheckGlossary($E49, Table2[Factors])</f>
        <v>In Glossary
In Glossary</v>
      </c>
    </row>
    <row r="50" spans="1:9" ht="225" x14ac:dyDescent="0.25">
      <c r="A50" s="18">
        <f t="shared" si="0"/>
        <v>43</v>
      </c>
      <c r="B50" s="19" t="s">
        <v>70</v>
      </c>
      <c r="C50" s="19" t="s">
        <v>71</v>
      </c>
      <c r="D50" s="19" t="s">
        <v>421</v>
      </c>
      <c r="E50" s="20" t="s">
        <v>123</v>
      </c>
      <c r="F50" s="10" t="s">
        <v>777</v>
      </c>
      <c r="G50" s="10" t="s">
        <v>1139</v>
      </c>
      <c r="H50" s="8"/>
      <c r="I50" s="10" t="str">
        <f>CheckGlossary($E50, Table2[Factors])</f>
        <v>In Glossary
In Glossary</v>
      </c>
    </row>
    <row r="51" spans="1:9" ht="165" x14ac:dyDescent="0.25">
      <c r="A51" s="18">
        <f t="shared" si="0"/>
        <v>44</v>
      </c>
      <c r="B51" s="19" t="s">
        <v>70</v>
      </c>
      <c r="C51" s="19" t="s">
        <v>72</v>
      </c>
      <c r="D51" s="19" t="s">
        <v>422</v>
      </c>
      <c r="E51" s="20" t="s">
        <v>444</v>
      </c>
      <c r="F51" s="10" t="s">
        <v>778</v>
      </c>
      <c r="G51" s="10" t="s">
        <v>1140</v>
      </c>
      <c r="H51" s="8"/>
      <c r="I51" s="10" t="str">
        <f>CheckGlossary($E51, Table2[Factors])</f>
        <v>In Glossary
In Glossary
In Glossary
In Glossary
In Glossary</v>
      </c>
    </row>
    <row r="52" spans="1:9" ht="150" x14ac:dyDescent="0.25">
      <c r="A52" s="18">
        <f t="shared" si="0"/>
        <v>45</v>
      </c>
      <c r="B52" s="19" t="s">
        <v>70</v>
      </c>
      <c r="C52" s="19" t="s">
        <v>445</v>
      </c>
      <c r="D52" s="19" t="s">
        <v>423</v>
      </c>
      <c r="E52" s="20" t="s">
        <v>124</v>
      </c>
      <c r="F52" s="10" t="s">
        <v>779</v>
      </c>
      <c r="G52" s="10" t="s">
        <v>1141</v>
      </c>
      <c r="H52" s="8"/>
      <c r="I52" s="10" t="str">
        <f>CheckGlossary($E52, Table2[Factors])</f>
        <v>In Glossary
In Glossary
In Glossary
In Glossary</v>
      </c>
    </row>
    <row r="53" spans="1:9" ht="409.5" x14ac:dyDescent="0.25">
      <c r="A53" s="18">
        <f t="shared" si="0"/>
        <v>46</v>
      </c>
      <c r="B53" s="19" t="s">
        <v>73</v>
      </c>
      <c r="C53" s="19" t="s">
        <v>74</v>
      </c>
      <c r="D53" s="19" t="s">
        <v>450</v>
      </c>
      <c r="E53" s="20" t="s">
        <v>375</v>
      </c>
      <c r="F53" s="10" t="s">
        <v>780</v>
      </c>
      <c r="G53" s="10" t="s">
        <v>1142</v>
      </c>
      <c r="H53" s="8"/>
      <c r="I53" s="10" t="str">
        <f>CheckGlossary($E53, Table2[Factors])</f>
        <v>In Glossary
In Glossary
In Glossary
In Glossary
In Glossary
In Glossary
In Glossary
In Glossary
In Glossary</v>
      </c>
    </row>
    <row r="54" spans="1:9" ht="105" x14ac:dyDescent="0.25">
      <c r="A54" s="18">
        <f t="shared" si="0"/>
        <v>47</v>
      </c>
      <c r="B54" s="19" t="s">
        <v>75</v>
      </c>
      <c r="C54" s="19" t="s">
        <v>76</v>
      </c>
      <c r="D54" s="19" t="s">
        <v>451</v>
      </c>
      <c r="E54" s="20" t="s">
        <v>109</v>
      </c>
      <c r="F54" s="10" t="s">
        <v>781</v>
      </c>
      <c r="G54" s="10" t="s">
        <v>1143</v>
      </c>
      <c r="H54" s="8"/>
      <c r="I54" s="10" t="str">
        <f>CheckGlossary($E54, Table2[Factors])</f>
        <v>In Glossary
In Glossary
In Glossary</v>
      </c>
    </row>
    <row r="55" spans="1:9" ht="285" x14ac:dyDescent="0.25">
      <c r="A55" s="18">
        <f t="shared" si="0"/>
        <v>48</v>
      </c>
      <c r="B55" s="19" t="s">
        <v>75</v>
      </c>
      <c r="C55" s="19" t="s">
        <v>77</v>
      </c>
      <c r="D55" s="19" t="s">
        <v>424</v>
      </c>
      <c r="E55" s="20" t="s">
        <v>110</v>
      </c>
      <c r="F55" s="10" t="s">
        <v>782</v>
      </c>
      <c r="G55" s="10" t="s">
        <v>1144</v>
      </c>
      <c r="H55" s="8"/>
      <c r="I55" s="10" t="str">
        <f>CheckGlossary($E55, Table2[Factors])</f>
        <v>In Glossary
In Glossary
In Glossary
In Glossary</v>
      </c>
    </row>
    <row r="56" spans="1:9" ht="120" x14ac:dyDescent="0.25">
      <c r="A56" s="18">
        <f t="shared" si="0"/>
        <v>49</v>
      </c>
      <c r="B56" s="19" t="s">
        <v>75</v>
      </c>
      <c r="C56" s="19" t="s">
        <v>78</v>
      </c>
      <c r="D56" s="19" t="s">
        <v>425</v>
      </c>
      <c r="E56" s="20" t="s">
        <v>376</v>
      </c>
      <c r="F56" s="10" t="s">
        <v>783</v>
      </c>
      <c r="G56" s="10" t="s">
        <v>1145</v>
      </c>
      <c r="H56" s="8"/>
      <c r="I56" s="10" t="str">
        <f>CheckGlossary($E56, Table2[Factors])</f>
        <v>In Glossary
In Glossary
In Glossary
In Glossary
In Glossary
In Glossary</v>
      </c>
    </row>
    <row r="57" spans="1:9" ht="75" x14ac:dyDescent="0.25">
      <c r="A57" s="18">
        <f t="shared" si="0"/>
        <v>50</v>
      </c>
      <c r="B57" s="19" t="s">
        <v>79</v>
      </c>
      <c r="C57" s="19" t="s">
        <v>80</v>
      </c>
      <c r="D57" s="19" t="s">
        <v>426</v>
      </c>
      <c r="E57" s="20" t="s">
        <v>377</v>
      </c>
      <c r="F57" s="10" t="s">
        <v>784</v>
      </c>
      <c r="G57" s="10" t="s">
        <v>1146</v>
      </c>
      <c r="H57" s="8"/>
      <c r="I57" s="10" t="str">
        <f>CheckGlossary($E57, Table2[Factors])</f>
        <v>In Glossary
In Glossary
In Glossary
In Glossary
In Glossary</v>
      </c>
    </row>
    <row r="58" spans="1:9" ht="210" x14ac:dyDescent="0.25">
      <c r="A58" s="18">
        <f t="shared" si="0"/>
        <v>51</v>
      </c>
      <c r="B58" s="19" t="s">
        <v>81</v>
      </c>
      <c r="C58" s="19" t="s">
        <v>82</v>
      </c>
      <c r="D58" s="19" t="s">
        <v>427</v>
      </c>
      <c r="E58" s="20" t="s">
        <v>125</v>
      </c>
      <c r="F58" s="10" t="s">
        <v>785</v>
      </c>
      <c r="G58" s="10" t="s">
        <v>1147</v>
      </c>
      <c r="H58" s="8"/>
      <c r="I58" s="10" t="str">
        <f>CheckGlossary($E58, Table2[Factors])</f>
        <v>In Glossary
In Glossary
In Glossary
In Glossary
In Glossary</v>
      </c>
    </row>
    <row r="59" spans="1:9" ht="60" x14ac:dyDescent="0.25">
      <c r="A59" s="18">
        <f t="shared" si="0"/>
        <v>52</v>
      </c>
      <c r="B59" s="19" t="s">
        <v>81</v>
      </c>
      <c r="C59" s="19" t="s">
        <v>445</v>
      </c>
      <c r="D59" s="19" t="s">
        <v>428</v>
      </c>
      <c r="E59" s="20" t="s">
        <v>378</v>
      </c>
      <c r="F59" s="10" t="s">
        <v>786</v>
      </c>
      <c r="G59" s="10" t="s">
        <v>1148</v>
      </c>
      <c r="H59" s="8"/>
      <c r="I59" s="10" t="str">
        <f>CheckGlossary($E59, Table2[Factors])</f>
        <v>In Glossary
In Glossary
In Glossary
In Glossary</v>
      </c>
    </row>
    <row r="60" spans="1:9" ht="105" x14ac:dyDescent="0.25">
      <c r="A60" s="18">
        <f t="shared" si="0"/>
        <v>53</v>
      </c>
      <c r="B60" s="19" t="s">
        <v>83</v>
      </c>
      <c r="C60" s="19" t="s">
        <v>84</v>
      </c>
      <c r="D60" s="19" t="s">
        <v>429</v>
      </c>
      <c r="E60" s="20" t="s">
        <v>126</v>
      </c>
      <c r="F60" s="10" t="s">
        <v>787</v>
      </c>
      <c r="G60" s="10" t="s">
        <v>1149</v>
      </c>
      <c r="H60" s="8"/>
      <c r="I60" s="10" t="str">
        <f>CheckGlossary($E60, Table2[Factors])</f>
        <v>In Glossary
In Glossary</v>
      </c>
    </row>
    <row r="61" spans="1:9" ht="195" x14ac:dyDescent="0.25">
      <c r="A61" s="18">
        <f t="shared" si="0"/>
        <v>54</v>
      </c>
      <c r="B61" s="19" t="s">
        <v>85</v>
      </c>
      <c r="C61" s="19" t="s">
        <v>86</v>
      </c>
      <c r="D61" s="19" t="s">
        <v>430</v>
      </c>
      <c r="E61" s="20" t="s">
        <v>127</v>
      </c>
      <c r="F61" s="10" t="s">
        <v>788</v>
      </c>
      <c r="G61" s="10" t="s">
        <v>1150</v>
      </c>
      <c r="H61" s="8"/>
      <c r="I61" s="10" t="str">
        <f>CheckGlossary($E61, Table2[Factors])</f>
        <v>In Glossary
In Glossary
In Glossary</v>
      </c>
    </row>
    <row r="62" spans="1:9" ht="195" x14ac:dyDescent="0.25">
      <c r="A62" s="18">
        <f t="shared" si="0"/>
        <v>55</v>
      </c>
      <c r="B62" s="19" t="s">
        <v>85</v>
      </c>
      <c r="C62" s="19" t="s">
        <v>87</v>
      </c>
      <c r="D62" s="19" t="s">
        <v>431</v>
      </c>
      <c r="E62" s="20" t="s">
        <v>379</v>
      </c>
      <c r="F62" s="10" t="s">
        <v>789</v>
      </c>
      <c r="G62" s="10" t="s">
        <v>1151</v>
      </c>
      <c r="H62" s="8"/>
      <c r="I62" s="10" t="str">
        <f>CheckGlossary($E62, Table2[Factors])</f>
        <v>In Glossary
In Glossary
In Glossary
In Glossary</v>
      </c>
    </row>
    <row r="63" spans="1:9" ht="105" x14ac:dyDescent="0.25">
      <c r="A63" s="18">
        <f t="shared" si="0"/>
        <v>56</v>
      </c>
      <c r="B63" s="19" t="s">
        <v>89</v>
      </c>
      <c r="C63" s="19" t="s">
        <v>88</v>
      </c>
      <c r="D63" s="19" t="s">
        <v>432</v>
      </c>
      <c r="E63" s="20" t="s">
        <v>380</v>
      </c>
      <c r="F63" s="10" t="s">
        <v>790</v>
      </c>
      <c r="G63" s="10" t="s">
        <v>1152</v>
      </c>
      <c r="H63" s="8"/>
      <c r="I63" s="10" t="str">
        <f>CheckGlossary($E63, Table2[Factors])</f>
        <v>In Glossary
In Glossary
In Glossary</v>
      </c>
    </row>
    <row r="64" spans="1:9" ht="135" x14ac:dyDescent="0.25">
      <c r="A64" s="18">
        <f t="shared" si="0"/>
        <v>57</v>
      </c>
      <c r="B64" s="19" t="s">
        <v>90</v>
      </c>
      <c r="C64" s="19" t="s">
        <v>91</v>
      </c>
      <c r="D64" s="19" t="s">
        <v>433</v>
      </c>
      <c r="E64" s="20" t="s">
        <v>128</v>
      </c>
      <c r="F64" s="10" t="s">
        <v>791</v>
      </c>
      <c r="G64" s="10" t="s">
        <v>1153</v>
      </c>
      <c r="H64" s="8"/>
      <c r="I64" s="10" t="str">
        <f>CheckGlossary($E64, Table2[Factors])</f>
        <v>In Glossary
In Glossary
In Glossary</v>
      </c>
    </row>
    <row r="65" spans="1:9" ht="165" x14ac:dyDescent="0.25">
      <c r="A65" s="18">
        <f t="shared" si="0"/>
        <v>58</v>
      </c>
      <c r="B65" s="19" t="s">
        <v>93</v>
      </c>
      <c r="C65" s="19" t="s">
        <v>92</v>
      </c>
      <c r="D65" s="19" t="s">
        <v>434</v>
      </c>
      <c r="E65" s="20" t="s">
        <v>129</v>
      </c>
      <c r="F65" s="10" t="s">
        <v>792</v>
      </c>
      <c r="G65" s="10" t="s">
        <v>1154</v>
      </c>
      <c r="H65" s="8"/>
      <c r="I65" s="10" t="str">
        <f>CheckGlossary($E65, Table2[Factors])</f>
        <v>In Glossary
In Glossary
In Glossary
In Glossary</v>
      </c>
    </row>
    <row r="66" spans="1:9" ht="390" x14ac:dyDescent="0.25">
      <c r="A66" s="18">
        <f t="shared" si="0"/>
        <v>59</v>
      </c>
      <c r="B66" s="19" t="s">
        <v>95</v>
      </c>
      <c r="C66" s="19" t="s">
        <v>94</v>
      </c>
      <c r="D66" s="19" t="s">
        <v>435</v>
      </c>
      <c r="E66" s="20" t="s">
        <v>130</v>
      </c>
      <c r="F66" s="10" t="s">
        <v>793</v>
      </c>
      <c r="G66" s="10" t="s">
        <v>1155</v>
      </c>
      <c r="H66" s="8"/>
      <c r="I66" s="10" t="str">
        <f>CheckGlossary($E66, Table2[Factors])</f>
        <v>In Glossary
In Glossary
In Glossary</v>
      </c>
    </row>
    <row r="67" spans="1:9" ht="345" x14ac:dyDescent="0.25">
      <c r="A67" s="18">
        <f t="shared" si="0"/>
        <v>60</v>
      </c>
      <c r="B67" s="19" t="s">
        <v>96</v>
      </c>
      <c r="C67" s="19" t="s">
        <v>97</v>
      </c>
      <c r="D67" s="19" t="s">
        <v>436</v>
      </c>
      <c r="E67" s="20" t="s">
        <v>381</v>
      </c>
      <c r="F67" s="10" t="s">
        <v>794</v>
      </c>
      <c r="G67" s="10" t="s">
        <v>1156</v>
      </c>
      <c r="H67" s="8"/>
      <c r="I67" s="10" t="str">
        <f>CheckGlossary($E67, Table2[Factors])</f>
        <v>In Glossary
In Glossary
In Glossary</v>
      </c>
    </row>
    <row r="68" spans="1:9" ht="180" x14ac:dyDescent="0.25">
      <c r="A68" s="18">
        <f t="shared" si="0"/>
        <v>61</v>
      </c>
      <c r="B68" s="19" t="s">
        <v>96</v>
      </c>
      <c r="C68" s="19" t="s">
        <v>98</v>
      </c>
      <c r="D68" s="19" t="s">
        <v>437</v>
      </c>
      <c r="E68" s="20" t="s">
        <v>131</v>
      </c>
      <c r="F68" s="10" t="s">
        <v>795</v>
      </c>
      <c r="G68" s="10" t="s">
        <v>1157</v>
      </c>
      <c r="H68" s="8"/>
      <c r="I68" s="10" t="str">
        <f>CheckGlossary($E68, Table2[Factors])</f>
        <v>In Glossary
In Glossary
In Glossary</v>
      </c>
    </row>
    <row r="69" spans="1:9" ht="105" x14ac:dyDescent="0.25">
      <c r="A69" s="18">
        <f t="shared" si="0"/>
        <v>62</v>
      </c>
      <c r="B69" s="19" t="s">
        <v>99</v>
      </c>
      <c r="C69" s="19" t="s">
        <v>100</v>
      </c>
      <c r="D69" s="19" t="s">
        <v>438</v>
      </c>
      <c r="E69" s="20" t="s">
        <v>132</v>
      </c>
      <c r="F69" s="10" t="s">
        <v>796</v>
      </c>
      <c r="G69" s="10" t="s">
        <v>1158</v>
      </c>
      <c r="H69" s="8"/>
      <c r="I69" s="10" t="str">
        <f>CheckGlossary($E69, Table2[Factors])</f>
        <v>In Glossary
In Glossary
In Glossary
In Glossary</v>
      </c>
    </row>
    <row r="70" spans="1:9" ht="150" x14ac:dyDescent="0.25">
      <c r="A70" s="18">
        <f t="shared" si="0"/>
        <v>63</v>
      </c>
      <c r="B70" s="19" t="s">
        <v>101</v>
      </c>
      <c r="C70" s="19" t="s">
        <v>102</v>
      </c>
      <c r="D70" s="19" t="s">
        <v>439</v>
      </c>
      <c r="E70" s="20" t="s">
        <v>383</v>
      </c>
      <c r="F70" s="10" t="s">
        <v>797</v>
      </c>
      <c r="G70" s="10" t="s">
        <v>1159</v>
      </c>
      <c r="H70" s="8"/>
      <c r="I70" s="10" t="str">
        <f>CheckGlossary($E70, Table2[Factors])</f>
        <v>In Glossary
In Glossary
In Glossary
In Glossary
In Glossary
In Glossary
In Glossary</v>
      </c>
    </row>
    <row r="71" spans="1:9" ht="375" x14ac:dyDescent="0.25">
      <c r="A71" s="18">
        <f t="shared" si="0"/>
        <v>64</v>
      </c>
      <c r="B71" s="19" t="s">
        <v>101</v>
      </c>
      <c r="C71" s="19" t="s">
        <v>103</v>
      </c>
      <c r="D71" s="19" t="s">
        <v>440</v>
      </c>
      <c r="E71" s="20" t="s">
        <v>104</v>
      </c>
      <c r="F71" s="10" t="s">
        <v>798</v>
      </c>
      <c r="G71" s="10" t="s">
        <v>1160</v>
      </c>
      <c r="H71" s="8"/>
      <c r="I71" s="10" t="str">
        <f>CheckGlossary($E71, Table2[Factors])</f>
        <v>In Glossary
In Glossary
In Glossary</v>
      </c>
    </row>
    <row r="72" spans="1:9" ht="90" x14ac:dyDescent="0.25">
      <c r="A72" s="18">
        <f t="shared" si="0"/>
        <v>65</v>
      </c>
      <c r="B72" s="19" t="s">
        <v>105</v>
      </c>
      <c r="C72" s="19" t="s">
        <v>106</v>
      </c>
      <c r="D72" s="19" t="s">
        <v>441</v>
      </c>
      <c r="E72" s="20" t="s">
        <v>382</v>
      </c>
      <c r="F72" s="10" t="s">
        <v>799</v>
      </c>
      <c r="G72" s="10" t="s">
        <v>1161</v>
      </c>
      <c r="H72" s="8"/>
      <c r="I72" s="10" t="str">
        <f>CheckGlossary($E72, Table2[Factors])</f>
        <v>In Glossary
In Glossary
In Glossary</v>
      </c>
    </row>
    <row r="73" spans="1:9" ht="270" x14ac:dyDescent="0.25">
      <c r="A73" s="18">
        <f t="shared" si="0"/>
        <v>66</v>
      </c>
      <c r="B73" s="19" t="s">
        <v>105</v>
      </c>
      <c r="C73" s="19" t="s">
        <v>107</v>
      </c>
      <c r="D73" s="19" t="s">
        <v>442</v>
      </c>
      <c r="E73" s="20" t="s">
        <v>108</v>
      </c>
      <c r="F73" s="10" t="s">
        <v>800</v>
      </c>
      <c r="G73" s="10" t="s">
        <v>1162</v>
      </c>
      <c r="H73" s="8"/>
      <c r="I73" s="10" t="str">
        <f>CheckGlossary($E73, Table2[Factors])</f>
        <v>In Glossary
In Glossary
In Glossary</v>
      </c>
    </row>
    <row r="74" spans="1:9" x14ac:dyDescent="0.25">
      <c r="B74" s="1"/>
      <c r="C74" s="1"/>
      <c r="D74" s="1"/>
      <c r="E74" s="1"/>
      <c r="F74" s="1"/>
      <c r="G74" s="1"/>
      <c r="H74" s="4"/>
    </row>
    <row r="75" spans="1:9" x14ac:dyDescent="0.25">
      <c r="B75" s="1"/>
      <c r="C75" s="1"/>
      <c r="D75" s="1"/>
      <c r="E75" s="1"/>
      <c r="F75" s="1"/>
      <c r="G75" s="1"/>
      <c r="H75" s="4"/>
    </row>
    <row r="76" spans="1:9" x14ac:dyDescent="0.25">
      <c r="B76" s="1"/>
      <c r="C76" s="1"/>
      <c r="D76" s="1"/>
      <c r="E76" s="1"/>
      <c r="F76" s="1"/>
      <c r="G76" s="1"/>
    </row>
    <row r="77" spans="1:9" x14ac:dyDescent="0.25">
      <c r="B77" s="1"/>
      <c r="C77" s="1"/>
      <c r="D77" s="1"/>
      <c r="E77" s="1"/>
      <c r="F77" s="1"/>
      <c r="G77" s="1"/>
    </row>
    <row r="78" spans="1:9" x14ac:dyDescent="0.25">
      <c r="B78" s="1"/>
      <c r="C78" s="1"/>
      <c r="D78" s="1"/>
      <c r="E78" s="1"/>
      <c r="F78" s="1"/>
      <c r="G78" s="1"/>
    </row>
    <row r="79" spans="1:9" x14ac:dyDescent="0.25">
      <c r="B79" s="1"/>
      <c r="C79" s="1"/>
      <c r="D79" s="1"/>
      <c r="E79" s="1"/>
      <c r="F79" s="1"/>
      <c r="G79" s="1"/>
    </row>
    <row r="80" spans="1:9" x14ac:dyDescent="0.25">
      <c r="B80" s="1"/>
      <c r="C80" s="1"/>
      <c r="D80" s="1"/>
      <c r="E80" s="1"/>
      <c r="F80" s="1"/>
      <c r="G80" s="1"/>
    </row>
    <row r="81" spans="2:7" x14ac:dyDescent="0.25">
      <c r="B81" s="1"/>
      <c r="C81" s="1"/>
      <c r="D81" s="1"/>
      <c r="E81" s="1"/>
      <c r="F81" s="1"/>
      <c r="G81" s="1"/>
    </row>
    <row r="82" spans="2:7" x14ac:dyDescent="0.25">
      <c r="B82" s="1"/>
      <c r="C82" s="1"/>
      <c r="D82" s="1"/>
      <c r="E82" s="1"/>
      <c r="F82" s="1"/>
      <c r="G82" s="1"/>
    </row>
    <row r="83" spans="2:7" x14ac:dyDescent="0.25">
      <c r="B83" s="1"/>
      <c r="C83" s="1"/>
      <c r="D83" s="1"/>
      <c r="E83" s="1"/>
      <c r="F83" s="1"/>
      <c r="G83" s="1"/>
    </row>
    <row r="84" spans="2:7" x14ac:dyDescent="0.25">
      <c r="B84" s="1"/>
      <c r="C84" s="1"/>
      <c r="D84" s="1"/>
      <c r="E84" s="1"/>
      <c r="F84" s="1"/>
      <c r="G84" s="1"/>
    </row>
    <row r="85" spans="2:7" x14ac:dyDescent="0.25">
      <c r="B85" s="1"/>
      <c r="C85" s="1"/>
      <c r="D85" s="1"/>
      <c r="E85" s="1"/>
      <c r="F85" s="1"/>
      <c r="G85" s="1"/>
    </row>
    <row r="86" spans="2:7" x14ac:dyDescent="0.25">
      <c r="B86" s="1"/>
      <c r="C86" s="1"/>
      <c r="D86" s="1"/>
      <c r="E86" s="1"/>
      <c r="F86" s="1"/>
      <c r="G86" s="1"/>
    </row>
    <row r="87" spans="2:7" x14ac:dyDescent="0.25">
      <c r="B87" s="1"/>
      <c r="C87" s="1"/>
      <c r="D87" s="1"/>
      <c r="E87" s="1"/>
      <c r="F87" s="1"/>
      <c r="G87" s="1"/>
    </row>
    <row r="88" spans="2:7" x14ac:dyDescent="0.25">
      <c r="B88" s="1"/>
      <c r="C88" s="1"/>
      <c r="D88" s="1"/>
      <c r="E88" s="1"/>
      <c r="F88" s="1"/>
      <c r="G88" s="1"/>
    </row>
    <row r="89" spans="2:7" x14ac:dyDescent="0.25">
      <c r="B89" s="1"/>
      <c r="C89" s="1"/>
      <c r="D89" s="1"/>
      <c r="E89" s="1"/>
      <c r="F89" s="1"/>
      <c r="G89" s="1"/>
    </row>
    <row r="90" spans="2:7" x14ac:dyDescent="0.25">
      <c r="B90" s="1"/>
      <c r="C90" s="1"/>
      <c r="D90" s="1"/>
      <c r="E90" s="1"/>
      <c r="F90" s="1"/>
      <c r="G90" s="1"/>
    </row>
    <row r="91" spans="2:7" x14ac:dyDescent="0.25">
      <c r="B91" s="1"/>
      <c r="C91" s="1"/>
      <c r="D91" s="1"/>
      <c r="E91" s="1"/>
      <c r="F91" s="1"/>
      <c r="G91" s="1"/>
    </row>
    <row r="92" spans="2:7" x14ac:dyDescent="0.25">
      <c r="B92" s="1"/>
      <c r="C92" s="1"/>
      <c r="D92" s="1"/>
      <c r="E92" s="1"/>
      <c r="F92" s="1"/>
      <c r="G92" s="1"/>
    </row>
    <row r="93" spans="2:7" x14ac:dyDescent="0.25">
      <c r="B93" s="1"/>
      <c r="C93" s="1"/>
      <c r="D93" s="1"/>
      <c r="E93" s="1"/>
      <c r="F93" s="1"/>
      <c r="G93" s="1"/>
    </row>
    <row r="94" spans="2:7" x14ac:dyDescent="0.25">
      <c r="B94" s="1"/>
      <c r="C94" s="1"/>
      <c r="D94" s="1"/>
      <c r="E94" s="1"/>
      <c r="F94" s="1"/>
      <c r="G94" s="1"/>
    </row>
    <row r="95" spans="2:7" x14ac:dyDescent="0.25">
      <c r="B95" s="1"/>
      <c r="C95" s="1"/>
      <c r="D95" s="1"/>
      <c r="E95" s="1"/>
      <c r="F95" s="1"/>
      <c r="G95" s="1"/>
    </row>
    <row r="96" spans="2:7" x14ac:dyDescent="0.25">
      <c r="B96" s="1"/>
      <c r="C96" s="1"/>
      <c r="D96" s="1"/>
      <c r="E96" s="1"/>
      <c r="F96" s="1"/>
      <c r="G96" s="1"/>
    </row>
    <row r="97" spans="2:7" x14ac:dyDescent="0.25">
      <c r="B97" s="1"/>
      <c r="C97" s="1"/>
      <c r="D97" s="1"/>
      <c r="E97" s="1"/>
      <c r="F97" s="1"/>
      <c r="G97" s="1"/>
    </row>
    <row r="98" spans="2:7" x14ac:dyDescent="0.25">
      <c r="B98" s="1"/>
      <c r="C98" s="1"/>
      <c r="D98" s="1"/>
      <c r="E98" s="1"/>
      <c r="F98" s="1"/>
      <c r="G98" s="1"/>
    </row>
    <row r="99" spans="2:7" x14ac:dyDescent="0.25">
      <c r="B99" s="1"/>
      <c r="C99" s="1"/>
      <c r="D99" s="1"/>
      <c r="E99" s="1"/>
      <c r="F99" s="1"/>
      <c r="G99" s="1"/>
    </row>
    <row r="100" spans="2:7" x14ac:dyDescent="0.25">
      <c r="B100" s="1"/>
      <c r="C100" s="1"/>
      <c r="D100" s="1"/>
      <c r="E100" s="1"/>
      <c r="F100" s="1"/>
      <c r="G100" s="1"/>
    </row>
    <row r="101" spans="2:7" x14ac:dyDescent="0.25">
      <c r="B101" s="1"/>
      <c r="C101" s="1"/>
      <c r="D101" s="1"/>
      <c r="E101" s="1"/>
      <c r="F101" s="1"/>
      <c r="G101" s="1"/>
    </row>
    <row r="102" spans="2:7" x14ac:dyDescent="0.25">
      <c r="B102" s="1"/>
      <c r="C102" s="1"/>
      <c r="D102" s="1"/>
      <c r="E102" s="1"/>
      <c r="F102" s="1"/>
      <c r="G102" s="1"/>
    </row>
    <row r="103" spans="2:7" x14ac:dyDescent="0.25">
      <c r="B103" s="1"/>
      <c r="C103" s="1"/>
      <c r="D103" s="1"/>
      <c r="E103" s="1"/>
      <c r="F103" s="1"/>
      <c r="G103" s="1"/>
    </row>
    <row r="104" spans="2:7" x14ac:dyDescent="0.25">
      <c r="B104" s="1"/>
      <c r="C104" s="1"/>
      <c r="D104" s="1"/>
      <c r="E104" s="1"/>
      <c r="F104" s="1"/>
      <c r="G104" s="1"/>
    </row>
    <row r="105" spans="2:7" x14ac:dyDescent="0.25">
      <c r="B105" s="1"/>
      <c r="C105" s="1"/>
      <c r="D105" s="1"/>
      <c r="E105" s="1"/>
      <c r="F105" s="1"/>
      <c r="G105" s="1"/>
    </row>
    <row r="106" spans="2:7" x14ac:dyDescent="0.25">
      <c r="B106" s="1"/>
      <c r="C106" s="1"/>
      <c r="D106" s="1"/>
      <c r="E106" s="1"/>
      <c r="F106" s="1"/>
      <c r="G106" s="1"/>
    </row>
    <row r="107" spans="2:7" x14ac:dyDescent="0.25">
      <c r="B107" s="1"/>
      <c r="C107" s="1"/>
      <c r="D107" s="1"/>
      <c r="E107" s="1"/>
      <c r="F107" s="1"/>
      <c r="G107" s="1"/>
    </row>
    <row r="108" spans="2:7" x14ac:dyDescent="0.25">
      <c r="B108" s="1"/>
      <c r="C108" s="1"/>
      <c r="D108" s="1"/>
      <c r="E108" s="1"/>
      <c r="F108" s="1"/>
      <c r="G108" s="1"/>
    </row>
    <row r="109" spans="2:7" x14ac:dyDescent="0.25">
      <c r="B109" s="1"/>
      <c r="C109" s="1"/>
      <c r="D109" s="1"/>
      <c r="E109" s="1"/>
      <c r="F109" s="1"/>
      <c r="G109" s="1"/>
    </row>
    <row r="110" spans="2:7" x14ac:dyDescent="0.25">
      <c r="B110" s="1"/>
      <c r="C110" s="1"/>
      <c r="D110" s="1"/>
      <c r="E110" s="1"/>
      <c r="F110" s="1"/>
      <c r="G110" s="1"/>
    </row>
    <row r="111" spans="2:7" x14ac:dyDescent="0.25">
      <c r="B111" s="1"/>
      <c r="C111" s="1"/>
      <c r="D111" s="1"/>
      <c r="E111" s="1"/>
      <c r="F111" s="1"/>
      <c r="G111" s="1"/>
    </row>
    <row r="112" spans="2:7" x14ac:dyDescent="0.25">
      <c r="B112" s="1"/>
      <c r="C112" s="1"/>
      <c r="D112" s="1"/>
      <c r="E112" s="1"/>
      <c r="F112" s="1"/>
      <c r="G112" s="1"/>
    </row>
    <row r="113" spans="2:7" x14ac:dyDescent="0.25">
      <c r="B113" s="1"/>
      <c r="C113" s="1"/>
      <c r="D113" s="1"/>
      <c r="E113" s="1"/>
      <c r="F113" s="1"/>
      <c r="G113" s="1"/>
    </row>
    <row r="114" spans="2:7" x14ac:dyDescent="0.25">
      <c r="B114" s="1"/>
      <c r="C114" s="1"/>
      <c r="D114" s="1"/>
      <c r="E114" s="1"/>
      <c r="F114" s="1"/>
      <c r="G114" s="1"/>
    </row>
    <row r="115" spans="2:7" x14ac:dyDescent="0.25">
      <c r="B115" s="1"/>
      <c r="C115" s="1"/>
      <c r="D115" s="1"/>
      <c r="E115" s="1"/>
      <c r="F115" s="1"/>
      <c r="G115" s="1"/>
    </row>
    <row r="116" spans="2:7" x14ac:dyDescent="0.25">
      <c r="B116" s="1"/>
      <c r="C116" s="1"/>
      <c r="D116" s="1"/>
      <c r="E116" s="1"/>
      <c r="F116" s="1"/>
      <c r="G116" s="1"/>
    </row>
    <row r="117" spans="2:7" x14ac:dyDescent="0.25">
      <c r="B117" s="1"/>
      <c r="C117" s="1"/>
      <c r="D117" s="1"/>
      <c r="E117" s="1"/>
      <c r="F117" s="1"/>
      <c r="G117" s="1"/>
    </row>
    <row r="118" spans="2:7" x14ac:dyDescent="0.25">
      <c r="B118" s="1"/>
      <c r="C118" s="1"/>
      <c r="D118" s="1"/>
      <c r="E118" s="1"/>
      <c r="F118" s="1"/>
      <c r="G118" s="1"/>
    </row>
    <row r="119" spans="2:7" x14ac:dyDescent="0.25">
      <c r="B119" s="1"/>
      <c r="C119" s="1"/>
      <c r="D119" s="1"/>
      <c r="E119" s="1"/>
      <c r="F119" s="1"/>
      <c r="G119" s="1"/>
    </row>
    <row r="120" spans="2:7" x14ac:dyDescent="0.25">
      <c r="B120" s="1"/>
      <c r="C120" s="1"/>
      <c r="D120" s="1"/>
      <c r="E120" s="1"/>
      <c r="F120" s="1"/>
      <c r="G120" s="1"/>
    </row>
    <row r="121" spans="2:7" x14ac:dyDescent="0.25">
      <c r="B121" s="1"/>
      <c r="C121" s="1"/>
      <c r="D121" s="1"/>
      <c r="E121" s="1"/>
      <c r="F121" s="1"/>
      <c r="G121" s="1"/>
    </row>
    <row r="122" spans="2:7" x14ac:dyDescent="0.25">
      <c r="B122" s="1"/>
      <c r="C122" s="1"/>
      <c r="D122" s="1"/>
      <c r="E122" s="1"/>
      <c r="F122" s="1"/>
      <c r="G122" s="1"/>
    </row>
    <row r="123" spans="2:7" x14ac:dyDescent="0.25">
      <c r="B123" s="1"/>
      <c r="C123" s="1"/>
      <c r="D123" s="1"/>
      <c r="E123" s="1"/>
      <c r="F123" s="1"/>
      <c r="G123" s="1"/>
    </row>
    <row r="124" spans="2:7" x14ac:dyDescent="0.25">
      <c r="B124" s="1"/>
      <c r="C124" s="1"/>
      <c r="D124" s="1"/>
      <c r="E124" s="1"/>
      <c r="F124" s="1"/>
      <c r="G124" s="1"/>
    </row>
    <row r="125" spans="2:7" x14ac:dyDescent="0.25">
      <c r="B125" s="1"/>
      <c r="C125" s="1"/>
      <c r="D125" s="1"/>
      <c r="E125" s="1"/>
      <c r="F125" s="1"/>
      <c r="G125" s="1"/>
    </row>
    <row r="126" spans="2:7" x14ac:dyDescent="0.25">
      <c r="B126" s="1"/>
      <c r="C126" s="1"/>
      <c r="D126" s="1"/>
      <c r="E126" s="1"/>
      <c r="F126" s="1"/>
      <c r="G126" s="1"/>
    </row>
    <row r="127" spans="2:7" x14ac:dyDescent="0.25">
      <c r="B127" s="1"/>
      <c r="C127" s="1"/>
      <c r="D127" s="1"/>
      <c r="E127" s="1"/>
      <c r="F127" s="1"/>
      <c r="G127" s="1"/>
    </row>
    <row r="128" spans="2:7" x14ac:dyDescent="0.25">
      <c r="B128" s="1"/>
      <c r="C128" s="1"/>
      <c r="D128" s="1"/>
      <c r="E128" s="1"/>
      <c r="F128" s="1"/>
      <c r="G128" s="1"/>
    </row>
    <row r="129" spans="2:7" x14ac:dyDescent="0.25">
      <c r="B129" s="1"/>
      <c r="C129" s="1"/>
      <c r="D129" s="1"/>
      <c r="E129" s="1"/>
      <c r="F129" s="1"/>
      <c r="G129" s="1"/>
    </row>
    <row r="130" spans="2:7" x14ac:dyDescent="0.25">
      <c r="B130" s="1"/>
      <c r="C130" s="1"/>
      <c r="D130" s="1"/>
      <c r="E130" s="1"/>
      <c r="F130" s="1"/>
      <c r="G130" s="1"/>
    </row>
    <row r="131" spans="2:7" x14ac:dyDescent="0.25">
      <c r="B131" s="1"/>
      <c r="C131" s="1"/>
      <c r="D131" s="1"/>
      <c r="E131" s="1"/>
      <c r="F131" s="1"/>
      <c r="G131" s="1"/>
    </row>
    <row r="132" spans="2:7" x14ac:dyDescent="0.25">
      <c r="B132" s="1"/>
      <c r="C132" s="1"/>
      <c r="D132" s="1"/>
      <c r="E132" s="1"/>
      <c r="F132" s="1"/>
      <c r="G132" s="1"/>
    </row>
    <row r="133" spans="2:7" x14ac:dyDescent="0.25">
      <c r="B133" s="1"/>
      <c r="C133" s="1"/>
      <c r="D133" s="1"/>
      <c r="E133" s="1"/>
      <c r="F133" s="1"/>
      <c r="G133" s="1"/>
    </row>
    <row r="134" spans="2:7" x14ac:dyDescent="0.25">
      <c r="B134" s="1"/>
      <c r="C134" s="1"/>
      <c r="D134" s="1"/>
      <c r="E134" s="1"/>
      <c r="F134" s="1"/>
      <c r="G134" s="1"/>
    </row>
    <row r="135" spans="2:7" x14ac:dyDescent="0.25">
      <c r="B135" s="1"/>
      <c r="C135" s="1"/>
      <c r="D135" s="1"/>
      <c r="E135" s="1"/>
      <c r="F135" s="1"/>
      <c r="G135" s="1"/>
    </row>
    <row r="136" spans="2:7" x14ac:dyDescent="0.25">
      <c r="B136" s="1"/>
      <c r="C136" s="1"/>
      <c r="D136" s="1"/>
      <c r="E136" s="1"/>
      <c r="F136" s="1"/>
      <c r="G136" s="1"/>
    </row>
    <row r="137" spans="2:7" x14ac:dyDescent="0.25">
      <c r="B137" s="1"/>
      <c r="C137" s="1"/>
      <c r="D137" s="1"/>
      <c r="E137" s="1"/>
      <c r="F137" s="1"/>
      <c r="G137" s="1"/>
    </row>
    <row r="138" spans="2:7" x14ac:dyDescent="0.25">
      <c r="B138" s="1"/>
      <c r="C138" s="1"/>
      <c r="D138" s="1"/>
      <c r="E138" s="1"/>
      <c r="F138" s="1"/>
      <c r="G138" s="1"/>
    </row>
    <row r="139" spans="2:7" x14ac:dyDescent="0.25">
      <c r="B139" s="1"/>
      <c r="C139" s="1"/>
      <c r="D139" s="1"/>
      <c r="E139" s="1"/>
      <c r="F139" s="1"/>
      <c r="G139" s="1"/>
    </row>
    <row r="140" spans="2:7" x14ac:dyDescent="0.25">
      <c r="B140" s="1"/>
      <c r="C140" s="1"/>
      <c r="D140" s="1"/>
      <c r="E140" s="1"/>
      <c r="F140" s="1"/>
      <c r="G140" s="1"/>
    </row>
    <row r="141" spans="2:7" x14ac:dyDescent="0.25">
      <c r="B141" s="1"/>
      <c r="C141" s="1"/>
      <c r="D141" s="1"/>
      <c r="E141" s="1"/>
      <c r="F141" s="1"/>
      <c r="G141" s="1"/>
    </row>
    <row r="142" spans="2:7" x14ac:dyDescent="0.25">
      <c r="B142" s="1"/>
      <c r="C142" s="1"/>
      <c r="D142" s="1"/>
      <c r="E142" s="1"/>
      <c r="F142" s="1"/>
      <c r="G142" s="1"/>
    </row>
    <row r="143" spans="2:7" x14ac:dyDescent="0.25">
      <c r="B143" s="1"/>
      <c r="C143" s="1"/>
      <c r="D143" s="1"/>
      <c r="E143" s="1"/>
      <c r="F143" s="1"/>
      <c r="G143" s="1"/>
    </row>
    <row r="144" spans="2:7" x14ac:dyDescent="0.25">
      <c r="B144" s="1"/>
      <c r="C144" s="1"/>
      <c r="D144" s="1"/>
      <c r="E144" s="1"/>
      <c r="F144" s="1"/>
      <c r="G144" s="1"/>
    </row>
    <row r="145" spans="2:7" x14ac:dyDescent="0.25">
      <c r="B145" s="1"/>
      <c r="C145" s="1"/>
      <c r="D145" s="1"/>
      <c r="E145" s="1"/>
      <c r="F145" s="1"/>
      <c r="G145" s="1"/>
    </row>
    <row r="146" spans="2:7" x14ac:dyDescent="0.25">
      <c r="B146" s="1"/>
      <c r="C146" s="1"/>
      <c r="D146" s="1"/>
      <c r="E146" s="1"/>
      <c r="F146" s="1"/>
      <c r="G146" s="1"/>
    </row>
    <row r="147" spans="2:7" x14ac:dyDescent="0.25">
      <c r="B147" s="1"/>
      <c r="C147" s="1"/>
      <c r="D147" s="1"/>
      <c r="E147" s="1"/>
      <c r="F147" s="1"/>
      <c r="G147" s="1"/>
    </row>
    <row r="148" spans="2:7" x14ac:dyDescent="0.25">
      <c r="B148" s="1"/>
      <c r="C148" s="1"/>
      <c r="D148" s="1"/>
      <c r="E148" s="1"/>
      <c r="F148" s="1"/>
      <c r="G148" s="1"/>
    </row>
    <row r="149" spans="2:7" x14ac:dyDescent="0.25">
      <c r="B149" s="1"/>
      <c r="C149" s="1"/>
      <c r="D149" s="1"/>
      <c r="E149" s="1"/>
      <c r="F149" s="1"/>
      <c r="G149" s="1"/>
    </row>
    <row r="150" spans="2:7" x14ac:dyDescent="0.25">
      <c r="B150" s="1"/>
      <c r="C150" s="1"/>
      <c r="D150" s="1"/>
      <c r="E150" s="1"/>
      <c r="F150" s="1"/>
      <c r="G150" s="1"/>
    </row>
    <row r="151" spans="2:7" x14ac:dyDescent="0.25">
      <c r="B151" s="1"/>
      <c r="C151" s="1"/>
      <c r="D151" s="1"/>
      <c r="E151" s="1"/>
      <c r="F151" s="1"/>
      <c r="G151" s="1"/>
    </row>
    <row r="152" spans="2:7" x14ac:dyDescent="0.25">
      <c r="B152" s="1"/>
      <c r="C152" s="1"/>
      <c r="D152" s="1"/>
      <c r="E152" s="1"/>
      <c r="F152" s="1"/>
      <c r="G152" s="1"/>
    </row>
    <row r="153" spans="2:7" x14ac:dyDescent="0.25">
      <c r="B153" s="1"/>
      <c r="C153" s="1"/>
      <c r="D153" s="1"/>
      <c r="E153" s="1"/>
      <c r="F153" s="1"/>
      <c r="G153" s="1"/>
    </row>
    <row r="154" spans="2:7" x14ac:dyDescent="0.25">
      <c r="B154" s="1"/>
      <c r="C154" s="1"/>
      <c r="D154" s="1"/>
      <c r="E154" s="1"/>
      <c r="F154" s="1"/>
      <c r="G154" s="1"/>
    </row>
    <row r="155" spans="2:7" x14ac:dyDescent="0.25">
      <c r="B155" s="1"/>
      <c r="C155" s="1"/>
      <c r="D155" s="1"/>
      <c r="E155" s="1"/>
      <c r="F155" s="1"/>
      <c r="G155" s="1"/>
    </row>
    <row r="156" spans="2:7" x14ac:dyDescent="0.25">
      <c r="B156" s="1"/>
      <c r="C156" s="1"/>
      <c r="D156" s="1"/>
      <c r="E156" s="1"/>
      <c r="F156" s="1"/>
      <c r="G156" s="1"/>
    </row>
    <row r="157" spans="2:7" x14ac:dyDescent="0.25">
      <c r="B157" s="1"/>
      <c r="C157" s="1"/>
      <c r="D157" s="1"/>
      <c r="E157" s="1"/>
      <c r="F157" s="1"/>
      <c r="G157" s="1"/>
    </row>
    <row r="158" spans="2:7" x14ac:dyDescent="0.25">
      <c r="B158" s="1"/>
      <c r="C158" s="1"/>
      <c r="D158" s="1"/>
      <c r="E158" s="1"/>
      <c r="F158" s="1"/>
      <c r="G158" s="1"/>
    </row>
    <row r="159" spans="2:7" x14ac:dyDescent="0.25">
      <c r="B159" s="1"/>
      <c r="C159" s="1"/>
      <c r="D159" s="1"/>
      <c r="E159" s="1"/>
      <c r="F159" s="1"/>
      <c r="G159" s="1"/>
    </row>
    <row r="160" spans="2:7" x14ac:dyDescent="0.25">
      <c r="B160" s="1"/>
      <c r="C160" s="1"/>
      <c r="D160" s="1"/>
      <c r="E160" s="1"/>
      <c r="F160" s="1"/>
      <c r="G160" s="1"/>
    </row>
    <row r="161" spans="2:7" x14ac:dyDescent="0.25">
      <c r="B161" s="1"/>
      <c r="C161" s="1"/>
      <c r="D161" s="1"/>
      <c r="E161" s="1"/>
      <c r="F161" s="1"/>
      <c r="G161" s="1"/>
    </row>
    <row r="162" spans="2:7" x14ac:dyDescent="0.25">
      <c r="B162" s="1"/>
      <c r="C162" s="1"/>
      <c r="D162" s="1"/>
      <c r="E162" s="1"/>
      <c r="F162" s="1"/>
      <c r="G162" s="1"/>
    </row>
    <row r="163" spans="2:7" x14ac:dyDescent="0.25">
      <c r="B163" s="1"/>
      <c r="C163" s="1"/>
      <c r="D163" s="1"/>
      <c r="E163" s="1"/>
      <c r="F163" s="1"/>
      <c r="G163" s="1"/>
    </row>
    <row r="164" spans="2:7" x14ac:dyDescent="0.25">
      <c r="B164" s="1"/>
      <c r="C164" s="1"/>
      <c r="D164" s="1"/>
      <c r="E164" s="1"/>
      <c r="F164" s="1"/>
      <c r="G164" s="1"/>
    </row>
    <row r="165" spans="2:7" x14ac:dyDescent="0.25">
      <c r="B165" s="1"/>
      <c r="C165" s="1"/>
      <c r="D165" s="1"/>
      <c r="E165" s="1"/>
      <c r="F165" s="1"/>
      <c r="G165" s="1"/>
    </row>
    <row r="166" spans="2:7" x14ac:dyDescent="0.25">
      <c r="B166" s="1"/>
      <c r="C166" s="1"/>
      <c r="D166" s="1"/>
      <c r="E166" s="1"/>
      <c r="F166" s="1"/>
      <c r="G166" s="1"/>
    </row>
    <row r="167" spans="2:7" x14ac:dyDescent="0.25">
      <c r="B167" s="1"/>
      <c r="C167" s="1"/>
      <c r="D167" s="1"/>
      <c r="E167" s="1"/>
      <c r="F167" s="1"/>
      <c r="G167" s="1"/>
    </row>
    <row r="168" spans="2:7" x14ac:dyDescent="0.25">
      <c r="B168" s="1"/>
      <c r="C168" s="1"/>
      <c r="D168" s="1"/>
      <c r="E168" s="1"/>
      <c r="F168" s="1"/>
      <c r="G168" s="1"/>
    </row>
    <row r="169" spans="2:7" x14ac:dyDescent="0.25">
      <c r="B169" s="1"/>
      <c r="C169" s="1"/>
      <c r="D169" s="1"/>
      <c r="E169" s="1"/>
      <c r="F169" s="1"/>
      <c r="G169" s="1"/>
    </row>
    <row r="170" spans="2:7" x14ac:dyDescent="0.25">
      <c r="B170" s="1"/>
      <c r="C170" s="1"/>
      <c r="D170" s="1"/>
      <c r="E170" s="1"/>
      <c r="F170" s="1"/>
      <c r="G170" s="1"/>
    </row>
    <row r="171" spans="2:7" x14ac:dyDescent="0.25">
      <c r="B171" s="1"/>
      <c r="C171" s="1"/>
      <c r="D171" s="1"/>
      <c r="E171" s="1"/>
      <c r="F171" s="1"/>
      <c r="G171" s="1"/>
    </row>
    <row r="172" spans="2:7" x14ac:dyDescent="0.25">
      <c r="B172" s="1"/>
      <c r="C172" s="1"/>
      <c r="D172" s="1"/>
      <c r="E172" s="1"/>
      <c r="F172" s="1"/>
      <c r="G172" s="1"/>
    </row>
    <row r="173" spans="2:7" x14ac:dyDescent="0.25">
      <c r="B173" s="1"/>
      <c r="C173" s="1"/>
      <c r="D173" s="1"/>
      <c r="E173" s="1"/>
      <c r="F173" s="1"/>
      <c r="G173" s="1"/>
    </row>
    <row r="174" spans="2:7" x14ac:dyDescent="0.25">
      <c r="B174" s="1"/>
      <c r="C174" s="1"/>
      <c r="D174" s="1"/>
      <c r="E174" s="1"/>
      <c r="F174" s="1"/>
      <c r="G174" s="1"/>
    </row>
    <row r="175" spans="2:7" x14ac:dyDescent="0.25">
      <c r="B175" s="1"/>
      <c r="C175" s="1"/>
      <c r="D175" s="1"/>
      <c r="E175" s="1"/>
      <c r="F175" s="1"/>
      <c r="G175" s="1"/>
    </row>
    <row r="176" spans="2:7" x14ac:dyDescent="0.25">
      <c r="B176" s="1"/>
      <c r="C176" s="1"/>
      <c r="D176" s="1"/>
      <c r="E176" s="1"/>
      <c r="F176" s="1"/>
      <c r="G176" s="1"/>
    </row>
    <row r="177" spans="2:7" x14ac:dyDescent="0.25">
      <c r="B177" s="1"/>
      <c r="C177" s="1"/>
      <c r="D177" s="1"/>
      <c r="E177" s="1"/>
      <c r="F177" s="1"/>
      <c r="G177" s="1"/>
    </row>
    <row r="178" spans="2:7" x14ac:dyDescent="0.25">
      <c r="B178" s="1"/>
      <c r="C178" s="1"/>
      <c r="D178" s="1"/>
      <c r="E178" s="1"/>
      <c r="F178" s="1"/>
      <c r="G178" s="1"/>
    </row>
    <row r="179" spans="2:7" x14ac:dyDescent="0.25">
      <c r="B179" s="1"/>
      <c r="C179" s="1"/>
      <c r="D179" s="1"/>
      <c r="E179" s="1"/>
      <c r="F179" s="1"/>
      <c r="G179" s="1"/>
    </row>
    <row r="180" spans="2:7" x14ac:dyDescent="0.25">
      <c r="B180" s="1"/>
      <c r="C180" s="1"/>
      <c r="D180" s="1"/>
      <c r="E180" s="1"/>
      <c r="F180" s="1"/>
      <c r="G180" s="1"/>
    </row>
    <row r="181" spans="2:7" x14ac:dyDescent="0.25">
      <c r="B181" s="1"/>
      <c r="C181" s="1"/>
      <c r="D181" s="1"/>
      <c r="E181" s="1"/>
      <c r="F181" s="1"/>
      <c r="G181" s="1"/>
    </row>
    <row r="182" spans="2:7" x14ac:dyDescent="0.25">
      <c r="B182" s="1"/>
      <c r="C182" s="1"/>
      <c r="D182" s="1"/>
      <c r="E182" s="1"/>
      <c r="F182" s="1"/>
      <c r="G182" s="1"/>
    </row>
    <row r="183" spans="2:7" x14ac:dyDescent="0.25">
      <c r="B183" s="1"/>
      <c r="C183" s="1"/>
      <c r="D183" s="1"/>
      <c r="E183" s="1"/>
      <c r="F183" s="1"/>
      <c r="G183" s="1"/>
    </row>
    <row r="184" spans="2:7" x14ac:dyDescent="0.25">
      <c r="B184" s="1"/>
      <c r="C184" s="1"/>
      <c r="D184" s="1"/>
      <c r="E184" s="1"/>
      <c r="F184" s="1"/>
      <c r="G184" s="1"/>
    </row>
    <row r="185" spans="2:7" x14ac:dyDescent="0.25">
      <c r="B185" s="1"/>
      <c r="C185" s="1"/>
      <c r="D185" s="1"/>
      <c r="E185" s="1"/>
      <c r="F185" s="1"/>
      <c r="G185" s="1"/>
    </row>
    <row r="186" spans="2:7" x14ac:dyDescent="0.25">
      <c r="B186" s="1"/>
      <c r="C186" s="1"/>
      <c r="D186" s="1"/>
      <c r="E186" s="1"/>
      <c r="F186" s="1"/>
      <c r="G186" s="1"/>
    </row>
    <row r="187" spans="2:7" x14ac:dyDescent="0.25">
      <c r="B187" s="1"/>
      <c r="C187" s="1"/>
      <c r="D187" s="1"/>
      <c r="E187" s="1"/>
      <c r="F187" s="1"/>
      <c r="G187" s="1"/>
    </row>
    <row r="188" spans="2:7" x14ac:dyDescent="0.25">
      <c r="B188" s="1"/>
      <c r="C188" s="1"/>
      <c r="D188" s="1"/>
      <c r="E188" s="1"/>
      <c r="F188" s="1"/>
      <c r="G188" s="1"/>
    </row>
    <row r="189" spans="2:7" x14ac:dyDescent="0.25">
      <c r="B189" s="1"/>
      <c r="C189" s="1"/>
      <c r="D189" s="1"/>
      <c r="E189" s="1"/>
      <c r="F189" s="1"/>
      <c r="G189" s="1"/>
    </row>
    <row r="190" spans="2:7" x14ac:dyDescent="0.25">
      <c r="B190" s="1"/>
      <c r="C190" s="1"/>
      <c r="D190" s="1"/>
      <c r="E190" s="1"/>
      <c r="F190" s="1"/>
      <c r="G190" s="1"/>
    </row>
    <row r="191" spans="2:7" x14ac:dyDescent="0.25">
      <c r="B191" s="1"/>
      <c r="C191" s="1"/>
      <c r="D191" s="1"/>
      <c r="E191" s="1"/>
      <c r="F191" s="1"/>
      <c r="G191" s="1"/>
    </row>
    <row r="192" spans="2:7" x14ac:dyDescent="0.25">
      <c r="B192" s="1"/>
      <c r="C192" s="1"/>
      <c r="D192" s="1"/>
      <c r="E192" s="1"/>
      <c r="F192" s="1"/>
      <c r="G192" s="1"/>
    </row>
    <row r="193" spans="2:7" x14ac:dyDescent="0.25">
      <c r="B193" s="1"/>
      <c r="C193" s="1"/>
      <c r="D193" s="1"/>
      <c r="E193" s="1"/>
      <c r="F193" s="1"/>
      <c r="G193" s="1"/>
    </row>
    <row r="194" spans="2:7" x14ac:dyDescent="0.25">
      <c r="B194" s="1"/>
      <c r="C194" s="1"/>
      <c r="D194" s="1"/>
      <c r="E194" s="1"/>
      <c r="F194" s="1"/>
      <c r="G194" s="1"/>
    </row>
    <row r="195" spans="2:7" x14ac:dyDescent="0.25">
      <c r="B195" s="1"/>
      <c r="C195" s="1"/>
      <c r="D195" s="1"/>
      <c r="E195" s="1"/>
      <c r="F195" s="1"/>
      <c r="G195" s="1"/>
    </row>
    <row r="196" spans="2:7" x14ac:dyDescent="0.25">
      <c r="B196" s="1"/>
      <c r="C196" s="1"/>
      <c r="D196" s="1"/>
      <c r="E196" s="1"/>
      <c r="F196" s="1"/>
      <c r="G196" s="1"/>
    </row>
    <row r="197" spans="2:7" x14ac:dyDescent="0.25">
      <c r="B197" s="1"/>
      <c r="C197" s="1"/>
      <c r="D197" s="1"/>
      <c r="E197" s="1"/>
      <c r="F197" s="1"/>
      <c r="G197" s="1"/>
    </row>
    <row r="198" spans="2:7" x14ac:dyDescent="0.25">
      <c r="B198" s="1"/>
      <c r="C198" s="1"/>
      <c r="D198" s="1"/>
      <c r="E198" s="1"/>
      <c r="F198" s="1"/>
      <c r="G198" s="1"/>
    </row>
    <row r="199" spans="2:7" x14ac:dyDescent="0.25">
      <c r="B199" s="1"/>
      <c r="C199" s="1"/>
      <c r="D199" s="1"/>
      <c r="E199" s="1"/>
      <c r="F199" s="1"/>
      <c r="G199" s="1"/>
    </row>
    <row r="200" spans="2:7" x14ac:dyDescent="0.25">
      <c r="B200" s="1"/>
      <c r="C200" s="1"/>
      <c r="D200" s="1"/>
      <c r="E200" s="1"/>
      <c r="F200" s="1"/>
      <c r="G200" s="1"/>
    </row>
    <row r="201" spans="2:7" x14ac:dyDescent="0.25">
      <c r="B201" s="1"/>
      <c r="C201" s="1"/>
      <c r="D201" s="1"/>
      <c r="E201" s="1"/>
      <c r="F201" s="1"/>
      <c r="G201" s="1"/>
    </row>
    <row r="202" spans="2:7" x14ac:dyDescent="0.25">
      <c r="B202" s="1"/>
      <c r="C202" s="1"/>
      <c r="D202" s="1"/>
      <c r="E202" s="1"/>
      <c r="F202" s="1"/>
      <c r="G202" s="1"/>
    </row>
    <row r="203" spans="2:7" x14ac:dyDescent="0.25">
      <c r="B203" s="1"/>
      <c r="C203" s="1"/>
      <c r="D203" s="1"/>
      <c r="E203" s="1"/>
      <c r="F203" s="1"/>
      <c r="G203" s="1"/>
    </row>
    <row r="204" spans="2:7" x14ac:dyDescent="0.25">
      <c r="B204" s="1"/>
      <c r="C204" s="1"/>
      <c r="D204" s="1"/>
      <c r="E204" s="1"/>
      <c r="F204" s="1"/>
      <c r="G204" s="1"/>
    </row>
    <row r="205" spans="2:7" x14ac:dyDescent="0.25">
      <c r="B205" s="1"/>
      <c r="C205" s="1"/>
      <c r="D205" s="1"/>
      <c r="E205" s="1"/>
      <c r="F205" s="1"/>
      <c r="G205" s="1"/>
    </row>
    <row r="206" spans="2:7" x14ac:dyDescent="0.25">
      <c r="B206" s="1"/>
      <c r="C206" s="1"/>
      <c r="D206" s="1"/>
      <c r="E206" s="1"/>
      <c r="F206" s="1"/>
      <c r="G206" s="1"/>
    </row>
    <row r="207" spans="2:7" x14ac:dyDescent="0.25">
      <c r="B207" s="1"/>
      <c r="C207" s="1"/>
      <c r="D207" s="1"/>
      <c r="E207" s="1"/>
      <c r="F207" s="1"/>
      <c r="G207" s="1"/>
    </row>
    <row r="208" spans="2:7" x14ac:dyDescent="0.25">
      <c r="B208" s="1"/>
      <c r="C208" s="1"/>
      <c r="D208" s="1"/>
      <c r="E208" s="1"/>
      <c r="F208" s="1"/>
      <c r="G208" s="1"/>
    </row>
    <row r="209" spans="2:7" x14ac:dyDescent="0.25">
      <c r="B209" s="1"/>
      <c r="C209" s="1"/>
      <c r="D209" s="1"/>
      <c r="E209" s="1"/>
      <c r="F209" s="1"/>
      <c r="G209" s="1"/>
    </row>
    <row r="210" spans="2:7" x14ac:dyDescent="0.25">
      <c r="B210" s="1"/>
      <c r="C210" s="1"/>
      <c r="D210" s="1"/>
      <c r="E210" s="1"/>
      <c r="F210" s="1"/>
      <c r="G210" s="1"/>
    </row>
    <row r="211" spans="2:7" x14ac:dyDescent="0.25">
      <c r="B211" s="1"/>
      <c r="C211" s="1"/>
      <c r="D211" s="1"/>
      <c r="E211" s="1"/>
      <c r="F211" s="1"/>
      <c r="G211" s="1"/>
    </row>
    <row r="212" spans="2:7" x14ac:dyDescent="0.25">
      <c r="B212" s="1"/>
      <c r="C212" s="1"/>
      <c r="D212" s="1"/>
      <c r="E212" s="1"/>
      <c r="F212" s="1"/>
      <c r="G212" s="1"/>
    </row>
    <row r="213" spans="2:7" x14ac:dyDescent="0.25">
      <c r="B213" s="1"/>
      <c r="C213" s="1"/>
      <c r="D213" s="1"/>
      <c r="E213" s="1"/>
      <c r="F213" s="1"/>
      <c r="G213" s="1"/>
    </row>
    <row r="214" spans="2:7" x14ac:dyDescent="0.25">
      <c r="B214" s="1"/>
      <c r="C214" s="1"/>
      <c r="D214" s="1"/>
      <c r="E214" s="1"/>
      <c r="F214" s="1"/>
      <c r="G214" s="1"/>
    </row>
    <row r="215" spans="2:7" x14ac:dyDescent="0.25">
      <c r="B215" s="1"/>
      <c r="C215" s="1"/>
      <c r="D215" s="1"/>
      <c r="E215" s="1"/>
      <c r="F215" s="1"/>
      <c r="G215" s="1"/>
    </row>
    <row r="216" spans="2:7" x14ac:dyDescent="0.25">
      <c r="B216" s="1"/>
      <c r="C216" s="1"/>
      <c r="D216" s="1"/>
      <c r="E216" s="1"/>
      <c r="F216" s="1"/>
      <c r="G216" s="1"/>
    </row>
    <row r="217" spans="2:7" x14ac:dyDescent="0.25">
      <c r="B217" s="1"/>
      <c r="C217" s="1"/>
      <c r="D217" s="1"/>
      <c r="E217" s="1"/>
      <c r="F217" s="1"/>
      <c r="G217" s="1"/>
    </row>
    <row r="218" spans="2:7" x14ac:dyDescent="0.25">
      <c r="B218" s="1"/>
      <c r="C218" s="1"/>
      <c r="D218" s="1"/>
      <c r="E218" s="1"/>
      <c r="F218" s="1"/>
      <c r="G218" s="1"/>
    </row>
    <row r="219" spans="2:7" x14ac:dyDescent="0.25">
      <c r="B219" s="1"/>
      <c r="C219" s="1"/>
      <c r="D219" s="1"/>
      <c r="E219" s="1"/>
      <c r="F219" s="1"/>
      <c r="G219" s="1"/>
    </row>
    <row r="220" spans="2:7" x14ac:dyDescent="0.25">
      <c r="B220" s="1"/>
      <c r="C220" s="1"/>
      <c r="D220" s="1"/>
      <c r="E220" s="1"/>
      <c r="F220" s="1"/>
      <c r="G220" s="1"/>
    </row>
    <row r="221" spans="2:7" x14ac:dyDescent="0.25">
      <c r="B221" s="1"/>
      <c r="C221" s="1"/>
      <c r="D221" s="1"/>
      <c r="E221" s="1"/>
      <c r="F221" s="1"/>
      <c r="G221" s="1"/>
    </row>
    <row r="222" spans="2:7" x14ac:dyDescent="0.25">
      <c r="B222" s="1"/>
      <c r="C222" s="1"/>
      <c r="D222" s="1"/>
      <c r="E222" s="1"/>
      <c r="F222" s="1"/>
      <c r="G222" s="1"/>
    </row>
    <row r="223" spans="2:7" x14ac:dyDescent="0.25">
      <c r="B223" s="1"/>
      <c r="C223" s="1"/>
      <c r="D223" s="1"/>
      <c r="E223" s="1"/>
      <c r="F223" s="1"/>
      <c r="G223" s="1"/>
    </row>
    <row r="224" spans="2:7" x14ac:dyDescent="0.25">
      <c r="B224" s="1"/>
      <c r="C224" s="1"/>
      <c r="D224" s="1"/>
      <c r="E224" s="1"/>
      <c r="F224" s="1"/>
      <c r="G224" s="1"/>
    </row>
    <row r="225" spans="2:7" x14ac:dyDescent="0.25">
      <c r="B225" s="1"/>
      <c r="C225" s="1"/>
      <c r="D225" s="1"/>
      <c r="E225" s="1"/>
      <c r="F225" s="1"/>
      <c r="G225" s="1"/>
    </row>
    <row r="226" spans="2:7" x14ac:dyDescent="0.25">
      <c r="B226" s="1"/>
      <c r="C226" s="1"/>
      <c r="D226" s="1"/>
      <c r="E226" s="1"/>
      <c r="F226" s="1"/>
      <c r="G226" s="1"/>
    </row>
    <row r="227" spans="2:7" x14ac:dyDescent="0.25">
      <c r="B227" s="1"/>
      <c r="C227" s="1"/>
      <c r="D227" s="1"/>
      <c r="E227" s="1"/>
      <c r="F227" s="1"/>
      <c r="G227" s="1"/>
    </row>
    <row r="228" spans="2:7" x14ac:dyDescent="0.25">
      <c r="B228" s="1"/>
      <c r="C228" s="1"/>
      <c r="D228" s="1"/>
      <c r="E228" s="1"/>
      <c r="F228" s="1"/>
      <c r="G228" s="1"/>
    </row>
    <row r="229" spans="2:7" x14ac:dyDescent="0.25">
      <c r="B229" s="1"/>
      <c r="C229" s="1"/>
      <c r="D229" s="1"/>
      <c r="E229" s="1"/>
      <c r="F229" s="1"/>
      <c r="G229" s="1"/>
    </row>
    <row r="230" spans="2:7" x14ac:dyDescent="0.25">
      <c r="B230" s="1"/>
      <c r="C230" s="1"/>
      <c r="D230" s="1"/>
      <c r="E230" s="1"/>
      <c r="F230" s="1"/>
      <c r="G230" s="1"/>
    </row>
    <row r="231" spans="2:7" x14ac:dyDescent="0.25">
      <c r="B231" s="1"/>
      <c r="C231" s="1"/>
      <c r="D231" s="1"/>
      <c r="E231" s="1"/>
      <c r="F231" s="1"/>
      <c r="G231" s="1"/>
    </row>
    <row r="232" spans="2:7" x14ac:dyDescent="0.25">
      <c r="B232" s="1"/>
      <c r="C232" s="1"/>
      <c r="D232" s="1"/>
      <c r="E232" s="1"/>
      <c r="F232" s="1"/>
      <c r="G232" s="1"/>
    </row>
    <row r="233" spans="2:7" x14ac:dyDescent="0.25">
      <c r="B233" s="1"/>
      <c r="C233" s="1"/>
      <c r="D233" s="1"/>
      <c r="E233" s="1"/>
      <c r="F233" s="1"/>
      <c r="G233" s="1"/>
    </row>
    <row r="234" spans="2:7" x14ac:dyDescent="0.25">
      <c r="B234" s="1"/>
      <c r="C234" s="1"/>
      <c r="D234" s="1"/>
      <c r="E234" s="1"/>
      <c r="F234" s="1"/>
      <c r="G234" s="1"/>
    </row>
    <row r="235" spans="2:7" x14ac:dyDescent="0.25">
      <c r="B235" s="1"/>
      <c r="C235" s="1"/>
      <c r="D235" s="1"/>
      <c r="E235" s="1"/>
      <c r="F235" s="1"/>
      <c r="G235" s="1"/>
    </row>
    <row r="236" spans="2:7" x14ac:dyDescent="0.25">
      <c r="B236" s="1"/>
      <c r="C236" s="1"/>
      <c r="D236" s="1"/>
      <c r="E236" s="1"/>
      <c r="F236" s="1"/>
      <c r="G236" s="1"/>
    </row>
    <row r="237" spans="2:7" x14ac:dyDescent="0.25">
      <c r="B237" s="1"/>
      <c r="C237" s="1"/>
      <c r="D237" s="1"/>
      <c r="E237" s="1"/>
      <c r="F237" s="1"/>
      <c r="G237" s="1"/>
    </row>
    <row r="238" spans="2:7" x14ac:dyDescent="0.25">
      <c r="B238" s="1"/>
      <c r="C238" s="1"/>
      <c r="D238" s="1"/>
      <c r="E238" s="1"/>
      <c r="F238" s="1"/>
      <c r="G238" s="1"/>
    </row>
    <row r="239" spans="2:7" x14ac:dyDescent="0.25">
      <c r="B239" s="1"/>
      <c r="C239" s="1"/>
      <c r="D239" s="1"/>
      <c r="E239" s="1"/>
      <c r="F239" s="1"/>
      <c r="G239" s="1"/>
    </row>
    <row r="240" spans="2:7" x14ac:dyDescent="0.25">
      <c r="B240" s="1"/>
      <c r="C240" s="1"/>
      <c r="D240" s="1"/>
      <c r="E240" s="1"/>
      <c r="F240" s="1"/>
      <c r="G240" s="1"/>
    </row>
    <row r="241" spans="2:7" x14ac:dyDescent="0.25">
      <c r="B241" s="1"/>
      <c r="C241" s="1"/>
      <c r="D241" s="1"/>
      <c r="E241" s="1"/>
      <c r="F241" s="1"/>
      <c r="G241" s="1"/>
    </row>
    <row r="242" spans="2:7" x14ac:dyDescent="0.25">
      <c r="B242" s="1"/>
      <c r="C242" s="1"/>
      <c r="D242" s="1"/>
      <c r="E242" s="1"/>
      <c r="F242" s="1"/>
      <c r="G242" s="1"/>
    </row>
    <row r="243" spans="2:7" x14ac:dyDescent="0.25">
      <c r="B243" s="1"/>
      <c r="C243" s="1"/>
      <c r="D243" s="1"/>
      <c r="E243" s="1"/>
      <c r="F243" s="1"/>
      <c r="G243" s="1"/>
    </row>
    <row r="244" spans="2:7" x14ac:dyDescent="0.25">
      <c r="B244" s="1"/>
      <c r="C244" s="1"/>
      <c r="D244" s="1"/>
      <c r="E244" s="1"/>
      <c r="F244" s="1"/>
      <c r="G244" s="1"/>
    </row>
    <row r="245" spans="2:7" x14ac:dyDescent="0.25">
      <c r="B245" s="1"/>
      <c r="C245" s="1"/>
      <c r="D245" s="1"/>
      <c r="E245" s="1"/>
      <c r="F245" s="1"/>
      <c r="G245" s="1"/>
    </row>
    <row r="246" spans="2:7" x14ac:dyDescent="0.25">
      <c r="B246" s="1"/>
      <c r="C246" s="1"/>
      <c r="D246" s="1"/>
      <c r="E246" s="1"/>
      <c r="F246" s="1"/>
      <c r="G246" s="1"/>
    </row>
    <row r="247" spans="2:7" x14ac:dyDescent="0.25">
      <c r="B247" s="1"/>
      <c r="C247" s="1"/>
      <c r="D247" s="1"/>
      <c r="E247" s="1"/>
      <c r="F247" s="1"/>
      <c r="G247" s="1"/>
    </row>
    <row r="248" spans="2:7" x14ac:dyDescent="0.25">
      <c r="B248" s="1"/>
      <c r="C248" s="1"/>
      <c r="D248" s="1"/>
      <c r="E248" s="1"/>
      <c r="F248" s="1"/>
      <c r="G248" s="1"/>
    </row>
    <row r="249" spans="2:7" x14ac:dyDescent="0.25">
      <c r="B249" s="1"/>
      <c r="C249" s="1"/>
      <c r="D249" s="1"/>
      <c r="E249" s="1"/>
      <c r="F249" s="1"/>
      <c r="G249" s="1"/>
    </row>
    <row r="250" spans="2:7" x14ac:dyDescent="0.25">
      <c r="B250" s="1"/>
      <c r="C250" s="1"/>
      <c r="D250" s="1"/>
      <c r="E250" s="1"/>
      <c r="F250" s="1"/>
      <c r="G250" s="1"/>
    </row>
    <row r="251" spans="2:7" x14ac:dyDescent="0.25">
      <c r="B251" s="1"/>
      <c r="C251" s="1"/>
      <c r="D251" s="1"/>
      <c r="E251" s="1"/>
      <c r="F251" s="1"/>
      <c r="G251" s="1"/>
    </row>
    <row r="252" spans="2:7" x14ac:dyDescent="0.25">
      <c r="B252" s="1"/>
      <c r="C252" s="1"/>
      <c r="D252" s="1"/>
      <c r="E252" s="1"/>
      <c r="F252" s="1"/>
      <c r="G252" s="1"/>
    </row>
    <row r="253" spans="2:7" x14ac:dyDescent="0.25">
      <c r="B253" s="1"/>
      <c r="C253" s="1"/>
      <c r="D253" s="1"/>
      <c r="E253" s="1"/>
      <c r="F253" s="1"/>
      <c r="G253" s="1"/>
    </row>
    <row r="254" spans="2:7" x14ac:dyDescent="0.25">
      <c r="B254" s="1"/>
      <c r="C254" s="1"/>
      <c r="D254" s="1"/>
      <c r="E254" s="1"/>
      <c r="F254" s="1"/>
      <c r="G254" s="1"/>
    </row>
    <row r="255" spans="2:7" x14ac:dyDescent="0.25">
      <c r="B255" s="1"/>
      <c r="C255" s="1"/>
      <c r="D255" s="1"/>
      <c r="E255" s="1"/>
      <c r="F255" s="1"/>
      <c r="G255" s="1"/>
    </row>
    <row r="256" spans="2:7" x14ac:dyDescent="0.25">
      <c r="B256" s="1"/>
      <c r="C256" s="1"/>
      <c r="D256" s="1"/>
      <c r="E256" s="1"/>
      <c r="F256" s="1"/>
      <c r="G256" s="1"/>
    </row>
    <row r="257" spans="2:7" x14ac:dyDescent="0.25">
      <c r="B257" s="1"/>
      <c r="C257" s="1"/>
      <c r="D257" s="1"/>
      <c r="E257" s="1"/>
      <c r="F257" s="1"/>
      <c r="G257" s="1"/>
    </row>
    <row r="258" spans="2:7" x14ac:dyDescent="0.25">
      <c r="B258" s="1"/>
      <c r="C258" s="1"/>
      <c r="D258" s="1"/>
      <c r="E258" s="1"/>
      <c r="F258" s="1"/>
      <c r="G258" s="1"/>
    </row>
    <row r="259" spans="2:7" x14ac:dyDescent="0.25">
      <c r="B259" s="1"/>
      <c r="C259" s="1"/>
      <c r="D259" s="1"/>
      <c r="E259" s="1"/>
      <c r="F259" s="1"/>
      <c r="G259" s="1"/>
    </row>
    <row r="260" spans="2:7" x14ac:dyDescent="0.25">
      <c r="B260" s="1"/>
      <c r="C260" s="1"/>
      <c r="D260" s="1"/>
      <c r="E260" s="1"/>
      <c r="F260" s="1"/>
      <c r="G260" s="1"/>
    </row>
    <row r="261" spans="2:7" x14ac:dyDescent="0.25">
      <c r="B261" s="1"/>
      <c r="C261" s="1"/>
      <c r="D261" s="1"/>
      <c r="E261" s="1"/>
      <c r="F261" s="1"/>
      <c r="G261" s="1"/>
    </row>
    <row r="262" spans="2:7" x14ac:dyDescent="0.25">
      <c r="B262" s="1"/>
      <c r="C262" s="1"/>
      <c r="D262" s="1"/>
      <c r="E262" s="1"/>
      <c r="F262" s="1"/>
      <c r="G262" s="1"/>
    </row>
    <row r="263" spans="2:7" x14ac:dyDescent="0.25">
      <c r="B263" s="1"/>
      <c r="C263" s="1"/>
      <c r="D263" s="1"/>
      <c r="E263" s="1"/>
      <c r="F263" s="1"/>
      <c r="G263" s="1"/>
    </row>
    <row r="264" spans="2:7" x14ac:dyDescent="0.25">
      <c r="B264" s="1"/>
      <c r="C264" s="1"/>
      <c r="D264" s="1"/>
      <c r="E264" s="1"/>
      <c r="F264" s="1"/>
      <c r="G264" s="1"/>
    </row>
    <row r="265" spans="2:7" x14ac:dyDescent="0.25">
      <c r="B265" s="1"/>
      <c r="C265" s="1"/>
      <c r="D265" s="1"/>
      <c r="E265" s="1"/>
      <c r="F265" s="1"/>
      <c r="G265" s="1"/>
    </row>
    <row r="266" spans="2:7" x14ac:dyDescent="0.25">
      <c r="B266" s="1"/>
      <c r="C266" s="1"/>
      <c r="D266" s="1"/>
      <c r="E266" s="1"/>
      <c r="F266" s="1"/>
      <c r="G266" s="1"/>
    </row>
    <row r="267" spans="2:7" x14ac:dyDescent="0.25">
      <c r="B267" s="1"/>
      <c r="C267" s="1"/>
      <c r="D267" s="1"/>
      <c r="E267" s="1"/>
      <c r="F267" s="1"/>
      <c r="G267" s="1"/>
    </row>
    <row r="268" spans="2:7" x14ac:dyDescent="0.25">
      <c r="B268" s="1"/>
      <c r="C268" s="1"/>
      <c r="D268" s="1"/>
      <c r="E268" s="1"/>
      <c r="F268" s="1"/>
      <c r="G268" s="1"/>
    </row>
    <row r="269" spans="2:7" x14ac:dyDescent="0.25">
      <c r="B269" s="1"/>
      <c r="C269" s="1"/>
      <c r="D269" s="1"/>
      <c r="E269" s="1"/>
      <c r="F269" s="1"/>
      <c r="G269" s="1"/>
    </row>
    <row r="270" spans="2:7" x14ac:dyDescent="0.25">
      <c r="B270" s="1"/>
      <c r="C270" s="1"/>
      <c r="D270" s="1"/>
      <c r="E270" s="1"/>
      <c r="F270" s="1"/>
      <c r="G270" s="1"/>
    </row>
    <row r="271" spans="2:7" x14ac:dyDescent="0.25">
      <c r="B271" s="1"/>
      <c r="C271" s="1"/>
      <c r="D271" s="1"/>
      <c r="E271" s="1"/>
      <c r="F271" s="1"/>
      <c r="G271" s="1"/>
    </row>
    <row r="272" spans="2:7" x14ac:dyDescent="0.25">
      <c r="B272" s="1"/>
      <c r="C272" s="1"/>
      <c r="D272" s="1"/>
      <c r="E272" s="1"/>
      <c r="F272" s="1"/>
      <c r="G272" s="1"/>
    </row>
    <row r="273" spans="2:7" x14ac:dyDescent="0.25">
      <c r="B273" s="1"/>
      <c r="C273" s="1"/>
      <c r="D273" s="1"/>
      <c r="E273" s="1"/>
      <c r="F273" s="1"/>
      <c r="G273" s="1"/>
    </row>
    <row r="274" spans="2:7" x14ac:dyDescent="0.25">
      <c r="B274" s="1"/>
      <c r="C274" s="1"/>
      <c r="D274" s="1"/>
      <c r="E274" s="1"/>
      <c r="F274" s="1"/>
      <c r="G274" s="1"/>
    </row>
    <row r="275" spans="2:7" x14ac:dyDescent="0.25">
      <c r="B275" s="1"/>
      <c r="C275" s="1"/>
      <c r="D275" s="1"/>
      <c r="E275" s="1"/>
      <c r="F275" s="1"/>
      <c r="G275" s="1"/>
    </row>
    <row r="276" spans="2:7" x14ac:dyDescent="0.25">
      <c r="B276" s="1"/>
      <c r="C276" s="1"/>
      <c r="D276" s="1"/>
      <c r="E276" s="1"/>
      <c r="F276" s="1"/>
      <c r="G276" s="1"/>
    </row>
    <row r="277" spans="2:7" x14ac:dyDescent="0.25">
      <c r="B277" s="1"/>
      <c r="C277" s="1"/>
      <c r="D277" s="1"/>
      <c r="E277" s="1"/>
      <c r="F277" s="1"/>
      <c r="G277" s="1"/>
    </row>
    <row r="278" spans="2:7" x14ac:dyDescent="0.25">
      <c r="B278" s="1"/>
      <c r="C278" s="1"/>
      <c r="D278" s="1"/>
      <c r="E278" s="1"/>
      <c r="F278" s="1"/>
      <c r="G278" s="1"/>
    </row>
    <row r="279" spans="2:7" x14ac:dyDescent="0.25">
      <c r="B279" s="1"/>
      <c r="C279" s="1"/>
      <c r="D279" s="1"/>
      <c r="E279" s="1"/>
      <c r="F279" s="1"/>
      <c r="G279" s="1"/>
    </row>
    <row r="280" spans="2:7" x14ac:dyDescent="0.25">
      <c r="B280" s="1"/>
      <c r="C280" s="1"/>
      <c r="D280" s="1"/>
      <c r="E280" s="1"/>
      <c r="F280" s="1"/>
      <c r="G280" s="1"/>
    </row>
    <row r="281" spans="2:7" x14ac:dyDescent="0.25">
      <c r="B281" s="1"/>
      <c r="C281" s="1"/>
      <c r="D281" s="1"/>
      <c r="E281" s="1"/>
      <c r="F281" s="1"/>
      <c r="G281" s="1"/>
    </row>
    <row r="282" spans="2:7" x14ac:dyDescent="0.25">
      <c r="B282" s="1"/>
      <c r="C282" s="1"/>
      <c r="D282" s="1"/>
      <c r="E282" s="1"/>
      <c r="F282" s="1"/>
      <c r="G282" s="1"/>
    </row>
    <row r="283" spans="2:7" x14ac:dyDescent="0.25">
      <c r="B283" s="1"/>
      <c r="C283" s="1"/>
      <c r="D283" s="1"/>
      <c r="E283" s="1"/>
      <c r="F283" s="1"/>
      <c r="G283" s="1"/>
    </row>
    <row r="284" spans="2:7" x14ac:dyDescent="0.25">
      <c r="B284" s="1"/>
      <c r="C284" s="1"/>
      <c r="D284" s="1"/>
      <c r="E284" s="1"/>
      <c r="F284" s="1"/>
      <c r="G284" s="1"/>
    </row>
    <row r="285" spans="2:7" x14ac:dyDescent="0.25">
      <c r="B285" s="1"/>
      <c r="C285" s="1"/>
      <c r="D285" s="1"/>
      <c r="E285" s="1"/>
      <c r="F285" s="1"/>
      <c r="G285" s="1"/>
    </row>
    <row r="286" spans="2:7" x14ac:dyDescent="0.25">
      <c r="B286" s="1"/>
      <c r="C286" s="1"/>
      <c r="D286" s="1"/>
      <c r="E286" s="1"/>
      <c r="F286" s="1"/>
      <c r="G286" s="1"/>
    </row>
    <row r="287" spans="2:7" x14ac:dyDescent="0.25">
      <c r="B287" s="1"/>
      <c r="C287" s="1"/>
      <c r="D287" s="1"/>
      <c r="E287" s="1"/>
      <c r="F287" s="1"/>
      <c r="G287" s="1"/>
    </row>
    <row r="288" spans="2:7" x14ac:dyDescent="0.25">
      <c r="B288" s="1"/>
      <c r="C288" s="1"/>
      <c r="D288" s="1"/>
      <c r="E288" s="1"/>
      <c r="F288" s="1"/>
      <c r="G288" s="1"/>
    </row>
    <row r="289" spans="2:7" x14ac:dyDescent="0.25">
      <c r="B289" s="1"/>
      <c r="C289" s="1"/>
      <c r="D289" s="1"/>
      <c r="E289" s="1"/>
      <c r="F289" s="1"/>
      <c r="G289" s="1"/>
    </row>
    <row r="290" spans="2:7" x14ac:dyDescent="0.25">
      <c r="B290" s="1"/>
      <c r="C290" s="1"/>
      <c r="D290" s="1"/>
      <c r="E290" s="1"/>
      <c r="F290" s="1"/>
      <c r="G290" s="1"/>
    </row>
    <row r="291" spans="2:7" x14ac:dyDescent="0.25">
      <c r="B291" s="1"/>
      <c r="C291" s="1"/>
      <c r="D291" s="1"/>
      <c r="E291" s="1"/>
      <c r="F291" s="1"/>
      <c r="G291" s="1"/>
    </row>
    <row r="292" spans="2:7" x14ac:dyDescent="0.25">
      <c r="B292" s="1"/>
      <c r="C292" s="1"/>
      <c r="D292" s="1"/>
      <c r="E292" s="1"/>
      <c r="F292" s="1"/>
      <c r="G292" s="1"/>
    </row>
    <row r="293" spans="2:7" x14ac:dyDescent="0.25">
      <c r="B293" s="1"/>
      <c r="C293" s="1"/>
      <c r="D293" s="1"/>
      <c r="E293" s="1"/>
      <c r="F293" s="1"/>
      <c r="G293" s="1"/>
    </row>
    <row r="294" spans="2:7" x14ac:dyDescent="0.25">
      <c r="B294" s="1"/>
      <c r="C294" s="1"/>
      <c r="D294" s="1"/>
      <c r="E294" s="1"/>
      <c r="F294" s="1"/>
      <c r="G294" s="1"/>
    </row>
    <row r="295" spans="2:7" x14ac:dyDescent="0.25">
      <c r="B295" s="1"/>
      <c r="C295" s="1"/>
      <c r="D295" s="1"/>
      <c r="E295" s="1"/>
      <c r="F295" s="1"/>
      <c r="G295" s="1"/>
    </row>
    <row r="296" spans="2:7" x14ac:dyDescent="0.25">
      <c r="B296" s="1"/>
      <c r="C296" s="1"/>
      <c r="D296" s="1"/>
      <c r="E296" s="1"/>
      <c r="F296" s="1"/>
      <c r="G296" s="1"/>
    </row>
    <row r="297" spans="2:7" x14ac:dyDescent="0.25">
      <c r="B297" s="1"/>
      <c r="C297" s="1"/>
      <c r="D297" s="1"/>
      <c r="E297" s="1"/>
      <c r="F297" s="1"/>
      <c r="G297" s="1"/>
    </row>
    <row r="298" spans="2:7" x14ac:dyDescent="0.25">
      <c r="B298" s="1"/>
      <c r="C298" s="1"/>
      <c r="D298" s="1"/>
      <c r="E298" s="1"/>
      <c r="F298" s="1"/>
      <c r="G298" s="1"/>
    </row>
    <row r="299" spans="2:7" x14ac:dyDescent="0.25">
      <c r="B299" s="1"/>
      <c r="C299" s="1"/>
      <c r="D299" s="1"/>
      <c r="E299" s="1"/>
      <c r="F299" s="1"/>
      <c r="G299" s="1"/>
    </row>
    <row r="300" spans="2:7" x14ac:dyDescent="0.25">
      <c r="B300" s="1"/>
      <c r="C300" s="1"/>
      <c r="D300" s="1"/>
      <c r="E300" s="1"/>
      <c r="F300" s="1"/>
      <c r="G300" s="1"/>
    </row>
    <row r="301" spans="2:7" x14ac:dyDescent="0.25">
      <c r="B301" s="1"/>
      <c r="C301" s="1"/>
      <c r="D301" s="1"/>
      <c r="E301" s="1"/>
      <c r="F301" s="1"/>
      <c r="G301" s="1"/>
    </row>
    <row r="302" spans="2:7" x14ac:dyDescent="0.25">
      <c r="B302" s="1"/>
      <c r="C302" s="1"/>
      <c r="D302" s="1"/>
      <c r="E302" s="1"/>
      <c r="F302" s="1"/>
      <c r="G302" s="1"/>
    </row>
    <row r="303" spans="2:7" x14ac:dyDescent="0.25">
      <c r="B303" s="1"/>
      <c r="C303" s="1"/>
      <c r="D303" s="1"/>
      <c r="E303" s="1"/>
      <c r="F303" s="1"/>
      <c r="G303" s="1"/>
    </row>
    <row r="304" spans="2:7" x14ac:dyDescent="0.25">
      <c r="B304" s="1"/>
      <c r="C304" s="1"/>
      <c r="D304" s="1"/>
      <c r="E304" s="1"/>
      <c r="F304" s="1"/>
      <c r="G304" s="1"/>
    </row>
    <row r="305" spans="2:7" x14ac:dyDescent="0.25">
      <c r="B305" s="1"/>
      <c r="C305" s="1"/>
      <c r="D305" s="1"/>
      <c r="E305" s="1"/>
      <c r="F305" s="1"/>
      <c r="G305" s="1"/>
    </row>
    <row r="306" spans="2:7" x14ac:dyDescent="0.25">
      <c r="B306" s="1"/>
      <c r="C306" s="1"/>
      <c r="D306" s="1"/>
      <c r="E306" s="1"/>
      <c r="F306" s="1"/>
      <c r="G306" s="1"/>
    </row>
    <row r="307" spans="2:7" x14ac:dyDescent="0.25">
      <c r="B307" s="1"/>
      <c r="C307" s="1"/>
      <c r="D307" s="1"/>
      <c r="E307" s="1"/>
      <c r="F307" s="1"/>
      <c r="G307" s="1"/>
    </row>
    <row r="308" spans="2:7" x14ac:dyDescent="0.25">
      <c r="B308" s="1"/>
      <c r="C308" s="1"/>
      <c r="D308" s="1"/>
      <c r="E308" s="1"/>
      <c r="F308" s="1"/>
      <c r="G308" s="1"/>
    </row>
    <row r="309" spans="2:7" x14ac:dyDescent="0.25">
      <c r="B309" s="1"/>
      <c r="C309" s="1"/>
      <c r="D309" s="1"/>
      <c r="E309" s="1"/>
      <c r="F309" s="1"/>
      <c r="G309" s="1"/>
    </row>
    <row r="310" spans="2:7" x14ac:dyDescent="0.25">
      <c r="B310" s="1"/>
      <c r="C310" s="1"/>
      <c r="D310" s="1"/>
      <c r="E310" s="1"/>
      <c r="F310" s="1"/>
      <c r="G310" s="1"/>
    </row>
    <row r="311" spans="2:7" x14ac:dyDescent="0.25">
      <c r="B311" s="1"/>
      <c r="C311" s="1"/>
      <c r="D311" s="1"/>
      <c r="E311" s="1"/>
      <c r="F311" s="1"/>
      <c r="G311" s="1"/>
    </row>
    <row r="312" spans="2:7" x14ac:dyDescent="0.25">
      <c r="B312" s="1"/>
      <c r="C312" s="1"/>
      <c r="D312" s="1"/>
      <c r="E312" s="1"/>
      <c r="F312" s="1"/>
      <c r="G312" s="1"/>
    </row>
    <row r="313" spans="2:7" x14ac:dyDescent="0.25">
      <c r="B313" s="1"/>
      <c r="C313" s="1"/>
      <c r="D313" s="1"/>
      <c r="E313" s="1"/>
      <c r="F313" s="1"/>
      <c r="G313" s="1"/>
    </row>
    <row r="314" spans="2:7" x14ac:dyDescent="0.25">
      <c r="B314" s="1"/>
      <c r="C314" s="1"/>
      <c r="D314" s="1"/>
      <c r="E314" s="1"/>
      <c r="F314" s="1"/>
      <c r="G314" s="1"/>
    </row>
    <row r="315" spans="2:7" x14ac:dyDescent="0.25">
      <c r="B315" s="1"/>
      <c r="C315" s="1"/>
      <c r="D315" s="1"/>
      <c r="E315" s="1"/>
      <c r="F315" s="1"/>
      <c r="G315" s="1"/>
    </row>
    <row r="316" spans="2:7" x14ac:dyDescent="0.25">
      <c r="B316" s="1"/>
      <c r="C316" s="1"/>
      <c r="D316" s="1"/>
      <c r="E316" s="1"/>
      <c r="F316" s="1"/>
      <c r="G316" s="1"/>
    </row>
    <row r="317" spans="2:7" x14ac:dyDescent="0.25">
      <c r="B317" s="1"/>
      <c r="C317" s="1"/>
      <c r="D317" s="1"/>
      <c r="E317" s="1"/>
      <c r="F317" s="1"/>
      <c r="G317" s="1"/>
    </row>
    <row r="318" spans="2:7" x14ac:dyDescent="0.25">
      <c r="B318" s="1"/>
      <c r="C318" s="1"/>
      <c r="D318" s="1"/>
      <c r="E318" s="1"/>
      <c r="F318" s="1"/>
      <c r="G318" s="1"/>
    </row>
    <row r="319" spans="2:7" x14ac:dyDescent="0.25">
      <c r="B319" s="1"/>
      <c r="C319" s="1"/>
      <c r="D319" s="1"/>
      <c r="E319" s="1"/>
      <c r="F319" s="1"/>
      <c r="G319" s="1"/>
    </row>
    <row r="320" spans="2:7" x14ac:dyDescent="0.25">
      <c r="B320" s="1"/>
      <c r="C320" s="1"/>
      <c r="D320" s="1"/>
      <c r="E320" s="1"/>
      <c r="F320" s="1"/>
      <c r="G320" s="1"/>
    </row>
    <row r="321" spans="2:7" x14ac:dyDescent="0.25">
      <c r="B321" s="1"/>
      <c r="C321" s="1"/>
      <c r="D321" s="1"/>
      <c r="E321" s="1"/>
      <c r="F321" s="1"/>
      <c r="G321" s="1"/>
    </row>
    <row r="322" spans="2:7" x14ac:dyDescent="0.25">
      <c r="B322" s="1"/>
      <c r="C322" s="1"/>
      <c r="D322" s="1"/>
      <c r="E322" s="1"/>
      <c r="F322" s="1"/>
      <c r="G322" s="1"/>
    </row>
    <row r="323" spans="2:7" x14ac:dyDescent="0.25">
      <c r="B323" s="1"/>
      <c r="C323" s="1"/>
      <c r="D323" s="1"/>
      <c r="E323" s="1"/>
      <c r="F323" s="1"/>
      <c r="G323" s="1"/>
    </row>
    <row r="324" spans="2:7" x14ac:dyDescent="0.25">
      <c r="B324" s="1"/>
      <c r="C324" s="1"/>
      <c r="D324" s="1"/>
      <c r="E324" s="1"/>
      <c r="F324" s="1"/>
      <c r="G324" s="1"/>
    </row>
    <row r="325" spans="2:7" x14ac:dyDescent="0.25">
      <c r="B325" s="1"/>
      <c r="C325" s="1"/>
      <c r="D325" s="1"/>
      <c r="E325" s="1"/>
      <c r="F325" s="1"/>
      <c r="G325" s="1"/>
    </row>
    <row r="326" spans="2:7" x14ac:dyDescent="0.25">
      <c r="B326" s="1"/>
      <c r="C326" s="1"/>
      <c r="D326" s="1"/>
      <c r="E326" s="1"/>
      <c r="F326" s="1"/>
      <c r="G326" s="1"/>
    </row>
    <row r="327" spans="2:7" x14ac:dyDescent="0.25">
      <c r="B327" s="1"/>
      <c r="C327" s="1"/>
      <c r="D327" s="1"/>
      <c r="E327" s="1"/>
      <c r="F327" s="1"/>
      <c r="G327" s="1"/>
    </row>
    <row r="328" spans="2:7" x14ac:dyDescent="0.25">
      <c r="B328" s="1"/>
      <c r="C328" s="1"/>
      <c r="D328" s="1"/>
      <c r="E328" s="1"/>
      <c r="F328" s="1"/>
      <c r="G328" s="1"/>
    </row>
    <row r="329" spans="2:7" x14ac:dyDescent="0.25">
      <c r="B329" s="1"/>
      <c r="C329" s="1"/>
      <c r="D329" s="1"/>
      <c r="E329" s="1"/>
      <c r="F329" s="1"/>
      <c r="G329" s="1"/>
    </row>
    <row r="330" spans="2:7" x14ac:dyDescent="0.25">
      <c r="B330" s="1"/>
      <c r="C330" s="1"/>
      <c r="D330" s="1"/>
      <c r="E330" s="1"/>
      <c r="F330" s="1"/>
      <c r="G330" s="1"/>
    </row>
    <row r="331" spans="2:7" x14ac:dyDescent="0.25">
      <c r="B331" s="1"/>
      <c r="C331" s="1"/>
      <c r="D331" s="1"/>
      <c r="E331" s="1"/>
      <c r="F331" s="1"/>
      <c r="G331" s="1"/>
    </row>
    <row r="332" spans="2:7" x14ac:dyDescent="0.25">
      <c r="B332" s="1"/>
      <c r="C332" s="1"/>
      <c r="D332" s="1"/>
      <c r="E332" s="1"/>
      <c r="F332" s="1"/>
      <c r="G332" s="1"/>
    </row>
    <row r="333" spans="2:7" x14ac:dyDescent="0.25">
      <c r="B333" s="1"/>
      <c r="C333" s="1"/>
      <c r="D333" s="1"/>
      <c r="E333" s="1"/>
      <c r="F333" s="1"/>
      <c r="G333" s="1"/>
    </row>
    <row r="334" spans="2:7" x14ac:dyDescent="0.25">
      <c r="B334" s="1"/>
      <c r="C334" s="1"/>
      <c r="D334" s="1"/>
      <c r="E334" s="1"/>
      <c r="F334" s="1"/>
      <c r="G334" s="1"/>
    </row>
    <row r="335" spans="2:7" x14ac:dyDescent="0.25">
      <c r="B335" s="1"/>
      <c r="C335" s="1"/>
      <c r="D335" s="1"/>
      <c r="E335" s="1"/>
      <c r="F335" s="1"/>
      <c r="G335" s="1"/>
    </row>
    <row r="336" spans="2:7" x14ac:dyDescent="0.25">
      <c r="B336" s="1"/>
      <c r="C336" s="1"/>
      <c r="D336" s="1"/>
      <c r="E336" s="1"/>
      <c r="F336" s="1"/>
      <c r="G336" s="1"/>
    </row>
    <row r="337" spans="2:7" x14ac:dyDescent="0.25">
      <c r="B337" s="1"/>
      <c r="C337" s="1"/>
      <c r="D337" s="1"/>
      <c r="E337" s="1"/>
      <c r="F337" s="1"/>
      <c r="G337" s="1"/>
    </row>
    <row r="338" spans="2:7" x14ac:dyDescent="0.25">
      <c r="B338" s="1"/>
      <c r="C338" s="1"/>
      <c r="D338" s="1"/>
      <c r="E338" s="1"/>
      <c r="F338" s="1"/>
      <c r="G338" s="1"/>
    </row>
    <row r="339" spans="2:7" x14ac:dyDescent="0.25">
      <c r="B339" s="1"/>
      <c r="C339" s="1"/>
      <c r="D339" s="1"/>
      <c r="E339" s="1"/>
      <c r="F339" s="1"/>
      <c r="G339" s="1"/>
    </row>
    <row r="340" spans="2:7" x14ac:dyDescent="0.25">
      <c r="B340" s="1"/>
      <c r="C340" s="1"/>
      <c r="D340" s="1"/>
      <c r="E340" s="1"/>
      <c r="F340" s="1"/>
      <c r="G340" s="1"/>
    </row>
    <row r="341" spans="2:7" x14ac:dyDescent="0.25">
      <c r="B341" s="1"/>
      <c r="C341" s="1"/>
      <c r="D341" s="1"/>
      <c r="E341" s="1"/>
      <c r="F341" s="1"/>
      <c r="G341" s="1"/>
    </row>
    <row r="342" spans="2:7" x14ac:dyDescent="0.25">
      <c r="B342" s="1"/>
      <c r="C342" s="1"/>
      <c r="D342" s="1"/>
      <c r="E342" s="1"/>
      <c r="F342" s="1"/>
      <c r="G342" s="1"/>
    </row>
    <row r="343" spans="2:7" x14ac:dyDescent="0.25">
      <c r="B343" s="1"/>
      <c r="C343" s="1"/>
      <c r="D343" s="1"/>
      <c r="E343" s="1"/>
      <c r="F343" s="1"/>
      <c r="G343" s="1"/>
    </row>
    <row r="344" spans="2:7" x14ac:dyDescent="0.25">
      <c r="B344" s="1"/>
      <c r="C344" s="1"/>
      <c r="D344" s="1"/>
      <c r="E344" s="1"/>
      <c r="F344" s="1"/>
      <c r="G344" s="1"/>
    </row>
    <row r="345" spans="2:7" x14ac:dyDescent="0.25">
      <c r="B345" s="1"/>
      <c r="C345" s="1"/>
      <c r="D345" s="1"/>
      <c r="E345" s="1"/>
      <c r="F345" s="1"/>
      <c r="G345" s="1"/>
    </row>
    <row r="346" spans="2:7" x14ac:dyDescent="0.25">
      <c r="B346" s="1"/>
      <c r="C346" s="1"/>
      <c r="D346" s="1"/>
      <c r="E346" s="1"/>
      <c r="F346" s="1"/>
      <c r="G346" s="1"/>
    </row>
    <row r="347" spans="2:7" x14ac:dyDescent="0.25">
      <c r="B347" s="1"/>
      <c r="C347" s="1"/>
      <c r="D347" s="1"/>
      <c r="E347" s="1"/>
      <c r="F347" s="1"/>
      <c r="G347" s="1"/>
    </row>
    <row r="348" spans="2:7" x14ac:dyDescent="0.25">
      <c r="B348" s="1"/>
      <c r="C348" s="1"/>
      <c r="D348" s="1"/>
      <c r="E348" s="1"/>
      <c r="F348" s="1"/>
      <c r="G348" s="1"/>
    </row>
    <row r="349" spans="2:7" x14ac:dyDescent="0.25">
      <c r="B349" s="1"/>
      <c r="C349" s="1"/>
      <c r="D349" s="1"/>
      <c r="E349" s="1"/>
      <c r="F349" s="1"/>
      <c r="G349" s="1"/>
    </row>
    <row r="350" spans="2:7" x14ac:dyDescent="0.25">
      <c r="B350" s="1"/>
      <c r="C350" s="1"/>
      <c r="D350" s="1"/>
      <c r="E350" s="1"/>
      <c r="F350" s="1"/>
      <c r="G350" s="1"/>
    </row>
    <row r="351" spans="2:7" x14ac:dyDescent="0.25">
      <c r="B351" s="1"/>
      <c r="C351" s="1"/>
      <c r="D351" s="1"/>
      <c r="E351" s="1"/>
      <c r="F351" s="1"/>
      <c r="G351" s="1"/>
    </row>
    <row r="352" spans="2:7" x14ac:dyDescent="0.25">
      <c r="B352" s="1"/>
      <c r="C352" s="1"/>
      <c r="D352" s="1"/>
      <c r="E352" s="1"/>
      <c r="F352" s="1"/>
      <c r="G352" s="1"/>
    </row>
    <row r="353" spans="2:7" x14ac:dyDescent="0.25">
      <c r="B353" s="1"/>
      <c r="C353" s="1"/>
      <c r="D353" s="1"/>
      <c r="E353" s="1"/>
      <c r="F353" s="1"/>
      <c r="G353" s="1"/>
    </row>
    <row r="354" spans="2:7" x14ac:dyDescent="0.25">
      <c r="B354" s="1"/>
      <c r="C354" s="1"/>
      <c r="D354" s="1"/>
      <c r="E354" s="1"/>
      <c r="F354" s="1"/>
      <c r="G354" s="1"/>
    </row>
    <row r="355" spans="2:7" x14ac:dyDescent="0.25">
      <c r="B355" s="1"/>
      <c r="C355" s="1"/>
      <c r="D355" s="1"/>
      <c r="E355" s="1"/>
      <c r="F355" s="1"/>
      <c r="G355" s="1"/>
    </row>
    <row r="356" spans="2:7" x14ac:dyDescent="0.25">
      <c r="B356" s="1"/>
      <c r="C356" s="1"/>
      <c r="D356" s="1"/>
      <c r="E356" s="1"/>
      <c r="F356" s="1"/>
      <c r="G356" s="1"/>
    </row>
    <row r="357" spans="2:7" x14ac:dyDescent="0.25">
      <c r="B357" s="1"/>
      <c r="C357" s="1"/>
      <c r="D357" s="1"/>
      <c r="E357" s="1"/>
      <c r="F357" s="1"/>
      <c r="G357" s="1"/>
    </row>
    <row r="358" spans="2:7" x14ac:dyDescent="0.25">
      <c r="B358" s="1"/>
      <c r="C358" s="1"/>
      <c r="D358" s="1"/>
      <c r="E358" s="1"/>
      <c r="F358" s="1"/>
      <c r="G358" s="1"/>
    </row>
    <row r="359" spans="2:7" x14ac:dyDescent="0.25">
      <c r="B359" s="1"/>
      <c r="C359" s="1"/>
      <c r="D359" s="1"/>
      <c r="E359" s="1"/>
      <c r="F359" s="1"/>
      <c r="G359" s="1"/>
    </row>
    <row r="360" spans="2:7" x14ac:dyDescent="0.25">
      <c r="B360" s="1"/>
      <c r="C360" s="1"/>
      <c r="D360" s="1"/>
      <c r="E360" s="1"/>
      <c r="F360" s="1"/>
      <c r="G360" s="1"/>
    </row>
    <row r="361" spans="2:7" x14ac:dyDescent="0.25">
      <c r="B361" s="1"/>
      <c r="C361" s="1"/>
      <c r="D361" s="1"/>
      <c r="E361" s="1"/>
      <c r="F361" s="1"/>
      <c r="G361" s="1"/>
    </row>
    <row r="362" spans="2:7" x14ac:dyDescent="0.25">
      <c r="B362" s="1"/>
      <c r="C362" s="1"/>
      <c r="D362" s="1"/>
      <c r="E362" s="1"/>
      <c r="F362" s="1"/>
      <c r="G362" s="1"/>
    </row>
    <row r="363" spans="2:7" x14ac:dyDescent="0.25">
      <c r="B363" s="1"/>
      <c r="C363" s="1"/>
      <c r="D363" s="1"/>
      <c r="E363" s="1"/>
      <c r="F363" s="1"/>
      <c r="G363" s="1"/>
    </row>
    <row r="364" spans="2:7" x14ac:dyDescent="0.25">
      <c r="B364" s="1"/>
      <c r="C364" s="1"/>
      <c r="D364" s="1"/>
      <c r="E364" s="1"/>
      <c r="F364" s="1"/>
      <c r="G364" s="1"/>
    </row>
    <row r="365" spans="2:7" x14ac:dyDescent="0.25">
      <c r="B365" s="1"/>
      <c r="C365" s="1"/>
      <c r="D365" s="1"/>
      <c r="E365" s="1"/>
      <c r="F365" s="1"/>
      <c r="G365" s="1"/>
    </row>
    <row r="366" spans="2:7" x14ac:dyDescent="0.25">
      <c r="B366" s="1"/>
      <c r="C366" s="1"/>
      <c r="D366" s="1"/>
      <c r="E366" s="1"/>
      <c r="F366" s="1"/>
      <c r="G366" s="1"/>
    </row>
    <row r="367" spans="2:7" x14ac:dyDescent="0.25">
      <c r="B367" s="1"/>
      <c r="C367" s="1"/>
      <c r="D367" s="1"/>
      <c r="E367" s="1"/>
      <c r="F367" s="1"/>
      <c r="G367" s="1"/>
    </row>
    <row r="368" spans="2:7" x14ac:dyDescent="0.25">
      <c r="B368" s="1"/>
      <c r="C368" s="1"/>
      <c r="D368" s="1"/>
      <c r="E368" s="1"/>
      <c r="F368" s="1"/>
      <c r="G368" s="1"/>
    </row>
    <row r="369" spans="2:7" x14ac:dyDescent="0.25">
      <c r="B369" s="1"/>
      <c r="C369" s="1"/>
      <c r="D369" s="1"/>
      <c r="E369" s="1"/>
      <c r="F369" s="1"/>
      <c r="G369" s="1"/>
    </row>
    <row r="370" spans="2:7" x14ac:dyDescent="0.25">
      <c r="B370" s="1"/>
      <c r="C370" s="1"/>
      <c r="D370" s="1"/>
      <c r="E370" s="1"/>
      <c r="F370" s="1"/>
      <c r="G370" s="1"/>
    </row>
    <row r="371" spans="2:7" x14ac:dyDescent="0.25">
      <c r="B371" s="1"/>
      <c r="C371" s="1"/>
      <c r="D371" s="1"/>
      <c r="E371" s="1"/>
      <c r="F371" s="1"/>
      <c r="G371" s="1"/>
    </row>
    <row r="372" spans="2:7" x14ac:dyDescent="0.25">
      <c r="B372" s="1"/>
      <c r="C372" s="1"/>
      <c r="D372" s="1"/>
      <c r="E372" s="1"/>
      <c r="F372" s="1"/>
      <c r="G372" s="1"/>
    </row>
    <row r="373" spans="2:7" x14ac:dyDescent="0.25">
      <c r="B373" s="1"/>
      <c r="C373" s="1"/>
      <c r="D373" s="1"/>
      <c r="E373" s="1"/>
      <c r="F373" s="1"/>
      <c r="G373" s="1"/>
    </row>
    <row r="374" spans="2:7" x14ac:dyDescent="0.25">
      <c r="B374" s="1"/>
      <c r="C374" s="1"/>
      <c r="D374" s="1"/>
      <c r="E374" s="1"/>
      <c r="F374" s="1"/>
      <c r="G374" s="1"/>
    </row>
    <row r="375" spans="2:7" x14ac:dyDescent="0.25">
      <c r="B375" s="1"/>
      <c r="C375" s="1"/>
      <c r="D375" s="1"/>
      <c r="E375" s="1"/>
      <c r="F375" s="1"/>
      <c r="G375" s="1"/>
    </row>
    <row r="376" spans="2:7" x14ac:dyDescent="0.25">
      <c r="B376" s="1"/>
      <c r="C376" s="1"/>
      <c r="D376" s="1"/>
      <c r="E376" s="1"/>
      <c r="F376" s="1"/>
      <c r="G376" s="1"/>
    </row>
    <row r="377" spans="2:7" x14ac:dyDescent="0.25">
      <c r="B377" s="1"/>
      <c r="C377" s="1"/>
      <c r="D377" s="1"/>
      <c r="E377" s="1"/>
      <c r="F377" s="1"/>
      <c r="G377" s="1"/>
    </row>
    <row r="378" spans="2:7" x14ac:dyDescent="0.25">
      <c r="B378" s="1"/>
      <c r="C378" s="1"/>
      <c r="D378" s="1"/>
      <c r="E378" s="1"/>
      <c r="F378" s="1"/>
      <c r="G378" s="1"/>
    </row>
    <row r="379" spans="2:7" x14ac:dyDescent="0.25">
      <c r="B379" s="1"/>
      <c r="C379" s="1"/>
      <c r="D379" s="1"/>
      <c r="E379" s="1"/>
      <c r="F379" s="1"/>
      <c r="G379" s="1"/>
    </row>
    <row r="380" spans="2:7" x14ac:dyDescent="0.25">
      <c r="B380" s="1"/>
      <c r="C380" s="1"/>
      <c r="D380" s="1"/>
      <c r="E380" s="1"/>
      <c r="F380" s="1"/>
      <c r="G380" s="1"/>
    </row>
    <row r="381" spans="2:7" x14ac:dyDescent="0.25">
      <c r="B381" s="1"/>
      <c r="C381" s="1"/>
      <c r="D381" s="1"/>
      <c r="E381" s="1"/>
      <c r="F381" s="1"/>
      <c r="G381" s="1"/>
    </row>
    <row r="382" spans="2:7" x14ac:dyDescent="0.25">
      <c r="B382" s="1"/>
      <c r="C382" s="1"/>
      <c r="D382" s="1"/>
      <c r="E382" s="1"/>
      <c r="F382" s="1"/>
      <c r="G382" s="1"/>
    </row>
    <row r="383" spans="2:7" x14ac:dyDescent="0.25">
      <c r="B383" s="1"/>
      <c r="C383" s="1"/>
      <c r="D383" s="1"/>
      <c r="E383" s="1"/>
      <c r="F383" s="1"/>
      <c r="G383" s="1"/>
    </row>
    <row r="384" spans="2:7" x14ac:dyDescent="0.25">
      <c r="B384" s="1"/>
      <c r="C384" s="1"/>
      <c r="D384" s="1"/>
      <c r="E384" s="1"/>
      <c r="F384" s="1"/>
      <c r="G384" s="1"/>
    </row>
    <row r="385" spans="2:7" x14ac:dyDescent="0.25">
      <c r="B385" s="1"/>
      <c r="C385" s="1"/>
      <c r="D385" s="1"/>
      <c r="E385" s="1"/>
      <c r="F385" s="1"/>
      <c r="G385" s="1"/>
    </row>
    <row r="386" spans="2:7" x14ac:dyDescent="0.25">
      <c r="B386" s="1"/>
      <c r="C386" s="1"/>
      <c r="D386" s="1"/>
      <c r="E386" s="1"/>
      <c r="F386" s="1"/>
      <c r="G386" s="1"/>
    </row>
    <row r="387" spans="2:7" x14ac:dyDescent="0.25">
      <c r="B387" s="1"/>
      <c r="C387" s="1"/>
      <c r="D387" s="1"/>
      <c r="E387" s="1"/>
      <c r="F387" s="1"/>
      <c r="G387" s="1"/>
    </row>
    <row r="388" spans="2:7" x14ac:dyDescent="0.25">
      <c r="B388" s="1"/>
      <c r="C388" s="1"/>
      <c r="D388" s="1"/>
      <c r="E388" s="1"/>
      <c r="F388" s="1"/>
      <c r="G388" s="1"/>
    </row>
    <row r="389" spans="2:7" x14ac:dyDescent="0.25">
      <c r="B389" s="1"/>
      <c r="C389" s="1"/>
      <c r="D389" s="1"/>
      <c r="E389" s="1"/>
      <c r="F389" s="1"/>
      <c r="G389" s="1"/>
    </row>
    <row r="390" spans="2:7" x14ac:dyDescent="0.25">
      <c r="B390" s="1"/>
      <c r="C390" s="1"/>
      <c r="D390" s="1"/>
      <c r="E390" s="1"/>
      <c r="F390" s="1"/>
      <c r="G390" s="1"/>
    </row>
    <row r="391" spans="2:7" x14ac:dyDescent="0.25">
      <c r="B391" s="1"/>
      <c r="C391" s="1"/>
      <c r="D391" s="1"/>
      <c r="E391" s="1"/>
      <c r="F391" s="1"/>
      <c r="G391" s="1"/>
    </row>
    <row r="392" spans="2:7" x14ac:dyDescent="0.25">
      <c r="B392" s="1"/>
      <c r="C392" s="1"/>
      <c r="D392" s="1"/>
      <c r="E392" s="1"/>
      <c r="F392" s="1"/>
      <c r="G392" s="1"/>
    </row>
    <row r="393" spans="2:7" x14ac:dyDescent="0.25">
      <c r="B393" s="1"/>
      <c r="C393" s="1"/>
      <c r="D393" s="1"/>
      <c r="E393" s="1"/>
      <c r="F393" s="1"/>
      <c r="G393" s="1"/>
    </row>
    <row r="394" spans="2:7" x14ac:dyDescent="0.25">
      <c r="B394" s="1"/>
      <c r="C394" s="1"/>
      <c r="D394" s="1"/>
      <c r="E394" s="1"/>
      <c r="F394" s="1"/>
      <c r="G394" s="1"/>
    </row>
    <row r="395" spans="2:7" x14ac:dyDescent="0.25">
      <c r="B395" s="1"/>
      <c r="C395" s="1"/>
      <c r="D395" s="1"/>
      <c r="E395" s="1"/>
      <c r="F395" s="1"/>
      <c r="G395" s="1"/>
    </row>
    <row r="396" spans="2:7" x14ac:dyDescent="0.25">
      <c r="B396" s="1"/>
      <c r="C396" s="1"/>
      <c r="D396" s="1"/>
      <c r="E396" s="1"/>
      <c r="F396" s="1"/>
      <c r="G396" s="1"/>
    </row>
    <row r="397" spans="2:7" x14ac:dyDescent="0.25">
      <c r="B397" s="1"/>
      <c r="C397" s="1"/>
      <c r="D397" s="1"/>
      <c r="E397" s="1"/>
      <c r="F397" s="1"/>
      <c r="G397" s="1"/>
    </row>
    <row r="398" spans="2:7" x14ac:dyDescent="0.25">
      <c r="B398" s="1"/>
      <c r="C398" s="1"/>
      <c r="D398" s="1"/>
      <c r="E398" s="1"/>
      <c r="F398" s="1"/>
      <c r="G398" s="1"/>
    </row>
    <row r="399" spans="2:7" x14ac:dyDescent="0.25">
      <c r="B399" s="1"/>
      <c r="C399" s="1"/>
      <c r="D399" s="1"/>
      <c r="E399" s="1"/>
      <c r="F399" s="1"/>
      <c r="G399" s="1"/>
    </row>
    <row r="400" spans="2:7" x14ac:dyDescent="0.25">
      <c r="B400" s="1"/>
      <c r="C400" s="1"/>
      <c r="D400" s="1"/>
      <c r="E400" s="1"/>
      <c r="F400" s="1"/>
      <c r="G400" s="1"/>
    </row>
    <row r="401" spans="2:7" x14ac:dyDescent="0.25">
      <c r="B401" s="1"/>
      <c r="C401" s="1"/>
      <c r="D401" s="1"/>
      <c r="E401" s="1"/>
      <c r="F401" s="1"/>
      <c r="G401" s="1"/>
    </row>
    <row r="402" spans="2:7" x14ac:dyDescent="0.25">
      <c r="B402" s="1"/>
      <c r="C402" s="1"/>
      <c r="D402" s="1"/>
      <c r="E402" s="1"/>
      <c r="F402" s="1"/>
      <c r="G402" s="1"/>
    </row>
    <row r="403" spans="2:7" x14ac:dyDescent="0.25">
      <c r="B403" s="1"/>
      <c r="C403" s="1"/>
      <c r="D403" s="1"/>
      <c r="E403" s="1"/>
      <c r="F403" s="1"/>
      <c r="G403" s="1"/>
    </row>
    <row r="404" spans="2:7" x14ac:dyDescent="0.25">
      <c r="B404" s="1"/>
      <c r="C404" s="1"/>
      <c r="D404" s="1"/>
      <c r="E404" s="1"/>
      <c r="F404" s="1"/>
      <c r="G404" s="1"/>
    </row>
    <row r="405" spans="2:7" x14ac:dyDescent="0.25">
      <c r="B405" s="1"/>
      <c r="C405" s="1"/>
      <c r="D405" s="1"/>
      <c r="E405" s="1"/>
      <c r="F405" s="1"/>
      <c r="G405" s="1"/>
    </row>
    <row r="406" spans="2:7" x14ac:dyDescent="0.25">
      <c r="B406" s="1"/>
      <c r="C406" s="1"/>
      <c r="D406" s="1"/>
      <c r="E406" s="1"/>
      <c r="F406" s="1"/>
      <c r="G406" s="1"/>
    </row>
    <row r="407" spans="2:7" x14ac:dyDescent="0.25">
      <c r="B407" s="1"/>
      <c r="C407" s="1"/>
      <c r="D407" s="1"/>
      <c r="E407" s="1"/>
      <c r="F407" s="1"/>
      <c r="G407" s="1"/>
    </row>
    <row r="408" spans="2:7" x14ac:dyDescent="0.25">
      <c r="B408" s="1"/>
      <c r="C408" s="1"/>
      <c r="D408" s="1"/>
      <c r="E408" s="1"/>
      <c r="F408" s="1"/>
      <c r="G408" s="1"/>
    </row>
    <row r="409" spans="2:7" x14ac:dyDescent="0.25">
      <c r="B409" s="1"/>
      <c r="C409" s="1"/>
      <c r="D409" s="1"/>
      <c r="E409" s="1"/>
      <c r="F409" s="1"/>
      <c r="G409" s="1"/>
    </row>
    <row r="410" spans="2:7" x14ac:dyDescent="0.25">
      <c r="B410" s="1"/>
      <c r="C410" s="1"/>
      <c r="D410" s="1"/>
      <c r="E410" s="1"/>
      <c r="F410" s="1"/>
      <c r="G410" s="1"/>
    </row>
    <row r="411" spans="2:7" x14ac:dyDescent="0.25">
      <c r="B411" s="1"/>
      <c r="C411" s="1"/>
      <c r="D411" s="1"/>
      <c r="E411" s="1"/>
      <c r="F411" s="1"/>
      <c r="G411" s="1"/>
    </row>
    <row r="412" spans="2:7" x14ac:dyDescent="0.25">
      <c r="B412" s="1"/>
      <c r="C412" s="1"/>
      <c r="D412" s="1"/>
      <c r="E412" s="1"/>
      <c r="F412" s="1"/>
      <c r="G412" s="1"/>
    </row>
    <row r="413" spans="2:7" x14ac:dyDescent="0.25">
      <c r="B413" s="1"/>
      <c r="C413" s="1"/>
      <c r="D413" s="1"/>
      <c r="E413" s="1"/>
      <c r="F413" s="1"/>
      <c r="G413" s="1"/>
    </row>
    <row r="414" spans="2:7" x14ac:dyDescent="0.25">
      <c r="B414" s="1"/>
      <c r="C414" s="1"/>
      <c r="D414" s="1"/>
      <c r="E414" s="1"/>
      <c r="F414" s="1"/>
      <c r="G414" s="1"/>
    </row>
    <row r="415" spans="2:7" x14ac:dyDescent="0.25">
      <c r="B415" s="1"/>
      <c r="C415" s="1"/>
      <c r="D415" s="1"/>
      <c r="E415" s="1"/>
      <c r="F415" s="1"/>
      <c r="G415" s="1"/>
    </row>
    <row r="416" spans="2:7" x14ac:dyDescent="0.25">
      <c r="B416" s="1"/>
      <c r="C416" s="1"/>
      <c r="D416" s="1"/>
      <c r="E416" s="1"/>
      <c r="F416" s="1"/>
      <c r="G416" s="1"/>
    </row>
    <row r="417" spans="2:7" x14ac:dyDescent="0.25">
      <c r="B417" s="1"/>
      <c r="C417" s="1"/>
      <c r="D417" s="1"/>
      <c r="E417" s="1"/>
      <c r="F417" s="1"/>
      <c r="G417" s="1"/>
    </row>
    <row r="418" spans="2:7" x14ac:dyDescent="0.25">
      <c r="B418" s="1"/>
      <c r="C418" s="1"/>
      <c r="D418" s="1"/>
      <c r="E418" s="1"/>
      <c r="F418" s="1"/>
      <c r="G418" s="1"/>
    </row>
    <row r="419" spans="2:7" x14ac:dyDescent="0.25">
      <c r="B419" s="1"/>
      <c r="C419" s="1"/>
      <c r="D419" s="1"/>
      <c r="E419" s="1"/>
      <c r="F419" s="1"/>
      <c r="G419" s="1"/>
    </row>
    <row r="420" spans="2:7" x14ac:dyDescent="0.25">
      <c r="B420" s="1"/>
      <c r="C420" s="1"/>
      <c r="D420" s="1"/>
      <c r="E420" s="1"/>
      <c r="F420" s="1"/>
      <c r="G420" s="1"/>
    </row>
    <row r="421" spans="2:7" x14ac:dyDescent="0.25">
      <c r="B421" s="1"/>
      <c r="C421" s="1"/>
      <c r="D421" s="1"/>
      <c r="E421" s="1"/>
      <c r="F421" s="1"/>
      <c r="G421" s="1"/>
    </row>
    <row r="422" spans="2:7" x14ac:dyDescent="0.25">
      <c r="B422" s="1"/>
      <c r="C422" s="1"/>
      <c r="D422" s="1"/>
      <c r="E422" s="1"/>
      <c r="F422" s="1"/>
      <c r="G422" s="1"/>
    </row>
    <row r="423" spans="2:7" x14ac:dyDescent="0.25">
      <c r="B423" s="1"/>
      <c r="C423" s="1"/>
      <c r="D423" s="1"/>
      <c r="E423" s="1"/>
      <c r="F423" s="1"/>
      <c r="G423" s="1"/>
    </row>
    <row r="424" spans="2:7" x14ac:dyDescent="0.25">
      <c r="B424" s="1"/>
      <c r="C424" s="1"/>
      <c r="D424" s="1"/>
      <c r="E424" s="1"/>
      <c r="F424" s="1"/>
      <c r="G424" s="1"/>
    </row>
    <row r="425" spans="2:7" x14ac:dyDescent="0.25">
      <c r="B425" s="1"/>
      <c r="C425" s="1"/>
      <c r="D425" s="1"/>
      <c r="E425" s="1"/>
      <c r="F425" s="1"/>
      <c r="G425" s="1"/>
    </row>
    <row r="426" spans="2:7" x14ac:dyDescent="0.25">
      <c r="B426" s="1"/>
      <c r="C426" s="1"/>
      <c r="D426" s="1"/>
      <c r="E426" s="1"/>
      <c r="F426" s="1"/>
      <c r="G426" s="1"/>
    </row>
    <row r="427" spans="2:7" x14ac:dyDescent="0.25">
      <c r="B427" s="1"/>
      <c r="C427" s="1"/>
      <c r="D427" s="1"/>
      <c r="E427" s="1"/>
      <c r="F427" s="1"/>
      <c r="G427" s="1"/>
    </row>
    <row r="428" spans="2:7" x14ac:dyDescent="0.25">
      <c r="B428" s="1"/>
      <c r="C428" s="1"/>
      <c r="D428" s="1"/>
      <c r="E428" s="1"/>
      <c r="F428" s="1"/>
      <c r="G428" s="1"/>
    </row>
    <row r="429" spans="2:7" x14ac:dyDescent="0.25">
      <c r="B429" s="1"/>
      <c r="C429" s="1"/>
      <c r="D429" s="1"/>
      <c r="E429" s="1"/>
      <c r="F429" s="1"/>
      <c r="G429" s="1"/>
    </row>
    <row r="430" spans="2:7" x14ac:dyDescent="0.25">
      <c r="B430" s="1"/>
      <c r="C430" s="1"/>
      <c r="D430" s="1"/>
      <c r="E430" s="1"/>
      <c r="F430" s="1"/>
      <c r="G430" s="1"/>
    </row>
    <row r="431" spans="2:7" x14ac:dyDescent="0.25">
      <c r="B431" s="1"/>
      <c r="C431" s="1"/>
      <c r="D431" s="1"/>
      <c r="E431" s="1"/>
      <c r="F431" s="1"/>
      <c r="G431" s="1"/>
    </row>
    <row r="432" spans="2:7" x14ac:dyDescent="0.25">
      <c r="B432" s="1"/>
      <c r="C432" s="1"/>
      <c r="D432" s="1"/>
      <c r="E432" s="1"/>
      <c r="F432" s="1"/>
      <c r="G432" s="1"/>
    </row>
    <row r="433" spans="2:7" x14ac:dyDescent="0.25">
      <c r="B433" s="1"/>
      <c r="C433" s="1"/>
      <c r="D433" s="1"/>
      <c r="E433" s="1"/>
      <c r="F433" s="1"/>
      <c r="G433" s="1"/>
    </row>
    <row r="434" spans="2:7" x14ac:dyDescent="0.25">
      <c r="B434" s="1"/>
      <c r="C434" s="1"/>
      <c r="D434" s="1"/>
      <c r="E434" s="1"/>
      <c r="F434" s="1"/>
      <c r="G434" s="1"/>
    </row>
    <row r="435" spans="2:7" x14ac:dyDescent="0.25">
      <c r="B435" s="1"/>
      <c r="C435" s="1"/>
      <c r="D435" s="1"/>
      <c r="E435" s="1"/>
      <c r="F435" s="1"/>
      <c r="G435" s="1"/>
    </row>
    <row r="436" spans="2:7" x14ac:dyDescent="0.25">
      <c r="B436" s="1"/>
      <c r="C436" s="1"/>
      <c r="D436" s="1"/>
      <c r="E436" s="1"/>
      <c r="F436" s="1"/>
      <c r="G436" s="1"/>
    </row>
    <row r="437" spans="2:7" x14ac:dyDescent="0.25">
      <c r="B437" s="1"/>
      <c r="C437" s="1"/>
      <c r="D437" s="1"/>
      <c r="E437" s="1"/>
      <c r="F437" s="1"/>
      <c r="G437" s="1"/>
    </row>
    <row r="438" spans="2:7" x14ac:dyDescent="0.25">
      <c r="B438" s="1"/>
      <c r="C438" s="1"/>
      <c r="D438" s="1"/>
      <c r="E438" s="1"/>
      <c r="F438" s="1"/>
      <c r="G438" s="1"/>
    </row>
    <row r="439" spans="2:7" x14ac:dyDescent="0.25">
      <c r="B439" s="1"/>
      <c r="C439" s="1"/>
      <c r="D439" s="1"/>
      <c r="E439" s="1"/>
      <c r="F439" s="1"/>
      <c r="G439" s="1"/>
    </row>
    <row r="440" spans="2:7" x14ac:dyDescent="0.25">
      <c r="B440" s="1"/>
      <c r="C440" s="1"/>
      <c r="D440" s="1"/>
      <c r="E440" s="1"/>
      <c r="F440" s="1"/>
      <c r="G440" s="1"/>
    </row>
    <row r="441" spans="2:7" x14ac:dyDescent="0.25">
      <c r="B441" s="1"/>
      <c r="C441" s="1"/>
      <c r="D441" s="1"/>
      <c r="E441" s="1"/>
      <c r="F441" s="1"/>
      <c r="G441" s="1"/>
    </row>
    <row r="442" spans="2:7" x14ac:dyDescent="0.25">
      <c r="B442" s="1"/>
      <c r="C442" s="1"/>
      <c r="D442" s="1"/>
      <c r="E442" s="1"/>
      <c r="F442" s="1"/>
      <c r="G442" s="1"/>
    </row>
    <row r="443" spans="2:7" x14ac:dyDescent="0.25">
      <c r="B443" s="1"/>
      <c r="C443" s="1"/>
      <c r="D443" s="1"/>
      <c r="E443" s="1"/>
      <c r="F443" s="1"/>
      <c r="G443" s="1"/>
    </row>
    <row r="444" spans="2:7" x14ac:dyDescent="0.25">
      <c r="B444" s="1"/>
      <c r="C444" s="1"/>
      <c r="D444" s="1"/>
      <c r="E444" s="1"/>
      <c r="F444" s="1"/>
      <c r="G444" s="1"/>
    </row>
    <row r="445" spans="2:7" x14ac:dyDescent="0.25">
      <c r="B445" s="1"/>
      <c r="C445" s="1"/>
      <c r="D445" s="1"/>
      <c r="E445" s="1"/>
      <c r="F445" s="1"/>
      <c r="G445" s="1"/>
    </row>
    <row r="446" spans="2:7" x14ac:dyDescent="0.25">
      <c r="B446" s="1"/>
      <c r="C446" s="1"/>
      <c r="D446" s="1"/>
      <c r="E446" s="1"/>
      <c r="F446" s="1"/>
      <c r="G446" s="1"/>
    </row>
    <row r="447" spans="2:7" x14ac:dyDescent="0.25">
      <c r="B447" s="1"/>
      <c r="C447" s="1"/>
      <c r="D447" s="1"/>
      <c r="E447" s="1"/>
      <c r="F447" s="1"/>
      <c r="G447" s="1"/>
    </row>
    <row r="448" spans="2:7" x14ac:dyDescent="0.25">
      <c r="B448" s="1"/>
      <c r="C448" s="1"/>
      <c r="D448" s="1"/>
      <c r="E448" s="1"/>
      <c r="F448" s="1"/>
      <c r="G448" s="1"/>
    </row>
    <row r="449" spans="2:7" x14ac:dyDescent="0.25">
      <c r="B449" s="1"/>
      <c r="C449" s="1"/>
      <c r="D449" s="1"/>
      <c r="E449" s="1"/>
      <c r="F449" s="1"/>
      <c r="G449" s="1"/>
    </row>
    <row r="450" spans="2:7" x14ac:dyDescent="0.25">
      <c r="B450" s="1"/>
      <c r="C450" s="1"/>
      <c r="D450" s="1"/>
      <c r="E450" s="1"/>
      <c r="F450" s="1"/>
      <c r="G450" s="1"/>
    </row>
    <row r="451" spans="2:7" x14ac:dyDescent="0.25">
      <c r="B451" s="1"/>
      <c r="C451" s="1"/>
      <c r="D451" s="1"/>
      <c r="E451" s="1"/>
      <c r="F451" s="1"/>
      <c r="G451" s="1"/>
    </row>
    <row r="452" spans="2:7" x14ac:dyDescent="0.25">
      <c r="B452" s="1"/>
      <c r="C452" s="1"/>
      <c r="D452" s="1"/>
      <c r="E452" s="1"/>
      <c r="F452" s="1"/>
      <c r="G452" s="1"/>
    </row>
    <row r="453" spans="2:7" x14ac:dyDescent="0.25">
      <c r="B453" s="1"/>
      <c r="C453" s="1"/>
      <c r="D453" s="1"/>
      <c r="E453" s="1"/>
      <c r="F453" s="1"/>
      <c r="G453" s="1"/>
    </row>
    <row r="454" spans="2:7" x14ac:dyDescent="0.25">
      <c r="B454" s="1"/>
      <c r="C454" s="1"/>
      <c r="D454" s="1"/>
      <c r="E454" s="1"/>
      <c r="F454" s="1"/>
      <c r="G454" s="1"/>
    </row>
    <row r="455" spans="2:7" x14ac:dyDescent="0.25">
      <c r="B455" s="1"/>
      <c r="C455" s="1"/>
      <c r="D455" s="1"/>
      <c r="E455" s="1"/>
      <c r="F455" s="1"/>
      <c r="G455" s="1"/>
    </row>
    <row r="456" spans="2:7" x14ac:dyDescent="0.25">
      <c r="B456" s="1"/>
      <c r="C456" s="1"/>
      <c r="D456" s="1"/>
      <c r="E456" s="1"/>
      <c r="F456" s="1"/>
      <c r="G456" s="1"/>
    </row>
    <row r="457" spans="2:7" x14ac:dyDescent="0.25">
      <c r="B457" s="1"/>
      <c r="C457" s="1"/>
      <c r="D457" s="1"/>
      <c r="E457" s="1"/>
      <c r="F457" s="1"/>
      <c r="G457" s="1"/>
    </row>
    <row r="458" spans="2:7" x14ac:dyDescent="0.25">
      <c r="B458" s="1"/>
      <c r="C458" s="1"/>
      <c r="D458" s="1"/>
      <c r="E458" s="1"/>
      <c r="F458" s="1"/>
      <c r="G458" s="1"/>
    </row>
    <row r="459" spans="2:7" x14ac:dyDescent="0.25">
      <c r="B459" s="1"/>
      <c r="C459" s="1"/>
      <c r="D459" s="1"/>
      <c r="E459" s="1"/>
      <c r="F459" s="1"/>
      <c r="G459" s="1"/>
    </row>
    <row r="460" spans="2:7" x14ac:dyDescent="0.25">
      <c r="B460" s="1"/>
      <c r="C460" s="1"/>
      <c r="D460" s="1"/>
      <c r="E460" s="1"/>
      <c r="F460" s="1"/>
      <c r="G460" s="1"/>
    </row>
    <row r="461" spans="2:7" x14ac:dyDescent="0.25">
      <c r="B461" s="1"/>
      <c r="C461" s="1"/>
      <c r="D461" s="1"/>
      <c r="E461" s="1"/>
      <c r="F461" s="1"/>
      <c r="G461" s="1"/>
    </row>
    <row r="462" spans="2:7" x14ac:dyDescent="0.25">
      <c r="B462" s="1"/>
      <c r="C462" s="1"/>
      <c r="D462" s="1"/>
      <c r="E462" s="1"/>
      <c r="F462" s="1"/>
      <c r="G462" s="1"/>
    </row>
    <row r="463" spans="2:7" x14ac:dyDescent="0.25">
      <c r="B463" s="1"/>
      <c r="C463" s="1"/>
      <c r="D463" s="1"/>
      <c r="E463" s="1"/>
      <c r="F463" s="1"/>
      <c r="G463" s="1"/>
    </row>
    <row r="464" spans="2:7" x14ac:dyDescent="0.25">
      <c r="B464" s="1"/>
      <c r="C464" s="1"/>
      <c r="D464" s="1"/>
      <c r="E464" s="1"/>
      <c r="F464" s="1"/>
      <c r="G464" s="1"/>
    </row>
    <row r="465" spans="2:7" x14ac:dyDescent="0.25">
      <c r="B465" s="1"/>
      <c r="C465" s="1"/>
      <c r="D465" s="1"/>
      <c r="E465" s="1"/>
      <c r="F465" s="1"/>
      <c r="G465" s="1"/>
    </row>
    <row r="466" spans="2:7" x14ac:dyDescent="0.25">
      <c r="B466" s="1"/>
      <c r="C466" s="1"/>
      <c r="D466" s="1"/>
      <c r="E466" s="1"/>
      <c r="F466" s="1"/>
      <c r="G466" s="1"/>
    </row>
    <row r="467" spans="2:7" x14ac:dyDescent="0.25">
      <c r="B467" s="1"/>
      <c r="C467" s="1"/>
      <c r="D467" s="1"/>
      <c r="E467" s="1"/>
      <c r="F467" s="1"/>
      <c r="G467" s="1"/>
    </row>
    <row r="468" spans="2:7" x14ac:dyDescent="0.25">
      <c r="B468" s="1"/>
      <c r="C468" s="1"/>
      <c r="D468" s="1"/>
      <c r="E468" s="1"/>
      <c r="F468" s="1"/>
      <c r="G468" s="1"/>
    </row>
    <row r="469" spans="2:7" x14ac:dyDescent="0.25">
      <c r="B469" s="1"/>
      <c r="C469" s="1"/>
      <c r="D469" s="1"/>
      <c r="E469" s="1"/>
      <c r="F469" s="1"/>
      <c r="G469" s="1"/>
    </row>
    <row r="470" spans="2:7" x14ac:dyDescent="0.25">
      <c r="B470" s="1"/>
      <c r="C470" s="1"/>
      <c r="D470" s="1"/>
      <c r="E470" s="1"/>
      <c r="F470" s="1"/>
      <c r="G470" s="1"/>
    </row>
    <row r="471" spans="2:7" x14ac:dyDescent="0.25">
      <c r="B471" s="1"/>
      <c r="C471" s="1"/>
      <c r="D471" s="1"/>
      <c r="E471" s="1"/>
      <c r="F471" s="1"/>
      <c r="G471" s="1"/>
    </row>
    <row r="472" spans="2:7" x14ac:dyDescent="0.25">
      <c r="B472" s="1"/>
      <c r="C472" s="1"/>
      <c r="D472" s="1"/>
      <c r="E472" s="1"/>
      <c r="F472" s="1"/>
      <c r="G472" s="1"/>
    </row>
    <row r="473" spans="2:7" x14ac:dyDescent="0.25">
      <c r="B473" s="1"/>
      <c r="C473" s="1"/>
      <c r="D473" s="1"/>
      <c r="E473" s="1"/>
      <c r="F473" s="1"/>
      <c r="G473" s="1"/>
    </row>
    <row r="474" spans="2:7" x14ac:dyDescent="0.25">
      <c r="B474" s="1"/>
      <c r="C474" s="1"/>
      <c r="D474" s="1"/>
      <c r="E474" s="1"/>
      <c r="F474" s="1"/>
      <c r="G474" s="1"/>
    </row>
    <row r="475" spans="2:7" x14ac:dyDescent="0.25">
      <c r="B475" s="1"/>
      <c r="C475" s="1"/>
      <c r="D475" s="1"/>
      <c r="E475" s="1"/>
      <c r="F475" s="1"/>
      <c r="G475" s="1"/>
    </row>
    <row r="476" spans="2:7" x14ac:dyDescent="0.25">
      <c r="B476" s="1"/>
      <c r="C476" s="1"/>
      <c r="D476" s="1"/>
      <c r="E476" s="1"/>
      <c r="F476" s="1"/>
      <c r="G476" s="1"/>
    </row>
    <row r="477" spans="2:7" x14ac:dyDescent="0.25">
      <c r="B477" s="1"/>
      <c r="C477" s="1"/>
      <c r="D477" s="1"/>
      <c r="E477" s="1"/>
      <c r="F477" s="1"/>
      <c r="G477" s="1"/>
    </row>
    <row r="478" spans="2:7" x14ac:dyDescent="0.25">
      <c r="B478" s="1"/>
      <c r="C478" s="1"/>
      <c r="D478" s="1"/>
      <c r="E478" s="1"/>
      <c r="F478" s="1"/>
      <c r="G478" s="1"/>
    </row>
    <row r="479" spans="2:7" x14ac:dyDescent="0.25">
      <c r="B479" s="1"/>
      <c r="C479" s="1"/>
      <c r="D479" s="1"/>
      <c r="E479" s="1"/>
      <c r="F479" s="1"/>
      <c r="G479" s="1"/>
    </row>
    <row r="480" spans="2:7" x14ac:dyDescent="0.25">
      <c r="B480" s="1"/>
      <c r="C480" s="1"/>
      <c r="D480" s="1"/>
      <c r="E480" s="1"/>
      <c r="F480" s="1"/>
      <c r="G480" s="1"/>
    </row>
    <row r="481" spans="2:7" x14ac:dyDescent="0.25">
      <c r="B481" s="1"/>
      <c r="C481" s="1"/>
      <c r="D481" s="1"/>
      <c r="E481" s="1"/>
      <c r="F481" s="1"/>
      <c r="G481" s="1"/>
    </row>
    <row r="482" spans="2:7" x14ac:dyDescent="0.25">
      <c r="B482" s="1"/>
      <c r="C482" s="1"/>
      <c r="D482" s="1"/>
      <c r="E482" s="1"/>
      <c r="F482" s="1"/>
      <c r="G482" s="1"/>
    </row>
    <row r="483" spans="2:7" x14ac:dyDescent="0.25">
      <c r="B483" s="1"/>
      <c r="C483" s="1"/>
      <c r="D483" s="1"/>
      <c r="E483" s="1"/>
      <c r="F483" s="1"/>
      <c r="G483" s="1"/>
    </row>
    <row r="484" spans="2:7" x14ac:dyDescent="0.25">
      <c r="B484" s="1"/>
      <c r="C484" s="1"/>
      <c r="D484" s="1"/>
      <c r="E484" s="1"/>
      <c r="F484" s="1"/>
      <c r="G484" s="1"/>
    </row>
    <row r="485" spans="2:7" x14ac:dyDescent="0.25">
      <c r="B485" s="1"/>
      <c r="C485" s="1"/>
      <c r="D485" s="1"/>
      <c r="E485" s="1"/>
      <c r="F485" s="1"/>
      <c r="G485" s="1"/>
    </row>
    <row r="486" spans="2:7" x14ac:dyDescent="0.25">
      <c r="B486" s="1"/>
      <c r="C486" s="1"/>
      <c r="D486" s="1"/>
      <c r="E486" s="1"/>
      <c r="F486" s="1"/>
      <c r="G486" s="1"/>
    </row>
    <row r="487" spans="2:7" x14ac:dyDescent="0.25">
      <c r="B487" s="1"/>
      <c r="C487" s="1"/>
      <c r="D487" s="1"/>
      <c r="E487" s="1"/>
      <c r="F487" s="1"/>
      <c r="G487" s="1"/>
    </row>
    <row r="488" spans="2:7" x14ac:dyDescent="0.25">
      <c r="B488" s="1"/>
      <c r="C488" s="1"/>
      <c r="D488" s="1"/>
      <c r="E488" s="1"/>
      <c r="F488" s="1"/>
      <c r="G488" s="1"/>
    </row>
    <row r="489" spans="2:7" x14ac:dyDescent="0.25">
      <c r="B489" s="1"/>
      <c r="C489" s="1"/>
      <c r="D489" s="1"/>
      <c r="E489" s="1"/>
      <c r="F489" s="1"/>
      <c r="G489" s="1"/>
    </row>
    <row r="490" spans="2:7" x14ac:dyDescent="0.25">
      <c r="B490" s="1"/>
      <c r="C490" s="1"/>
      <c r="D490" s="1"/>
      <c r="E490" s="1"/>
      <c r="F490" s="1"/>
      <c r="G490" s="1"/>
    </row>
    <row r="491" spans="2:7" x14ac:dyDescent="0.25">
      <c r="B491" s="1"/>
      <c r="C491" s="1"/>
      <c r="D491" s="1"/>
      <c r="E491" s="1"/>
      <c r="F491" s="1"/>
      <c r="G491" s="1"/>
    </row>
    <row r="492" spans="2:7" x14ac:dyDescent="0.25">
      <c r="B492" s="1"/>
      <c r="C492" s="1"/>
      <c r="D492" s="1"/>
      <c r="E492" s="1"/>
      <c r="F492" s="1"/>
      <c r="G492" s="1"/>
    </row>
    <row r="493" spans="2:7" x14ac:dyDescent="0.25">
      <c r="B493" s="1"/>
      <c r="C493" s="1"/>
      <c r="D493" s="1"/>
      <c r="E493" s="1"/>
      <c r="F493" s="1"/>
      <c r="G493" s="1"/>
    </row>
    <row r="494" spans="2:7" x14ac:dyDescent="0.25">
      <c r="B494" s="1"/>
      <c r="C494" s="1"/>
      <c r="D494" s="1"/>
      <c r="E494" s="1"/>
      <c r="F494" s="1"/>
      <c r="G494" s="1"/>
    </row>
    <row r="495" spans="2:7" x14ac:dyDescent="0.25">
      <c r="B495" s="1"/>
      <c r="C495" s="1"/>
      <c r="D495" s="1"/>
      <c r="E495" s="1"/>
      <c r="F495" s="1"/>
      <c r="G495" s="1"/>
    </row>
    <row r="496" spans="2:7" x14ac:dyDescent="0.25">
      <c r="B496" s="1"/>
      <c r="C496" s="1"/>
      <c r="D496" s="1"/>
      <c r="E496" s="1"/>
      <c r="F496" s="1"/>
      <c r="G496" s="1"/>
    </row>
    <row r="497" spans="2:7" x14ac:dyDescent="0.25">
      <c r="B497" s="1"/>
      <c r="C497" s="1"/>
      <c r="D497" s="1"/>
      <c r="E497" s="1"/>
      <c r="F497" s="1"/>
      <c r="G497" s="1"/>
    </row>
    <row r="498" spans="2:7" x14ac:dyDescent="0.25">
      <c r="B498" s="1"/>
      <c r="C498" s="1"/>
      <c r="D498" s="1"/>
      <c r="E498" s="1"/>
      <c r="F498" s="1"/>
      <c r="G498" s="1"/>
    </row>
    <row r="499" spans="2:7" x14ac:dyDescent="0.25">
      <c r="B499" s="1"/>
      <c r="C499" s="1"/>
      <c r="D499" s="1"/>
      <c r="E499" s="1"/>
      <c r="F499" s="1"/>
      <c r="G499" s="1"/>
    </row>
    <row r="500" spans="2:7" x14ac:dyDescent="0.25">
      <c r="B500" s="1"/>
      <c r="C500" s="1"/>
      <c r="D500" s="1"/>
      <c r="E500" s="1"/>
      <c r="F500" s="1"/>
      <c r="G500" s="1"/>
    </row>
    <row r="501" spans="2:7" x14ac:dyDescent="0.25">
      <c r="B501" s="1"/>
      <c r="C501" s="1"/>
      <c r="D501" s="1"/>
      <c r="E501" s="1"/>
      <c r="F501" s="1"/>
      <c r="G501" s="1"/>
    </row>
    <row r="502" spans="2:7" x14ac:dyDescent="0.25">
      <c r="B502" s="1"/>
      <c r="C502" s="1"/>
      <c r="D502" s="1"/>
      <c r="E502" s="1"/>
      <c r="F502" s="1"/>
      <c r="G502" s="1"/>
    </row>
    <row r="503" spans="2:7" x14ac:dyDescent="0.25">
      <c r="B503" s="1"/>
      <c r="C503" s="1"/>
      <c r="D503" s="1"/>
      <c r="E503" s="1"/>
      <c r="F503" s="1"/>
      <c r="G503" s="1"/>
    </row>
    <row r="504" spans="2:7" x14ac:dyDescent="0.25">
      <c r="B504" s="1"/>
      <c r="C504" s="1"/>
      <c r="D504" s="1"/>
      <c r="E504" s="1"/>
      <c r="F504" s="1"/>
      <c r="G504" s="1"/>
    </row>
    <row r="505" spans="2:7" x14ac:dyDescent="0.25">
      <c r="B505" s="1"/>
      <c r="C505" s="1"/>
      <c r="D505" s="1"/>
      <c r="E505" s="1"/>
      <c r="F505" s="1"/>
      <c r="G505" s="1"/>
    </row>
    <row r="506" spans="2:7" x14ac:dyDescent="0.25">
      <c r="B506" s="1"/>
      <c r="C506" s="1"/>
      <c r="D506" s="1"/>
      <c r="E506" s="1"/>
      <c r="F506" s="1"/>
      <c r="G506" s="1"/>
    </row>
    <row r="507" spans="2:7" x14ac:dyDescent="0.25">
      <c r="B507" s="1"/>
      <c r="C507" s="1"/>
      <c r="D507" s="1"/>
      <c r="E507" s="1"/>
      <c r="F507" s="1"/>
      <c r="G507" s="1"/>
    </row>
    <row r="508" spans="2:7" x14ac:dyDescent="0.25">
      <c r="B508" s="1"/>
      <c r="C508" s="1"/>
      <c r="D508" s="1"/>
      <c r="E508" s="1"/>
      <c r="F508" s="1"/>
      <c r="G508" s="1"/>
    </row>
    <row r="509" spans="2:7" x14ac:dyDescent="0.25">
      <c r="B509" s="1"/>
      <c r="C509" s="1"/>
      <c r="D509" s="1"/>
      <c r="E509" s="1"/>
      <c r="F509" s="1"/>
      <c r="G509" s="1"/>
    </row>
    <row r="510" spans="2:7" x14ac:dyDescent="0.25">
      <c r="B510" s="1"/>
      <c r="C510" s="1"/>
      <c r="D510" s="1"/>
      <c r="E510" s="1"/>
      <c r="F510" s="1"/>
      <c r="G510" s="1"/>
    </row>
    <row r="511" spans="2:7" x14ac:dyDescent="0.25">
      <c r="B511" s="1"/>
      <c r="C511" s="1"/>
      <c r="D511" s="1"/>
      <c r="E511" s="1"/>
      <c r="F511" s="1"/>
      <c r="G511" s="1"/>
    </row>
    <row r="512" spans="2:7" x14ac:dyDescent="0.25">
      <c r="B512" s="1"/>
      <c r="C512" s="1"/>
      <c r="D512" s="1"/>
      <c r="E512" s="1"/>
      <c r="F512" s="1"/>
      <c r="G512" s="1"/>
    </row>
    <row r="513" spans="2:7" x14ac:dyDescent="0.25">
      <c r="B513" s="1"/>
      <c r="C513" s="1"/>
      <c r="D513" s="1"/>
      <c r="E513" s="1"/>
      <c r="F513" s="1"/>
      <c r="G513" s="1"/>
    </row>
    <row r="514" spans="2:7" x14ac:dyDescent="0.25">
      <c r="B514" s="1"/>
      <c r="C514" s="1"/>
      <c r="D514" s="1"/>
      <c r="E514" s="1"/>
      <c r="F514" s="1"/>
      <c r="G514" s="1"/>
    </row>
    <row r="515" spans="2:7" x14ac:dyDescent="0.25">
      <c r="B515" s="1"/>
      <c r="C515" s="1"/>
      <c r="D515" s="1"/>
      <c r="E515" s="1"/>
      <c r="F515" s="1"/>
      <c r="G515" s="1"/>
    </row>
    <row r="516" spans="2:7" x14ac:dyDescent="0.25">
      <c r="B516" s="1"/>
      <c r="C516" s="1"/>
      <c r="D516" s="1"/>
      <c r="E516" s="1"/>
      <c r="F516" s="1"/>
      <c r="G516" s="1"/>
    </row>
    <row r="517" spans="2:7" x14ac:dyDescent="0.25">
      <c r="B517" s="1"/>
      <c r="C517" s="1"/>
      <c r="D517" s="1"/>
      <c r="E517" s="1"/>
      <c r="F517" s="1"/>
      <c r="G517" s="1"/>
    </row>
    <row r="518" spans="2:7" x14ac:dyDescent="0.25">
      <c r="B518" s="1"/>
      <c r="C518" s="1"/>
      <c r="D518" s="1"/>
      <c r="E518" s="1"/>
      <c r="F518" s="1"/>
      <c r="G518" s="1"/>
    </row>
    <row r="519" spans="2:7" x14ac:dyDescent="0.25">
      <c r="B519" s="1"/>
      <c r="C519" s="1"/>
      <c r="D519" s="1"/>
      <c r="E519" s="1"/>
      <c r="F519" s="1"/>
      <c r="G519" s="1"/>
    </row>
    <row r="520" spans="2:7" x14ac:dyDescent="0.25">
      <c r="B520" s="1"/>
      <c r="C520" s="1"/>
      <c r="D520" s="1"/>
      <c r="E520" s="1"/>
      <c r="F520" s="1"/>
      <c r="G520" s="1"/>
    </row>
    <row r="521" spans="2:7" x14ac:dyDescent="0.25">
      <c r="B521" s="1"/>
      <c r="C521" s="1"/>
      <c r="D521" s="1"/>
      <c r="E521" s="1"/>
      <c r="F521" s="1"/>
      <c r="G521" s="1"/>
    </row>
    <row r="522" spans="2:7" x14ac:dyDescent="0.25">
      <c r="B522" s="1"/>
      <c r="C522" s="1"/>
      <c r="D522" s="1"/>
      <c r="E522" s="1"/>
      <c r="F522" s="1"/>
      <c r="G522" s="1"/>
    </row>
    <row r="523" spans="2:7" x14ac:dyDescent="0.25">
      <c r="B523" s="1"/>
      <c r="C523" s="1"/>
      <c r="D523" s="1"/>
      <c r="E523" s="1"/>
      <c r="F523" s="1"/>
      <c r="G523" s="1"/>
    </row>
    <row r="524" spans="2:7" x14ac:dyDescent="0.25">
      <c r="B524" s="1"/>
      <c r="C524" s="1"/>
      <c r="D524" s="1"/>
      <c r="E524" s="1"/>
      <c r="F524" s="1"/>
      <c r="G524" s="1"/>
    </row>
    <row r="525" spans="2:7" x14ac:dyDescent="0.25">
      <c r="B525" s="1"/>
      <c r="C525" s="1"/>
      <c r="D525" s="1"/>
      <c r="E525" s="1"/>
      <c r="F525" s="1"/>
      <c r="G525" s="1"/>
    </row>
    <row r="526" spans="2:7" x14ac:dyDescent="0.25">
      <c r="B526" s="1"/>
      <c r="C526" s="1"/>
      <c r="D526" s="1"/>
      <c r="E526" s="1"/>
      <c r="F526" s="1"/>
      <c r="G526" s="1"/>
    </row>
    <row r="527" spans="2:7" x14ac:dyDescent="0.25">
      <c r="B527" s="1"/>
      <c r="C527" s="1"/>
      <c r="D527" s="1"/>
      <c r="E527" s="1"/>
      <c r="F527" s="1"/>
      <c r="G527" s="1"/>
    </row>
    <row r="528" spans="2:7" x14ac:dyDescent="0.25">
      <c r="B528" s="1"/>
      <c r="C528" s="1"/>
      <c r="D528" s="1"/>
      <c r="E528" s="1"/>
      <c r="F528" s="1"/>
      <c r="G528" s="1"/>
    </row>
    <row r="529" spans="2:7" x14ac:dyDescent="0.25">
      <c r="B529" s="1"/>
      <c r="C529" s="1"/>
      <c r="D529" s="1"/>
      <c r="E529" s="1"/>
      <c r="F529" s="1"/>
      <c r="G529" s="1"/>
    </row>
    <row r="530" spans="2:7" x14ac:dyDescent="0.25">
      <c r="B530" s="1"/>
      <c r="C530" s="1"/>
      <c r="D530" s="1"/>
      <c r="E530" s="1"/>
      <c r="F530" s="1"/>
      <c r="G530" s="1"/>
    </row>
    <row r="531" spans="2:7" x14ac:dyDescent="0.25">
      <c r="B531" s="1"/>
      <c r="C531" s="1"/>
      <c r="D531" s="1"/>
      <c r="E531" s="1"/>
      <c r="F531" s="1"/>
      <c r="G531" s="1"/>
    </row>
    <row r="532" spans="2:7" x14ac:dyDescent="0.25">
      <c r="B532" s="1"/>
      <c r="C532" s="1"/>
      <c r="D532" s="1"/>
      <c r="E532" s="1"/>
      <c r="F532" s="1"/>
      <c r="G532" s="1"/>
    </row>
    <row r="533" spans="2:7" x14ac:dyDescent="0.25">
      <c r="B533" s="1"/>
      <c r="C533" s="1"/>
      <c r="D533" s="1"/>
      <c r="E533" s="1"/>
      <c r="F533" s="1"/>
      <c r="G533" s="1"/>
    </row>
    <row r="534" spans="2:7" x14ac:dyDescent="0.25">
      <c r="B534" s="1"/>
      <c r="C534" s="1"/>
      <c r="D534" s="1"/>
      <c r="E534" s="1"/>
      <c r="F534" s="1"/>
      <c r="G534" s="1"/>
    </row>
    <row r="535" spans="2:7" x14ac:dyDescent="0.25">
      <c r="B535" s="1"/>
      <c r="C535" s="1"/>
      <c r="D535" s="1"/>
      <c r="E535" s="1"/>
      <c r="F535" s="1"/>
      <c r="G535" s="1"/>
    </row>
    <row r="536" spans="2:7" x14ac:dyDescent="0.25">
      <c r="B536" s="1"/>
      <c r="C536" s="1"/>
      <c r="D536" s="1"/>
      <c r="E536" s="1"/>
      <c r="F536" s="1"/>
      <c r="G536" s="1"/>
    </row>
    <row r="537" spans="2:7" x14ac:dyDescent="0.25">
      <c r="B537" s="1"/>
      <c r="C537" s="1"/>
      <c r="D537" s="1"/>
      <c r="E537" s="1"/>
      <c r="F537" s="1"/>
      <c r="G537" s="1"/>
    </row>
    <row r="538" spans="2:7" x14ac:dyDescent="0.25">
      <c r="B538" s="1"/>
      <c r="C538" s="1"/>
      <c r="D538" s="1"/>
      <c r="E538" s="1"/>
      <c r="F538" s="1"/>
      <c r="G538" s="1"/>
    </row>
    <row r="539" spans="2:7" x14ac:dyDescent="0.25">
      <c r="B539" s="1"/>
      <c r="C539" s="1"/>
      <c r="D539" s="1"/>
      <c r="E539" s="1"/>
      <c r="F539" s="1"/>
      <c r="G539" s="1"/>
    </row>
    <row r="540" spans="2:7" x14ac:dyDescent="0.25">
      <c r="B540" s="1"/>
      <c r="C540" s="1"/>
      <c r="D540" s="1"/>
      <c r="E540" s="1"/>
      <c r="F540" s="1"/>
      <c r="G540" s="1"/>
    </row>
    <row r="541" spans="2:7" x14ac:dyDescent="0.25">
      <c r="B541" s="1"/>
      <c r="C541" s="1"/>
      <c r="D541" s="1"/>
      <c r="E541" s="1"/>
      <c r="F541" s="1"/>
      <c r="G541" s="1"/>
    </row>
    <row r="542" spans="2:7" x14ac:dyDescent="0.25">
      <c r="B542" s="1"/>
      <c r="C542" s="1"/>
      <c r="D542" s="1"/>
      <c r="E542" s="1"/>
      <c r="F542" s="1"/>
      <c r="G542" s="1"/>
    </row>
    <row r="543" spans="2:7" x14ac:dyDescent="0.25">
      <c r="B543" s="1"/>
      <c r="C543" s="1"/>
      <c r="D543" s="1"/>
      <c r="E543" s="1"/>
      <c r="F543" s="1"/>
      <c r="G543" s="1"/>
    </row>
    <row r="544" spans="2:7" x14ac:dyDescent="0.25">
      <c r="B544" s="1"/>
      <c r="C544" s="1"/>
      <c r="D544" s="1"/>
      <c r="E544" s="1"/>
      <c r="F544" s="1"/>
      <c r="G544" s="1"/>
    </row>
    <row r="545" spans="2:7" x14ac:dyDescent="0.25">
      <c r="B545" s="1"/>
      <c r="C545" s="1"/>
      <c r="D545" s="1"/>
      <c r="E545" s="1"/>
      <c r="F545" s="1"/>
      <c r="G545" s="1"/>
    </row>
    <row r="546" spans="2:7" x14ac:dyDescent="0.25">
      <c r="B546" s="1"/>
      <c r="C546" s="1"/>
      <c r="D546" s="1"/>
      <c r="E546" s="1"/>
      <c r="F546" s="1"/>
      <c r="G546" s="1"/>
    </row>
    <row r="547" spans="2:7" x14ac:dyDescent="0.25">
      <c r="B547" s="1"/>
      <c r="C547" s="1"/>
      <c r="D547" s="1"/>
      <c r="E547" s="1"/>
      <c r="F547" s="1"/>
      <c r="G547" s="1"/>
    </row>
    <row r="548" spans="2:7" x14ac:dyDescent="0.25">
      <c r="B548" s="1"/>
      <c r="C548" s="1"/>
      <c r="D548" s="1"/>
      <c r="E548" s="1"/>
      <c r="F548" s="1"/>
      <c r="G548" s="1"/>
    </row>
    <row r="549" spans="2:7" x14ac:dyDescent="0.25">
      <c r="B549" s="1"/>
      <c r="C549" s="1"/>
      <c r="D549" s="1"/>
      <c r="E549" s="1"/>
      <c r="F549" s="1"/>
      <c r="G549" s="1"/>
    </row>
    <row r="550" spans="2:7" x14ac:dyDescent="0.25">
      <c r="B550" s="1"/>
      <c r="C550" s="1"/>
      <c r="D550" s="1"/>
      <c r="E550" s="1"/>
      <c r="F550" s="1"/>
      <c r="G550" s="1"/>
    </row>
    <row r="551" spans="2:7" x14ac:dyDescent="0.25">
      <c r="B551" s="1"/>
      <c r="C551" s="1"/>
      <c r="D551" s="1"/>
      <c r="E551" s="1"/>
      <c r="F551" s="1"/>
      <c r="G551" s="1"/>
    </row>
    <row r="552" spans="2:7" x14ac:dyDescent="0.25">
      <c r="B552" s="1"/>
      <c r="C552" s="1"/>
      <c r="D552" s="1"/>
      <c r="E552" s="1"/>
      <c r="F552" s="1"/>
      <c r="G552" s="1"/>
    </row>
    <row r="553" spans="2:7" x14ac:dyDescent="0.25">
      <c r="B553" s="1"/>
      <c r="C553" s="1"/>
      <c r="D553" s="1"/>
      <c r="E553" s="1"/>
      <c r="F553" s="1"/>
      <c r="G553" s="1"/>
    </row>
    <row r="554" spans="2:7" x14ac:dyDescent="0.25">
      <c r="B554" s="1"/>
      <c r="C554" s="1"/>
      <c r="D554" s="1"/>
      <c r="E554" s="1"/>
      <c r="F554" s="1"/>
      <c r="G554" s="1"/>
    </row>
    <row r="555" spans="2:7" x14ac:dyDescent="0.25">
      <c r="B555" s="1"/>
      <c r="C555" s="1"/>
      <c r="D555" s="1"/>
      <c r="E555" s="1"/>
      <c r="F555" s="1"/>
      <c r="G555" s="1"/>
    </row>
    <row r="556" spans="2:7" x14ac:dyDescent="0.25">
      <c r="B556" s="1"/>
      <c r="C556" s="1"/>
      <c r="D556" s="1"/>
      <c r="E556" s="1"/>
      <c r="F556" s="1"/>
      <c r="G556" s="1"/>
    </row>
    <row r="557" spans="2:7" x14ac:dyDescent="0.25">
      <c r="B557" s="1"/>
      <c r="C557" s="1"/>
      <c r="D557" s="1"/>
      <c r="E557" s="1"/>
      <c r="F557" s="1"/>
      <c r="G557" s="1"/>
    </row>
    <row r="558" spans="2:7" x14ac:dyDescent="0.25">
      <c r="B558" s="1"/>
      <c r="C558" s="1"/>
      <c r="D558" s="1"/>
      <c r="E558" s="1"/>
      <c r="F558" s="1"/>
      <c r="G558" s="1"/>
    </row>
    <row r="559" spans="2:7" x14ac:dyDescent="0.25">
      <c r="B559" s="1"/>
      <c r="C559" s="1"/>
      <c r="D559" s="1"/>
      <c r="E559" s="1"/>
      <c r="F559" s="1"/>
      <c r="G559" s="1"/>
    </row>
    <row r="560" spans="2:7" x14ac:dyDescent="0.25">
      <c r="B560" s="1"/>
      <c r="C560" s="1"/>
      <c r="D560" s="1"/>
      <c r="E560" s="1"/>
      <c r="F560" s="1"/>
      <c r="G560" s="1"/>
    </row>
    <row r="561" spans="2:7" x14ac:dyDescent="0.25">
      <c r="B561" s="1"/>
      <c r="C561" s="1"/>
      <c r="D561" s="1"/>
      <c r="E561" s="1"/>
      <c r="F561" s="1"/>
      <c r="G561" s="1"/>
    </row>
    <row r="562" spans="2:7" x14ac:dyDescent="0.25">
      <c r="B562" s="1"/>
      <c r="C562" s="1"/>
      <c r="D562" s="1"/>
      <c r="E562" s="1"/>
      <c r="F562" s="1"/>
      <c r="G562" s="1"/>
    </row>
    <row r="563" spans="2:7" x14ac:dyDescent="0.25">
      <c r="B563" s="1"/>
      <c r="C563" s="1"/>
      <c r="D563" s="1"/>
      <c r="E563" s="1"/>
      <c r="F563" s="1"/>
      <c r="G563" s="1"/>
    </row>
    <row r="564" spans="2:7" x14ac:dyDescent="0.25">
      <c r="B564" s="1"/>
      <c r="C564" s="1"/>
      <c r="D564" s="1"/>
      <c r="E564" s="1"/>
      <c r="F564" s="1"/>
      <c r="G564" s="1"/>
    </row>
    <row r="565" spans="2:7" x14ac:dyDescent="0.25">
      <c r="B565" s="1"/>
      <c r="C565" s="1"/>
      <c r="D565" s="1"/>
      <c r="E565" s="1"/>
      <c r="F565" s="1"/>
      <c r="G565" s="1"/>
    </row>
    <row r="566" spans="2:7" x14ac:dyDescent="0.25">
      <c r="B566" s="1"/>
      <c r="C566" s="1"/>
      <c r="D566" s="1"/>
      <c r="E566" s="1"/>
      <c r="F566" s="1"/>
      <c r="G566" s="1"/>
    </row>
    <row r="567" spans="2:7" x14ac:dyDescent="0.25">
      <c r="B567" s="1"/>
      <c r="C567" s="1"/>
      <c r="D567" s="1"/>
      <c r="E567" s="1"/>
      <c r="F567" s="1"/>
      <c r="G567" s="1"/>
    </row>
    <row r="568" spans="2:7" x14ac:dyDescent="0.25">
      <c r="B568" s="1"/>
      <c r="C568" s="1"/>
      <c r="D568" s="1"/>
      <c r="E568" s="1"/>
      <c r="F568" s="1"/>
      <c r="G568" s="1"/>
    </row>
    <row r="569" spans="2:7" x14ac:dyDescent="0.25">
      <c r="B569" s="1"/>
      <c r="C569" s="1"/>
      <c r="D569" s="1"/>
      <c r="E569" s="1"/>
      <c r="F569" s="1"/>
      <c r="G569" s="1"/>
    </row>
    <row r="570" spans="2:7" x14ac:dyDescent="0.25">
      <c r="B570" s="1"/>
      <c r="C570" s="1"/>
      <c r="D570" s="1"/>
      <c r="E570" s="1"/>
      <c r="F570" s="1"/>
      <c r="G570" s="1"/>
    </row>
    <row r="571" spans="2:7" x14ac:dyDescent="0.25">
      <c r="B571" s="1"/>
      <c r="C571" s="1"/>
      <c r="D571" s="1"/>
      <c r="E571" s="1"/>
      <c r="F571" s="1"/>
      <c r="G571" s="1"/>
    </row>
    <row r="572" spans="2:7" x14ac:dyDescent="0.25">
      <c r="B572" s="1"/>
      <c r="C572" s="1"/>
      <c r="D572" s="1"/>
      <c r="E572" s="1"/>
      <c r="F572" s="1"/>
      <c r="G572" s="1"/>
    </row>
    <row r="573" spans="2:7" x14ac:dyDescent="0.25">
      <c r="B573" s="1"/>
      <c r="C573" s="1"/>
      <c r="D573" s="1"/>
      <c r="E573" s="1"/>
      <c r="F573" s="1"/>
      <c r="G573" s="1"/>
    </row>
    <row r="574" spans="2:7" x14ac:dyDescent="0.25">
      <c r="B574" s="1"/>
      <c r="C574" s="1"/>
      <c r="D574" s="1"/>
      <c r="E574" s="1"/>
      <c r="F574" s="1"/>
      <c r="G574" s="1"/>
    </row>
    <row r="575" spans="2:7" x14ac:dyDescent="0.25">
      <c r="B575" s="1"/>
      <c r="C575" s="1"/>
      <c r="D575" s="1"/>
      <c r="E575" s="1"/>
      <c r="F575" s="1"/>
      <c r="G575" s="1"/>
    </row>
    <row r="576" spans="2:7" x14ac:dyDescent="0.25">
      <c r="B576" s="1"/>
      <c r="C576" s="1"/>
      <c r="D576" s="1"/>
      <c r="E576" s="1"/>
      <c r="F576" s="1"/>
      <c r="G576" s="1"/>
    </row>
    <row r="577" spans="2:7" x14ac:dyDescent="0.25">
      <c r="B577" s="1"/>
      <c r="C577" s="1"/>
      <c r="D577" s="1"/>
      <c r="E577" s="1"/>
      <c r="F577" s="1"/>
      <c r="G577" s="1"/>
    </row>
    <row r="578" spans="2:7" x14ac:dyDescent="0.25">
      <c r="B578" s="1"/>
      <c r="C578" s="1"/>
      <c r="D578" s="1"/>
      <c r="E578" s="1"/>
      <c r="F578" s="1"/>
      <c r="G578" s="1"/>
    </row>
    <row r="579" spans="2:7" x14ac:dyDescent="0.25">
      <c r="B579" s="1"/>
      <c r="C579" s="1"/>
      <c r="D579" s="1"/>
      <c r="E579" s="1"/>
      <c r="F579" s="1"/>
      <c r="G579" s="1"/>
    </row>
    <row r="580" spans="2:7" x14ac:dyDescent="0.25">
      <c r="B580" s="1"/>
      <c r="C580" s="1"/>
      <c r="D580" s="1"/>
      <c r="E580" s="1"/>
      <c r="F580" s="1"/>
      <c r="G580" s="1"/>
    </row>
    <row r="581" spans="2:7" x14ac:dyDescent="0.25">
      <c r="B581" s="1"/>
      <c r="C581" s="1"/>
      <c r="D581" s="1"/>
      <c r="E581" s="1"/>
      <c r="F581" s="1"/>
      <c r="G581" s="1"/>
    </row>
    <row r="582" spans="2:7" x14ac:dyDescent="0.25">
      <c r="B582" s="1"/>
      <c r="C582" s="1"/>
      <c r="D582" s="1"/>
      <c r="E582" s="1"/>
      <c r="F582" s="1"/>
      <c r="G582" s="1"/>
    </row>
    <row r="583" spans="2:7" x14ac:dyDescent="0.25">
      <c r="B583" s="1"/>
      <c r="C583" s="1"/>
      <c r="D583" s="1"/>
      <c r="E583" s="1"/>
      <c r="F583" s="1"/>
      <c r="G583" s="1"/>
    </row>
    <row r="584" spans="2:7" x14ac:dyDescent="0.25">
      <c r="B584" s="1"/>
      <c r="C584" s="1"/>
      <c r="D584" s="1"/>
      <c r="E584" s="1"/>
      <c r="F584" s="1"/>
      <c r="G584" s="1"/>
    </row>
    <row r="585" spans="2:7" x14ac:dyDescent="0.25">
      <c r="B585" s="1"/>
      <c r="C585" s="1"/>
      <c r="D585" s="1"/>
      <c r="E585" s="1"/>
      <c r="F585" s="1"/>
      <c r="G585" s="1"/>
    </row>
    <row r="586" spans="2:7" x14ac:dyDescent="0.25">
      <c r="B586" s="1"/>
      <c r="C586" s="1"/>
      <c r="D586" s="1"/>
      <c r="E586" s="1"/>
      <c r="F586" s="1"/>
      <c r="G586" s="1"/>
    </row>
    <row r="587" spans="2:7" x14ac:dyDescent="0.25">
      <c r="B587" s="1"/>
      <c r="C587" s="1"/>
      <c r="D587" s="1"/>
      <c r="E587" s="1"/>
      <c r="F587" s="1"/>
      <c r="G587" s="1"/>
    </row>
    <row r="588" spans="2:7" x14ac:dyDescent="0.25">
      <c r="B588" s="1"/>
      <c r="C588" s="1"/>
      <c r="D588" s="1"/>
      <c r="E588" s="1"/>
      <c r="F588" s="1"/>
      <c r="G588" s="1"/>
    </row>
    <row r="589" spans="2:7" x14ac:dyDescent="0.25">
      <c r="B589" s="1"/>
      <c r="C589" s="1"/>
      <c r="D589" s="1"/>
      <c r="E589" s="1"/>
      <c r="F589" s="1"/>
      <c r="G589" s="1"/>
    </row>
    <row r="590" spans="2:7" x14ac:dyDescent="0.25">
      <c r="B590" s="1"/>
      <c r="C590" s="1"/>
      <c r="D590" s="1"/>
      <c r="E590" s="1"/>
      <c r="F590" s="1"/>
      <c r="G590" s="1"/>
    </row>
    <row r="591" spans="2:7" x14ac:dyDescent="0.25">
      <c r="B591" s="1"/>
      <c r="C591" s="1"/>
      <c r="D591" s="1"/>
      <c r="E591" s="1"/>
      <c r="F591" s="1"/>
      <c r="G591" s="1"/>
    </row>
    <row r="592" spans="2:7" x14ac:dyDescent="0.25">
      <c r="B592" s="1"/>
      <c r="C592" s="1"/>
      <c r="D592" s="1"/>
      <c r="E592" s="1"/>
      <c r="F592" s="1"/>
      <c r="G592" s="1"/>
    </row>
    <row r="593" spans="2:7" x14ac:dyDescent="0.25">
      <c r="B593" s="1"/>
      <c r="C593" s="1"/>
      <c r="D593" s="1"/>
      <c r="E593" s="1"/>
      <c r="F593" s="1"/>
      <c r="G593" s="1"/>
    </row>
    <row r="594" spans="2:7" x14ac:dyDescent="0.25">
      <c r="B594" s="1"/>
      <c r="C594" s="1"/>
      <c r="D594" s="1"/>
      <c r="E594" s="1"/>
      <c r="F594" s="1"/>
      <c r="G594" s="1"/>
    </row>
    <row r="595" spans="2:7" x14ac:dyDescent="0.25">
      <c r="B595" s="1"/>
      <c r="C595" s="1"/>
      <c r="D595" s="1"/>
      <c r="E595" s="1"/>
      <c r="F595" s="1"/>
      <c r="G595" s="1"/>
    </row>
    <row r="596" spans="2:7" x14ac:dyDescent="0.25">
      <c r="B596" s="1"/>
      <c r="C596" s="1"/>
      <c r="D596" s="1"/>
      <c r="E596" s="1"/>
      <c r="F596" s="1"/>
      <c r="G596" s="1"/>
    </row>
    <row r="597" spans="2:7" x14ac:dyDescent="0.25">
      <c r="B597" s="1"/>
      <c r="C597" s="1"/>
      <c r="D597" s="1"/>
      <c r="E597" s="1"/>
      <c r="F597" s="1"/>
      <c r="G597" s="1"/>
    </row>
    <row r="598" spans="2:7" x14ac:dyDescent="0.25">
      <c r="B598" s="1"/>
      <c r="C598" s="1"/>
      <c r="D598" s="1"/>
      <c r="E598" s="1"/>
      <c r="F598" s="1"/>
      <c r="G598" s="1"/>
    </row>
    <row r="599" spans="2:7" x14ac:dyDescent="0.25">
      <c r="B599" s="1"/>
      <c r="C599" s="1"/>
      <c r="D599" s="1"/>
      <c r="E599" s="1"/>
      <c r="F599" s="1"/>
      <c r="G599" s="1"/>
    </row>
    <row r="600" spans="2:7" x14ac:dyDescent="0.25">
      <c r="B600" s="1"/>
      <c r="C600" s="1"/>
      <c r="D600" s="1"/>
      <c r="E600" s="1"/>
      <c r="F600" s="1"/>
      <c r="G600" s="1"/>
    </row>
    <row r="601" spans="2:7" x14ac:dyDescent="0.25">
      <c r="B601" s="1"/>
      <c r="C601" s="1"/>
      <c r="D601" s="1"/>
      <c r="E601" s="1"/>
      <c r="F601" s="1"/>
      <c r="G601" s="1"/>
    </row>
    <row r="602" spans="2:7" x14ac:dyDescent="0.25">
      <c r="B602" s="1"/>
      <c r="C602" s="1"/>
      <c r="D602" s="1"/>
      <c r="E602" s="1"/>
      <c r="F602" s="1"/>
      <c r="G602" s="1"/>
    </row>
    <row r="603" spans="2:7" x14ac:dyDescent="0.25">
      <c r="B603" s="1"/>
      <c r="C603" s="1"/>
      <c r="D603" s="1"/>
      <c r="E603" s="1"/>
      <c r="F603" s="1"/>
      <c r="G603" s="1"/>
    </row>
    <row r="604" spans="2:7" x14ac:dyDescent="0.25">
      <c r="B604" s="1"/>
      <c r="C604" s="1"/>
      <c r="D604" s="1"/>
      <c r="E604" s="1"/>
      <c r="F604" s="1"/>
      <c r="G604" s="1"/>
    </row>
    <row r="605" spans="2:7" x14ac:dyDescent="0.25">
      <c r="B605" s="1"/>
      <c r="C605" s="1"/>
      <c r="D605" s="1"/>
      <c r="E605" s="1"/>
      <c r="F605" s="1"/>
      <c r="G605" s="1"/>
    </row>
    <row r="606" spans="2:7" x14ac:dyDescent="0.25">
      <c r="B606" s="1"/>
      <c r="C606" s="1"/>
      <c r="D606" s="1"/>
      <c r="E606" s="1"/>
      <c r="F606" s="1"/>
      <c r="G606" s="1"/>
    </row>
    <row r="607" spans="2:7" x14ac:dyDescent="0.25">
      <c r="B607" s="1"/>
      <c r="C607" s="1"/>
      <c r="D607" s="1"/>
      <c r="E607" s="1"/>
      <c r="F607" s="1"/>
      <c r="G607" s="1"/>
    </row>
    <row r="608" spans="2:7" x14ac:dyDescent="0.25">
      <c r="B608" s="1"/>
      <c r="C608" s="1"/>
      <c r="D608" s="1"/>
      <c r="E608" s="1"/>
      <c r="F608" s="1"/>
      <c r="G608" s="1"/>
    </row>
    <row r="609" spans="2:7" x14ac:dyDescent="0.25">
      <c r="B609" s="1"/>
      <c r="C609" s="1"/>
      <c r="D609" s="1"/>
      <c r="E609" s="1"/>
      <c r="F609" s="1"/>
      <c r="G609" s="1"/>
    </row>
    <row r="610" spans="2:7" x14ac:dyDescent="0.25">
      <c r="B610" s="1"/>
      <c r="C610" s="1"/>
      <c r="D610" s="1"/>
      <c r="E610" s="1"/>
      <c r="F610" s="1"/>
      <c r="G610" s="1"/>
    </row>
    <row r="611" spans="2:7" x14ac:dyDescent="0.25">
      <c r="B611" s="1"/>
      <c r="C611" s="1"/>
      <c r="D611" s="1"/>
      <c r="E611" s="1"/>
      <c r="F611" s="1"/>
      <c r="G611" s="1"/>
    </row>
    <row r="612" spans="2:7" x14ac:dyDescent="0.25">
      <c r="B612" s="1"/>
      <c r="C612" s="1"/>
      <c r="D612" s="1"/>
      <c r="E612" s="1"/>
      <c r="F612" s="1"/>
      <c r="G612" s="1"/>
    </row>
    <row r="613" spans="2:7" x14ac:dyDescent="0.25">
      <c r="B613" s="1"/>
      <c r="C613" s="1"/>
      <c r="D613" s="1"/>
      <c r="E613" s="1"/>
      <c r="F613" s="1"/>
      <c r="G613" s="1"/>
    </row>
    <row r="614" spans="2:7" x14ac:dyDescent="0.25">
      <c r="B614" s="1"/>
      <c r="C614" s="1"/>
      <c r="D614" s="1"/>
      <c r="E614" s="1"/>
      <c r="F614" s="1"/>
      <c r="G614" s="1"/>
    </row>
    <row r="615" spans="2:7" x14ac:dyDescent="0.25">
      <c r="B615" s="1"/>
      <c r="C615" s="1"/>
      <c r="D615" s="1"/>
      <c r="E615" s="1"/>
      <c r="F615" s="1"/>
      <c r="G615" s="1"/>
    </row>
    <row r="616" spans="2:7" x14ac:dyDescent="0.25">
      <c r="B616" s="1"/>
      <c r="C616" s="1"/>
      <c r="D616" s="1"/>
      <c r="E616" s="1"/>
      <c r="F616" s="1"/>
      <c r="G616" s="1"/>
    </row>
    <row r="617" spans="2:7" x14ac:dyDescent="0.25">
      <c r="B617" s="1"/>
      <c r="C617" s="1"/>
      <c r="D617" s="1"/>
      <c r="E617" s="1"/>
      <c r="F617" s="1"/>
      <c r="G617" s="1"/>
    </row>
    <row r="618" spans="2:7" x14ac:dyDescent="0.25">
      <c r="B618" s="1"/>
      <c r="C618" s="1"/>
      <c r="D618" s="1"/>
      <c r="E618" s="1"/>
      <c r="F618" s="1"/>
      <c r="G618" s="1"/>
    </row>
    <row r="619" spans="2:7" x14ac:dyDescent="0.25">
      <c r="B619" s="1"/>
      <c r="C619" s="1"/>
      <c r="D619" s="1"/>
      <c r="E619" s="1"/>
      <c r="F619" s="1"/>
      <c r="G619" s="1"/>
    </row>
    <row r="620" spans="2:7" x14ac:dyDescent="0.25">
      <c r="B620" s="1"/>
      <c r="C620" s="1"/>
      <c r="D620" s="1"/>
      <c r="E620" s="1"/>
      <c r="F620" s="1"/>
      <c r="G620" s="1"/>
    </row>
    <row r="621" spans="2:7" x14ac:dyDescent="0.25">
      <c r="B621" s="1"/>
      <c r="C621" s="1"/>
      <c r="D621" s="1"/>
      <c r="E621" s="1"/>
      <c r="F621" s="1"/>
      <c r="G621" s="1"/>
    </row>
    <row r="622" spans="2:7" x14ac:dyDescent="0.25">
      <c r="B622" s="1"/>
      <c r="C622" s="1"/>
      <c r="D622" s="1"/>
      <c r="E622" s="1"/>
      <c r="F622" s="1"/>
      <c r="G622" s="1"/>
    </row>
    <row r="623" spans="2:7" x14ac:dyDescent="0.25">
      <c r="B623" s="1"/>
      <c r="C623" s="1"/>
      <c r="D623" s="1"/>
      <c r="E623" s="1"/>
      <c r="F623" s="1"/>
      <c r="G623" s="1"/>
    </row>
    <row r="624" spans="2:7" x14ac:dyDescent="0.25">
      <c r="B624" s="1"/>
      <c r="C624" s="1"/>
      <c r="D624" s="1"/>
      <c r="E624" s="1"/>
      <c r="F624" s="1"/>
      <c r="G624" s="1"/>
    </row>
    <row r="625" spans="2:7" x14ac:dyDescent="0.25">
      <c r="B625" s="1"/>
      <c r="C625" s="1"/>
      <c r="D625" s="1"/>
      <c r="E625" s="1"/>
      <c r="F625" s="1"/>
      <c r="G625" s="1"/>
    </row>
    <row r="626" spans="2:7" x14ac:dyDescent="0.25">
      <c r="B626" s="1"/>
      <c r="C626" s="1"/>
      <c r="D626" s="1"/>
      <c r="E626" s="1"/>
      <c r="F626" s="1"/>
      <c r="G626" s="1"/>
    </row>
    <row r="627" spans="2:7" x14ac:dyDescent="0.25">
      <c r="B627" s="1"/>
      <c r="C627" s="1"/>
      <c r="D627" s="1"/>
      <c r="E627" s="1"/>
      <c r="F627" s="1"/>
      <c r="G627" s="1"/>
    </row>
    <row r="628" spans="2:7" x14ac:dyDescent="0.25">
      <c r="B628" s="1"/>
      <c r="C628" s="1"/>
      <c r="D628" s="1"/>
      <c r="E628" s="1"/>
      <c r="F628" s="1"/>
      <c r="G628" s="1"/>
    </row>
    <row r="629" spans="2:7" x14ac:dyDescent="0.25">
      <c r="B629" s="1"/>
      <c r="C629" s="1"/>
      <c r="D629" s="1"/>
      <c r="E629" s="1"/>
      <c r="F629" s="1"/>
      <c r="G629" s="1"/>
    </row>
    <row r="630" spans="2:7" x14ac:dyDescent="0.25">
      <c r="B630" s="1"/>
      <c r="C630" s="1"/>
      <c r="D630" s="1"/>
      <c r="E630" s="1"/>
      <c r="F630" s="1"/>
      <c r="G630" s="1"/>
    </row>
    <row r="631" spans="2:7" x14ac:dyDescent="0.25">
      <c r="B631" s="1"/>
      <c r="C631" s="1"/>
      <c r="D631" s="1"/>
      <c r="E631" s="1"/>
      <c r="F631" s="1"/>
      <c r="G631" s="1"/>
    </row>
    <row r="632" spans="2:7" x14ac:dyDescent="0.25">
      <c r="B632" s="1"/>
      <c r="C632" s="1"/>
      <c r="D632" s="1"/>
      <c r="E632" s="1"/>
      <c r="F632" s="1"/>
      <c r="G632" s="1"/>
    </row>
    <row r="633" spans="2:7" x14ac:dyDescent="0.25">
      <c r="B633" s="1"/>
      <c r="C633" s="1"/>
      <c r="D633" s="1"/>
      <c r="E633" s="1"/>
      <c r="F633" s="1"/>
      <c r="G633" s="1"/>
    </row>
    <row r="634" spans="2:7" x14ac:dyDescent="0.25">
      <c r="B634" s="1"/>
      <c r="C634" s="1"/>
      <c r="D634" s="1"/>
      <c r="E634" s="1"/>
      <c r="F634" s="1"/>
      <c r="G634" s="1"/>
    </row>
    <row r="635" spans="2:7" x14ac:dyDescent="0.25">
      <c r="B635" s="1"/>
      <c r="C635" s="1"/>
      <c r="D635" s="1"/>
      <c r="E635" s="1"/>
      <c r="F635" s="1"/>
      <c r="G635" s="1"/>
    </row>
    <row r="636" spans="2:7" x14ac:dyDescent="0.25">
      <c r="B636" s="1"/>
      <c r="C636" s="1"/>
      <c r="D636" s="1"/>
      <c r="E636" s="1"/>
      <c r="F636" s="1"/>
      <c r="G636" s="1"/>
    </row>
    <row r="637" spans="2:7" x14ac:dyDescent="0.25">
      <c r="B637" s="1"/>
      <c r="C637" s="1"/>
      <c r="D637" s="1"/>
      <c r="E637" s="1"/>
      <c r="F637" s="1"/>
      <c r="G637" s="1"/>
    </row>
    <row r="638" spans="2:7" x14ac:dyDescent="0.25">
      <c r="B638" s="1"/>
      <c r="C638" s="1"/>
      <c r="D638" s="1"/>
      <c r="E638" s="1"/>
      <c r="F638" s="1"/>
      <c r="G638" s="1"/>
    </row>
    <row r="639" spans="2:7" x14ac:dyDescent="0.25">
      <c r="B639" s="1"/>
      <c r="C639" s="1"/>
      <c r="D639" s="1"/>
      <c r="E639" s="1"/>
      <c r="F639" s="1"/>
      <c r="G639" s="1"/>
    </row>
    <row r="640" spans="2:7" x14ac:dyDescent="0.25">
      <c r="B640" s="1"/>
      <c r="C640" s="1"/>
      <c r="D640" s="1"/>
      <c r="E640" s="1"/>
      <c r="F640" s="1"/>
      <c r="G640" s="1"/>
    </row>
    <row r="641" spans="2:7" x14ac:dyDescent="0.25">
      <c r="B641" s="1"/>
      <c r="C641" s="1"/>
      <c r="D641" s="1"/>
      <c r="E641" s="1"/>
      <c r="F641" s="1"/>
      <c r="G641" s="1"/>
    </row>
    <row r="642" spans="2:7" x14ac:dyDescent="0.25">
      <c r="B642" s="1"/>
      <c r="C642" s="1"/>
      <c r="D642" s="1"/>
      <c r="E642" s="1"/>
      <c r="F642" s="1"/>
      <c r="G642" s="1"/>
    </row>
    <row r="643" spans="2:7" x14ac:dyDescent="0.25">
      <c r="B643" s="1"/>
      <c r="C643" s="1"/>
      <c r="D643" s="1"/>
      <c r="E643" s="1"/>
      <c r="F643" s="1"/>
      <c r="G643" s="1"/>
    </row>
    <row r="644" spans="2:7" x14ac:dyDescent="0.25">
      <c r="B644" s="1"/>
      <c r="C644" s="1"/>
      <c r="D644" s="1"/>
      <c r="E644" s="1"/>
      <c r="F644" s="1"/>
      <c r="G644" s="1"/>
    </row>
    <row r="645" spans="2:7" x14ac:dyDescent="0.25">
      <c r="B645" s="1"/>
      <c r="C645" s="1"/>
      <c r="D645" s="1"/>
      <c r="E645" s="1"/>
      <c r="F645" s="1"/>
      <c r="G645" s="1"/>
    </row>
    <row r="646" spans="2:7" x14ac:dyDescent="0.25">
      <c r="B646" s="1"/>
      <c r="C646" s="1"/>
      <c r="D646" s="1"/>
      <c r="E646" s="1"/>
      <c r="F646" s="1"/>
      <c r="G646" s="1"/>
    </row>
    <row r="647" spans="2:7" x14ac:dyDescent="0.25">
      <c r="B647" s="1"/>
      <c r="C647" s="1"/>
      <c r="D647" s="1"/>
      <c r="E647" s="1"/>
      <c r="F647" s="1"/>
      <c r="G647" s="1"/>
    </row>
    <row r="648" spans="2:7" x14ac:dyDescent="0.25">
      <c r="B648" s="1"/>
      <c r="C648" s="1"/>
      <c r="D648" s="1"/>
      <c r="E648" s="1"/>
      <c r="F648" s="1"/>
      <c r="G648" s="1"/>
    </row>
    <row r="649" spans="2:7" x14ac:dyDescent="0.25">
      <c r="B649" s="1"/>
      <c r="C649" s="1"/>
      <c r="D649" s="1"/>
      <c r="E649" s="1"/>
      <c r="F649" s="1"/>
      <c r="G649" s="1"/>
    </row>
    <row r="650" spans="2:7" x14ac:dyDescent="0.25">
      <c r="B650" s="1"/>
      <c r="C650" s="1"/>
      <c r="D650" s="1"/>
      <c r="E650" s="1"/>
      <c r="F650" s="1"/>
      <c r="G650" s="1"/>
    </row>
    <row r="651" spans="2:7" x14ac:dyDescent="0.25">
      <c r="B651" s="1"/>
      <c r="C651" s="1"/>
      <c r="D651" s="1"/>
      <c r="E651" s="1"/>
      <c r="F651" s="1"/>
      <c r="G651" s="1"/>
    </row>
    <row r="652" spans="2:7" x14ac:dyDescent="0.25">
      <c r="B652" s="1"/>
      <c r="C652" s="1"/>
      <c r="D652" s="1"/>
      <c r="E652" s="1"/>
      <c r="F652" s="1"/>
      <c r="G652" s="1"/>
    </row>
    <row r="653" spans="2:7" x14ac:dyDescent="0.25">
      <c r="B653" s="1"/>
      <c r="C653" s="1"/>
      <c r="D653" s="1"/>
      <c r="E653" s="1"/>
      <c r="F653" s="1"/>
      <c r="G653" s="1"/>
    </row>
    <row r="654" spans="2:7" x14ac:dyDescent="0.25">
      <c r="B654" s="1"/>
      <c r="C654" s="1"/>
      <c r="D654" s="1"/>
      <c r="E654" s="1"/>
      <c r="F654" s="1"/>
      <c r="G654" s="1"/>
    </row>
    <row r="655" spans="2:7" x14ac:dyDescent="0.25">
      <c r="B655" s="1"/>
      <c r="C655" s="1"/>
      <c r="D655" s="1"/>
      <c r="E655" s="1"/>
      <c r="F655" s="1"/>
      <c r="G655" s="1"/>
    </row>
    <row r="656" spans="2:7" x14ac:dyDescent="0.25">
      <c r="B656" s="1"/>
      <c r="C656" s="1"/>
      <c r="D656" s="1"/>
      <c r="E656" s="1"/>
      <c r="F656" s="1"/>
      <c r="G656" s="1"/>
    </row>
    <row r="657" spans="2:7" x14ac:dyDescent="0.25">
      <c r="B657" s="1"/>
      <c r="C657" s="1"/>
      <c r="D657" s="1"/>
      <c r="E657" s="1"/>
      <c r="F657" s="1"/>
      <c r="G657" s="1"/>
    </row>
    <row r="658" spans="2:7" x14ac:dyDescent="0.25">
      <c r="B658" s="1"/>
      <c r="C658" s="1"/>
      <c r="D658" s="1"/>
      <c r="E658" s="1"/>
      <c r="F658" s="1"/>
      <c r="G658" s="1"/>
    </row>
    <row r="659" spans="2:7" x14ac:dyDescent="0.25">
      <c r="B659" s="1"/>
      <c r="C659" s="1"/>
      <c r="D659" s="1"/>
      <c r="E659" s="1"/>
      <c r="F659" s="1"/>
      <c r="G659" s="1"/>
    </row>
    <row r="660" spans="2:7" x14ac:dyDescent="0.25">
      <c r="B660" s="1"/>
      <c r="C660" s="1"/>
      <c r="D660" s="1"/>
      <c r="E660" s="1"/>
      <c r="F660" s="1"/>
      <c r="G660" s="1"/>
    </row>
    <row r="661" spans="2:7" x14ac:dyDescent="0.25">
      <c r="B661" s="1"/>
      <c r="C661" s="1"/>
      <c r="D661" s="1"/>
      <c r="E661" s="1"/>
      <c r="F661" s="1"/>
      <c r="G661" s="1"/>
    </row>
    <row r="662" spans="2:7" x14ac:dyDescent="0.25">
      <c r="B662" s="1"/>
      <c r="C662" s="1"/>
      <c r="D662" s="1"/>
      <c r="E662" s="1"/>
      <c r="F662" s="1"/>
      <c r="G662" s="1"/>
    </row>
    <row r="663" spans="2:7" x14ac:dyDescent="0.25">
      <c r="B663" s="1"/>
      <c r="C663" s="1"/>
      <c r="D663" s="1"/>
      <c r="E663" s="1"/>
      <c r="F663" s="1"/>
      <c r="G663" s="1"/>
    </row>
    <row r="664" spans="2:7" x14ac:dyDescent="0.25">
      <c r="B664" s="1"/>
      <c r="C664" s="1"/>
      <c r="D664" s="1"/>
      <c r="E664" s="1"/>
      <c r="F664" s="1"/>
      <c r="G664" s="1"/>
    </row>
    <row r="665" spans="2:7" x14ac:dyDescent="0.25">
      <c r="B665" s="1"/>
      <c r="C665" s="1"/>
      <c r="D665" s="1"/>
      <c r="E665" s="1"/>
      <c r="F665" s="1"/>
      <c r="G665" s="1"/>
    </row>
    <row r="666" spans="2:7" x14ac:dyDescent="0.25">
      <c r="B666" s="1"/>
      <c r="C666" s="1"/>
      <c r="D666" s="1"/>
      <c r="E666" s="1"/>
      <c r="F666" s="1"/>
      <c r="G666" s="1"/>
    </row>
    <row r="667" spans="2:7" x14ac:dyDescent="0.25">
      <c r="B667" s="1"/>
      <c r="C667" s="1"/>
      <c r="D667" s="1"/>
      <c r="E667" s="1"/>
      <c r="F667" s="1"/>
      <c r="G667" s="1"/>
    </row>
    <row r="668" spans="2:7" x14ac:dyDescent="0.25">
      <c r="B668" s="1"/>
      <c r="C668" s="1"/>
      <c r="D668" s="1"/>
      <c r="E668" s="1"/>
      <c r="F668" s="1"/>
      <c r="G668" s="1"/>
    </row>
    <row r="669" spans="2:7" x14ac:dyDescent="0.25">
      <c r="B669" s="1"/>
      <c r="C669" s="1"/>
      <c r="D669" s="1"/>
      <c r="E669" s="1"/>
      <c r="F669" s="1"/>
      <c r="G669" s="1"/>
    </row>
    <row r="670" spans="2:7" x14ac:dyDescent="0.25">
      <c r="B670" s="1"/>
      <c r="C670" s="1"/>
      <c r="D670" s="1"/>
      <c r="E670" s="1"/>
      <c r="F670" s="1"/>
      <c r="G670" s="1"/>
    </row>
    <row r="671" spans="2:7" x14ac:dyDescent="0.25">
      <c r="B671" s="1"/>
      <c r="C671" s="1"/>
      <c r="D671" s="1"/>
      <c r="E671" s="1"/>
      <c r="F671" s="1"/>
      <c r="G671" s="1"/>
    </row>
    <row r="672" spans="2:7" x14ac:dyDescent="0.25">
      <c r="B672" s="1"/>
      <c r="C672" s="1"/>
      <c r="D672" s="1"/>
      <c r="E672" s="1"/>
      <c r="F672" s="1"/>
      <c r="G672" s="1"/>
    </row>
    <row r="673" spans="2:7" x14ac:dyDescent="0.25">
      <c r="B673" s="1"/>
      <c r="C673" s="1"/>
      <c r="D673" s="1"/>
      <c r="E673" s="1"/>
      <c r="F673" s="1"/>
      <c r="G673" s="1"/>
    </row>
    <row r="674" spans="2:7" x14ac:dyDescent="0.25">
      <c r="B674" s="1"/>
      <c r="C674" s="1"/>
      <c r="D674" s="1"/>
      <c r="E674" s="1"/>
      <c r="F674" s="1"/>
      <c r="G674" s="1"/>
    </row>
    <row r="675" spans="2:7" x14ac:dyDescent="0.25">
      <c r="B675" s="1"/>
      <c r="C675" s="1"/>
      <c r="D675" s="1"/>
      <c r="E675" s="1"/>
      <c r="F675" s="1"/>
      <c r="G675" s="1"/>
    </row>
    <row r="676" spans="2:7" x14ac:dyDescent="0.25">
      <c r="B676" s="1"/>
      <c r="C676" s="1"/>
      <c r="D676" s="1"/>
      <c r="E676" s="1"/>
      <c r="F676" s="1"/>
      <c r="G676" s="1"/>
    </row>
    <row r="677" spans="2:7" x14ac:dyDescent="0.25">
      <c r="B677" s="1"/>
      <c r="C677" s="1"/>
      <c r="D677" s="1"/>
      <c r="E677" s="1"/>
      <c r="F677" s="1"/>
      <c r="G677" s="1"/>
    </row>
    <row r="678" spans="2:7" x14ac:dyDescent="0.25">
      <c r="B678" s="1"/>
      <c r="C678" s="1"/>
      <c r="D678" s="1"/>
      <c r="E678" s="1"/>
      <c r="F678" s="1"/>
      <c r="G678" s="1"/>
    </row>
    <row r="679" spans="2:7" x14ac:dyDescent="0.25">
      <c r="B679" s="1"/>
      <c r="C679" s="1"/>
      <c r="D679" s="1"/>
      <c r="E679" s="1"/>
      <c r="F679" s="1"/>
      <c r="G679" s="1"/>
    </row>
    <row r="680" spans="2:7" x14ac:dyDescent="0.25">
      <c r="B680" s="1"/>
      <c r="C680" s="1"/>
      <c r="D680" s="1"/>
      <c r="E680" s="1"/>
      <c r="F680" s="1"/>
      <c r="G680" s="1"/>
    </row>
    <row r="681" spans="2:7" x14ac:dyDescent="0.25">
      <c r="B681" s="1"/>
      <c r="C681" s="1"/>
      <c r="D681" s="1"/>
      <c r="E681" s="1"/>
      <c r="F681" s="1"/>
      <c r="G681" s="1"/>
    </row>
    <row r="682" spans="2:7" x14ac:dyDescent="0.25">
      <c r="B682" s="1"/>
      <c r="C682" s="1"/>
      <c r="D682" s="1"/>
      <c r="E682" s="1"/>
      <c r="F682" s="1"/>
      <c r="G682" s="1"/>
    </row>
    <row r="683" spans="2:7" x14ac:dyDescent="0.25">
      <c r="B683" s="1"/>
      <c r="C683" s="1"/>
      <c r="D683" s="1"/>
      <c r="E683" s="1"/>
      <c r="F683" s="1"/>
      <c r="G683" s="1"/>
    </row>
    <row r="684" spans="2:7" x14ac:dyDescent="0.25">
      <c r="B684" s="1"/>
      <c r="C684" s="1"/>
      <c r="D684" s="1"/>
      <c r="E684" s="1"/>
      <c r="F684" s="1"/>
      <c r="G684" s="1"/>
    </row>
    <row r="685" spans="2:7" x14ac:dyDescent="0.25">
      <c r="B685" s="1"/>
      <c r="C685" s="1"/>
      <c r="D685" s="1"/>
      <c r="E685" s="1"/>
      <c r="F685" s="1"/>
      <c r="G685" s="1"/>
    </row>
    <row r="686" spans="2:7" x14ac:dyDescent="0.25">
      <c r="B686" s="1"/>
      <c r="C686" s="1"/>
      <c r="D686" s="1"/>
      <c r="E686" s="1"/>
      <c r="F686" s="1"/>
      <c r="G686" s="1"/>
    </row>
    <row r="687" spans="2:7" x14ac:dyDescent="0.25">
      <c r="B687" s="1"/>
      <c r="C687" s="1"/>
      <c r="D687" s="1"/>
      <c r="E687" s="1"/>
      <c r="F687" s="1"/>
      <c r="G687" s="1"/>
    </row>
    <row r="688" spans="2:7" x14ac:dyDescent="0.25">
      <c r="B688" s="1"/>
      <c r="C688" s="1"/>
      <c r="D688" s="1"/>
      <c r="E688" s="1"/>
      <c r="F688" s="1"/>
      <c r="G688" s="1"/>
    </row>
    <row r="689" spans="2:7" x14ac:dyDescent="0.25">
      <c r="B689" s="1"/>
      <c r="C689" s="1"/>
      <c r="D689" s="1"/>
      <c r="E689" s="1"/>
      <c r="F689" s="1"/>
      <c r="G689" s="1"/>
    </row>
    <row r="690" spans="2:7" x14ac:dyDescent="0.25">
      <c r="B690" s="1"/>
      <c r="C690" s="1"/>
      <c r="D690" s="1"/>
      <c r="E690" s="1"/>
      <c r="F690" s="1"/>
      <c r="G690" s="1"/>
    </row>
    <row r="691" spans="2:7" x14ac:dyDescent="0.25">
      <c r="B691" s="1"/>
      <c r="C691" s="1"/>
      <c r="D691" s="1"/>
      <c r="E691" s="1"/>
      <c r="F691" s="1"/>
      <c r="G691" s="1"/>
    </row>
    <row r="692" spans="2:7" x14ac:dyDescent="0.25">
      <c r="B692" s="1"/>
      <c r="C692" s="1"/>
      <c r="D692" s="1"/>
      <c r="E692" s="1"/>
      <c r="F692" s="1"/>
      <c r="G692" s="1"/>
    </row>
    <row r="693" spans="2:7" x14ac:dyDescent="0.25">
      <c r="B693" s="1"/>
      <c r="C693" s="1"/>
      <c r="D693" s="1"/>
      <c r="E693" s="1"/>
      <c r="F693" s="1"/>
      <c r="G693" s="1"/>
    </row>
    <row r="694" spans="2:7" x14ac:dyDescent="0.25">
      <c r="B694" s="1"/>
      <c r="C694" s="1"/>
      <c r="D694" s="1"/>
      <c r="E694" s="1"/>
      <c r="F694" s="1"/>
      <c r="G694" s="1"/>
    </row>
    <row r="695" spans="2:7" x14ac:dyDescent="0.25">
      <c r="B695" s="1"/>
      <c r="C695" s="1"/>
      <c r="D695" s="1"/>
      <c r="E695" s="1"/>
      <c r="F695" s="1"/>
      <c r="G695" s="1"/>
    </row>
    <row r="696" spans="2:7" x14ac:dyDescent="0.25">
      <c r="B696" s="1"/>
      <c r="C696" s="1"/>
      <c r="D696" s="1"/>
      <c r="E696" s="1"/>
      <c r="F696" s="1"/>
      <c r="G696" s="1"/>
    </row>
    <row r="697" spans="2:7" x14ac:dyDescent="0.25">
      <c r="B697" s="1"/>
      <c r="C697" s="1"/>
      <c r="D697" s="1"/>
      <c r="E697" s="1"/>
      <c r="F697" s="1"/>
      <c r="G697" s="1"/>
    </row>
    <row r="698" spans="2:7" x14ac:dyDescent="0.25">
      <c r="B698" s="1"/>
      <c r="C698" s="1"/>
      <c r="D698" s="1"/>
      <c r="E698" s="1"/>
      <c r="F698" s="1"/>
      <c r="G698" s="1"/>
    </row>
    <row r="699" spans="2:7" x14ac:dyDescent="0.25">
      <c r="B699" s="1"/>
      <c r="C699" s="1"/>
      <c r="D699" s="1"/>
      <c r="E699" s="1"/>
      <c r="F699" s="1"/>
      <c r="G699" s="1"/>
    </row>
    <row r="700" spans="2:7" x14ac:dyDescent="0.25">
      <c r="B700" s="1"/>
      <c r="C700" s="1"/>
      <c r="D700" s="1"/>
      <c r="E700" s="1"/>
      <c r="F700" s="1"/>
      <c r="G700" s="1"/>
    </row>
    <row r="701" spans="2:7" x14ac:dyDescent="0.25">
      <c r="B701" s="1"/>
      <c r="C701" s="1"/>
      <c r="D701" s="1"/>
      <c r="E701" s="1"/>
      <c r="F701" s="1"/>
      <c r="G701" s="1"/>
    </row>
    <row r="702" spans="2:7" x14ac:dyDescent="0.25">
      <c r="B702" s="1"/>
      <c r="C702" s="1"/>
      <c r="D702" s="1"/>
      <c r="E702" s="1"/>
      <c r="F702" s="1"/>
      <c r="G702" s="1"/>
    </row>
    <row r="703" spans="2:7" x14ac:dyDescent="0.25">
      <c r="B703" s="1"/>
      <c r="C703" s="1"/>
      <c r="D703" s="1"/>
      <c r="E703" s="1"/>
      <c r="F703" s="1"/>
      <c r="G703" s="1"/>
    </row>
    <row r="704" spans="2:7" x14ac:dyDescent="0.25">
      <c r="B704" s="1"/>
      <c r="C704" s="1"/>
      <c r="D704" s="1"/>
      <c r="E704" s="1"/>
      <c r="F704" s="1"/>
      <c r="G704" s="1"/>
    </row>
    <row r="705" spans="2:7" x14ac:dyDescent="0.25">
      <c r="B705" s="1"/>
      <c r="C705" s="1"/>
      <c r="D705" s="1"/>
      <c r="E705" s="1"/>
      <c r="F705" s="1"/>
      <c r="G705" s="1"/>
    </row>
    <row r="706" spans="2:7" x14ac:dyDescent="0.25">
      <c r="B706" s="1"/>
      <c r="C706" s="1"/>
      <c r="D706" s="1"/>
      <c r="E706" s="1"/>
      <c r="F706" s="1"/>
      <c r="G706" s="1"/>
    </row>
    <row r="707" spans="2:7" x14ac:dyDescent="0.25">
      <c r="B707" s="1"/>
      <c r="C707" s="1"/>
      <c r="D707" s="1"/>
      <c r="E707" s="1"/>
      <c r="F707" s="1"/>
      <c r="G707" s="1"/>
    </row>
    <row r="708" spans="2:7" x14ac:dyDescent="0.25">
      <c r="B708" s="1"/>
      <c r="C708" s="1"/>
      <c r="D708" s="1"/>
      <c r="E708" s="1"/>
      <c r="F708" s="1"/>
      <c r="G708" s="1"/>
    </row>
    <row r="709" spans="2:7" x14ac:dyDescent="0.25">
      <c r="B709" s="1"/>
      <c r="C709" s="1"/>
      <c r="D709" s="1"/>
      <c r="E709" s="1"/>
      <c r="F709" s="1"/>
      <c r="G709" s="1"/>
    </row>
    <row r="710" spans="2:7" x14ac:dyDescent="0.25">
      <c r="B710" s="1"/>
      <c r="C710" s="1"/>
      <c r="D710" s="1"/>
      <c r="E710" s="1"/>
      <c r="F710" s="1"/>
      <c r="G710" s="1"/>
    </row>
    <row r="711" spans="2:7" x14ac:dyDescent="0.25">
      <c r="B711" s="1"/>
      <c r="C711" s="1"/>
      <c r="D711" s="1"/>
      <c r="E711" s="1"/>
      <c r="F711" s="1"/>
      <c r="G711" s="1"/>
    </row>
    <row r="712" spans="2:7" x14ac:dyDescent="0.25">
      <c r="B712" s="1"/>
      <c r="C712" s="1"/>
      <c r="D712" s="1"/>
      <c r="E712" s="1"/>
      <c r="F712" s="1"/>
      <c r="G712" s="1"/>
    </row>
    <row r="713" spans="2:7" x14ac:dyDescent="0.25">
      <c r="B713" s="1"/>
      <c r="C713" s="1"/>
      <c r="D713" s="1"/>
      <c r="E713" s="1"/>
      <c r="F713" s="1"/>
      <c r="G713" s="1"/>
    </row>
    <row r="714" spans="2:7" x14ac:dyDescent="0.25">
      <c r="B714" s="1"/>
      <c r="C714" s="1"/>
      <c r="D714" s="1"/>
      <c r="E714" s="1"/>
      <c r="F714" s="1"/>
      <c r="G714" s="1"/>
    </row>
    <row r="715" spans="2:7" x14ac:dyDescent="0.25">
      <c r="B715" s="1"/>
      <c r="C715" s="1"/>
      <c r="D715" s="1"/>
      <c r="E715" s="1"/>
      <c r="F715" s="1"/>
      <c r="G715" s="1"/>
    </row>
    <row r="716" spans="2:7" x14ac:dyDescent="0.25">
      <c r="B716" s="1"/>
      <c r="C716" s="1"/>
      <c r="D716" s="1"/>
      <c r="E716" s="1"/>
      <c r="F716" s="1"/>
      <c r="G716" s="1"/>
    </row>
    <row r="717" spans="2:7" x14ac:dyDescent="0.25">
      <c r="B717" s="1"/>
      <c r="C717" s="1"/>
      <c r="D717" s="1"/>
      <c r="E717" s="1"/>
      <c r="F717" s="1"/>
      <c r="G717" s="1"/>
    </row>
    <row r="718" spans="2:7" x14ac:dyDescent="0.25">
      <c r="B718" s="1"/>
      <c r="C718" s="1"/>
      <c r="D718" s="1"/>
      <c r="E718" s="1"/>
      <c r="F718" s="1"/>
      <c r="G718" s="1"/>
    </row>
    <row r="719" spans="2:7" x14ac:dyDescent="0.25">
      <c r="B719" s="1"/>
      <c r="C719" s="1"/>
      <c r="D719" s="1"/>
      <c r="E719" s="1"/>
      <c r="F719" s="1"/>
      <c r="G719" s="1"/>
    </row>
    <row r="720" spans="2:7" x14ac:dyDescent="0.25">
      <c r="B720" s="1"/>
      <c r="C720" s="1"/>
      <c r="D720" s="1"/>
      <c r="E720" s="1"/>
      <c r="F720" s="1"/>
      <c r="G720" s="1"/>
    </row>
    <row r="721" spans="2:7" x14ac:dyDescent="0.25">
      <c r="B721" s="1"/>
      <c r="C721" s="1"/>
      <c r="D721" s="1"/>
      <c r="E721" s="1"/>
      <c r="F721" s="1"/>
      <c r="G721" s="1"/>
    </row>
    <row r="722" spans="2:7" x14ac:dyDescent="0.25">
      <c r="B722" s="1"/>
      <c r="C722" s="1"/>
      <c r="D722" s="1"/>
      <c r="E722" s="1"/>
      <c r="F722" s="1"/>
      <c r="G722" s="1"/>
    </row>
    <row r="723" spans="2:7" x14ac:dyDescent="0.25">
      <c r="B723" s="1"/>
      <c r="C723" s="1"/>
      <c r="D723" s="1"/>
      <c r="E723" s="1"/>
      <c r="F723" s="1"/>
      <c r="G723" s="1"/>
    </row>
    <row r="724" spans="2:7" x14ac:dyDescent="0.25">
      <c r="B724" s="1"/>
      <c r="C724" s="1"/>
      <c r="D724" s="1"/>
      <c r="E724" s="1"/>
      <c r="F724" s="1"/>
      <c r="G724" s="1"/>
    </row>
    <row r="725" spans="2:7" x14ac:dyDescent="0.25">
      <c r="B725" s="1"/>
      <c r="C725" s="1"/>
      <c r="D725" s="1"/>
      <c r="E725" s="1"/>
      <c r="F725" s="1"/>
      <c r="G725" s="1"/>
    </row>
    <row r="726" spans="2:7" x14ac:dyDescent="0.25">
      <c r="B726" s="1"/>
      <c r="C726" s="1"/>
      <c r="D726" s="1"/>
      <c r="E726" s="1"/>
      <c r="F726" s="1"/>
      <c r="G726" s="1"/>
    </row>
    <row r="727" spans="2:7" x14ac:dyDescent="0.25">
      <c r="B727" s="1"/>
      <c r="C727" s="1"/>
      <c r="D727" s="1"/>
      <c r="E727" s="1"/>
      <c r="F727" s="1"/>
      <c r="G727" s="1"/>
    </row>
    <row r="728" spans="2:7" x14ac:dyDescent="0.25">
      <c r="B728" s="1"/>
      <c r="C728" s="1"/>
      <c r="D728" s="1"/>
      <c r="E728" s="1"/>
      <c r="F728" s="1"/>
      <c r="G728" s="1"/>
    </row>
    <row r="729" spans="2:7" x14ac:dyDescent="0.25">
      <c r="B729" s="1"/>
      <c r="C729" s="1"/>
      <c r="D729" s="1"/>
      <c r="E729" s="1"/>
      <c r="F729" s="1"/>
      <c r="G729" s="1"/>
    </row>
    <row r="730" spans="2:7" x14ac:dyDescent="0.25">
      <c r="B730" s="1"/>
      <c r="C730" s="1"/>
      <c r="D730" s="1"/>
      <c r="E730" s="1"/>
      <c r="F730" s="1"/>
      <c r="G730" s="1"/>
    </row>
    <row r="731" spans="2:7" x14ac:dyDescent="0.25">
      <c r="B731" s="1"/>
      <c r="C731" s="1"/>
      <c r="D731" s="1"/>
      <c r="E731" s="1"/>
      <c r="F731" s="1"/>
      <c r="G731" s="1"/>
    </row>
    <row r="732" spans="2:7" x14ac:dyDescent="0.25">
      <c r="B732" s="1"/>
      <c r="C732" s="1"/>
      <c r="D732" s="1"/>
      <c r="E732" s="1"/>
      <c r="F732" s="1"/>
      <c r="G732" s="1"/>
    </row>
    <row r="733" spans="2:7" x14ac:dyDescent="0.25">
      <c r="B733" s="1"/>
      <c r="C733" s="1"/>
      <c r="D733" s="1"/>
      <c r="E733" s="1"/>
      <c r="F733" s="1"/>
      <c r="G733" s="1"/>
    </row>
    <row r="734" spans="2:7" x14ac:dyDescent="0.25">
      <c r="B734" s="1"/>
      <c r="C734" s="1"/>
      <c r="D734" s="1"/>
      <c r="E734" s="1"/>
      <c r="F734" s="1"/>
      <c r="G734" s="1"/>
    </row>
    <row r="735" spans="2:7" x14ac:dyDescent="0.25">
      <c r="B735" s="1"/>
      <c r="C735" s="1"/>
      <c r="D735" s="1"/>
      <c r="E735" s="1"/>
      <c r="F735" s="1"/>
      <c r="G735" s="1"/>
    </row>
    <row r="736" spans="2:7" x14ac:dyDescent="0.25">
      <c r="B736" s="1"/>
      <c r="C736" s="1"/>
      <c r="D736" s="1"/>
      <c r="E736" s="1"/>
      <c r="F736" s="1"/>
      <c r="G736" s="1"/>
    </row>
    <row r="737" spans="2:7" x14ac:dyDescent="0.25">
      <c r="B737" s="1"/>
      <c r="C737" s="1"/>
      <c r="D737" s="1"/>
      <c r="E737" s="1"/>
      <c r="F737" s="1"/>
      <c r="G737" s="1"/>
    </row>
    <row r="738" spans="2:7" x14ac:dyDescent="0.25">
      <c r="B738" s="1"/>
      <c r="C738" s="1"/>
      <c r="D738" s="1"/>
      <c r="E738" s="1"/>
      <c r="F738" s="1"/>
      <c r="G738" s="1"/>
    </row>
    <row r="739" spans="2:7" x14ac:dyDescent="0.25">
      <c r="B739" s="1"/>
      <c r="C739" s="1"/>
      <c r="D739" s="1"/>
      <c r="E739" s="1"/>
      <c r="F739" s="1"/>
      <c r="G739" s="1"/>
    </row>
    <row r="740" spans="2:7" x14ac:dyDescent="0.25">
      <c r="B740" s="1"/>
      <c r="C740" s="1"/>
      <c r="D740" s="1"/>
      <c r="E740" s="1"/>
      <c r="F740" s="1"/>
      <c r="G740" s="1"/>
    </row>
    <row r="741" spans="2:7" x14ac:dyDescent="0.25">
      <c r="B741" s="1"/>
      <c r="C741" s="1"/>
      <c r="D741" s="1"/>
      <c r="E741" s="1"/>
      <c r="F741" s="1"/>
      <c r="G741" s="1"/>
    </row>
    <row r="742" spans="2:7" x14ac:dyDescent="0.25">
      <c r="B742" s="1"/>
      <c r="C742" s="1"/>
      <c r="D742" s="1"/>
      <c r="E742" s="1"/>
      <c r="F742" s="1"/>
      <c r="G742" s="1"/>
    </row>
    <row r="743" spans="2:7" x14ac:dyDescent="0.25">
      <c r="B743" s="1"/>
      <c r="C743" s="1"/>
      <c r="D743" s="1"/>
      <c r="E743" s="1"/>
      <c r="F743" s="1"/>
      <c r="G743" s="1"/>
    </row>
    <row r="744" spans="2:7" x14ac:dyDescent="0.25">
      <c r="B744" s="1"/>
      <c r="C744" s="1"/>
      <c r="D744" s="1"/>
      <c r="E744" s="1"/>
      <c r="F744" s="1"/>
      <c r="G744" s="1"/>
    </row>
    <row r="745" spans="2:7" x14ac:dyDescent="0.25">
      <c r="B745" s="1"/>
      <c r="C745" s="1"/>
      <c r="D745" s="1"/>
      <c r="E745" s="1"/>
      <c r="F745" s="1"/>
      <c r="G745" s="1"/>
    </row>
    <row r="746" spans="2:7" x14ac:dyDescent="0.25">
      <c r="B746" s="1"/>
      <c r="C746" s="1"/>
      <c r="D746" s="1"/>
      <c r="E746" s="1"/>
      <c r="F746" s="1"/>
      <c r="G746" s="1"/>
    </row>
    <row r="747" spans="2:7" x14ac:dyDescent="0.25">
      <c r="B747" s="1"/>
      <c r="C747" s="1"/>
      <c r="D747" s="1"/>
      <c r="E747" s="1"/>
      <c r="F747" s="1"/>
      <c r="G747" s="1"/>
    </row>
    <row r="748" spans="2:7" x14ac:dyDescent="0.25">
      <c r="B748" s="1"/>
      <c r="C748" s="1"/>
      <c r="D748" s="1"/>
      <c r="E748" s="1"/>
      <c r="F748" s="1"/>
      <c r="G748" s="1"/>
    </row>
    <row r="749" spans="2:7" x14ac:dyDescent="0.25">
      <c r="B749" s="1"/>
      <c r="C749" s="1"/>
      <c r="D749" s="1"/>
      <c r="E749" s="1"/>
      <c r="F749" s="1"/>
      <c r="G749" s="1"/>
    </row>
    <row r="750" spans="2:7" x14ac:dyDescent="0.25">
      <c r="B750" s="1"/>
      <c r="C750" s="1"/>
      <c r="D750" s="1"/>
      <c r="E750" s="1"/>
      <c r="F750" s="1"/>
      <c r="G750" s="1"/>
    </row>
    <row r="751" spans="2:7" x14ac:dyDescent="0.25">
      <c r="B751" s="1"/>
      <c r="C751" s="1"/>
      <c r="D751" s="1"/>
      <c r="E751" s="1"/>
      <c r="F751" s="1"/>
      <c r="G751" s="1"/>
    </row>
    <row r="752" spans="2:7" x14ac:dyDescent="0.25">
      <c r="B752" s="1"/>
      <c r="C752" s="1"/>
      <c r="D752" s="1"/>
      <c r="E752" s="1"/>
      <c r="F752" s="1"/>
      <c r="G752" s="1"/>
    </row>
    <row r="753" spans="2:7" x14ac:dyDescent="0.25">
      <c r="B753" s="1"/>
      <c r="C753" s="1"/>
      <c r="D753" s="1"/>
      <c r="E753" s="1"/>
      <c r="F753" s="1"/>
      <c r="G753" s="1"/>
    </row>
    <row r="754" spans="2:7" x14ac:dyDescent="0.25">
      <c r="B754" s="1"/>
      <c r="C754" s="1"/>
      <c r="D754" s="1"/>
      <c r="E754" s="1"/>
      <c r="F754" s="1"/>
      <c r="G754" s="1"/>
    </row>
    <row r="755" spans="2:7" x14ac:dyDescent="0.25">
      <c r="B755" s="1"/>
      <c r="C755" s="1"/>
      <c r="D755" s="1"/>
      <c r="E755" s="1"/>
      <c r="F755" s="1"/>
      <c r="G755" s="1"/>
    </row>
    <row r="756" spans="2:7" x14ac:dyDescent="0.25">
      <c r="B756" s="1"/>
      <c r="C756" s="1"/>
      <c r="D756" s="1"/>
      <c r="E756" s="1"/>
      <c r="F756" s="1"/>
      <c r="G756" s="1"/>
    </row>
    <row r="757" spans="2:7" x14ac:dyDescent="0.25">
      <c r="B757" s="1"/>
      <c r="C757" s="1"/>
      <c r="D757" s="1"/>
      <c r="E757" s="1"/>
      <c r="F757" s="1"/>
      <c r="G757" s="1"/>
    </row>
    <row r="758" spans="2:7" x14ac:dyDescent="0.25">
      <c r="B758" s="1"/>
      <c r="C758" s="1"/>
      <c r="D758" s="1"/>
      <c r="E758" s="1"/>
      <c r="F758" s="1"/>
      <c r="G758" s="1"/>
    </row>
    <row r="759" spans="2:7" x14ac:dyDescent="0.25">
      <c r="B759" s="1"/>
      <c r="C759" s="1"/>
      <c r="D759" s="1"/>
      <c r="E759" s="1"/>
      <c r="F759" s="1"/>
      <c r="G759" s="1"/>
    </row>
    <row r="760" spans="2:7" x14ac:dyDescent="0.25">
      <c r="B760" s="1"/>
      <c r="C760" s="1"/>
      <c r="D760" s="1"/>
      <c r="E760" s="1"/>
      <c r="F760" s="1"/>
      <c r="G760" s="1"/>
    </row>
    <row r="761" spans="2:7" x14ac:dyDescent="0.25">
      <c r="B761" s="1"/>
      <c r="C761" s="1"/>
      <c r="D761" s="1"/>
      <c r="E761" s="1"/>
      <c r="F761" s="1"/>
      <c r="G761" s="1"/>
    </row>
    <row r="762" spans="2:7" x14ac:dyDescent="0.25">
      <c r="B762" s="1"/>
      <c r="C762" s="1"/>
      <c r="D762" s="1"/>
      <c r="E762" s="1"/>
      <c r="F762" s="1"/>
      <c r="G762" s="1"/>
    </row>
    <row r="763" spans="2:7" x14ac:dyDescent="0.25">
      <c r="B763" s="1"/>
      <c r="C763" s="1"/>
      <c r="D763" s="1"/>
      <c r="E763" s="1"/>
      <c r="F763" s="1"/>
      <c r="G763" s="1"/>
    </row>
    <row r="764" spans="2:7" x14ac:dyDescent="0.25">
      <c r="B764" s="1"/>
      <c r="C764" s="1"/>
      <c r="D764" s="1"/>
      <c r="E764" s="1"/>
      <c r="F764" s="1"/>
      <c r="G764" s="1"/>
    </row>
    <row r="765" spans="2:7" x14ac:dyDescent="0.25">
      <c r="B765" s="1"/>
      <c r="C765" s="1"/>
      <c r="D765" s="1"/>
      <c r="E765" s="1"/>
      <c r="F765" s="1"/>
      <c r="G765" s="1"/>
    </row>
    <row r="766" spans="2:7" x14ac:dyDescent="0.25">
      <c r="B766" s="1"/>
      <c r="C766" s="1"/>
      <c r="D766" s="1"/>
      <c r="E766" s="1"/>
      <c r="F766" s="1"/>
      <c r="G766" s="1"/>
    </row>
    <row r="767" spans="2:7" x14ac:dyDescent="0.25">
      <c r="B767" s="1"/>
      <c r="C767" s="1"/>
      <c r="D767" s="1"/>
      <c r="E767" s="1"/>
      <c r="F767" s="1"/>
      <c r="G767" s="1"/>
    </row>
    <row r="768" spans="2:7" x14ac:dyDescent="0.25">
      <c r="B768" s="1"/>
      <c r="C768" s="1"/>
      <c r="D768" s="1"/>
      <c r="E768" s="1"/>
      <c r="F768" s="1"/>
      <c r="G768" s="1"/>
    </row>
    <row r="769" spans="2:7" x14ac:dyDescent="0.25">
      <c r="B769" s="1"/>
      <c r="C769" s="1"/>
      <c r="D769" s="1"/>
      <c r="E769" s="1"/>
      <c r="F769" s="1"/>
      <c r="G769" s="1"/>
    </row>
    <row r="770" spans="2:7" x14ac:dyDescent="0.25">
      <c r="B770" s="1"/>
      <c r="C770" s="1"/>
      <c r="D770" s="1"/>
      <c r="E770" s="1"/>
      <c r="F770" s="1"/>
      <c r="G770" s="1"/>
    </row>
    <row r="771" spans="2:7" x14ac:dyDescent="0.25">
      <c r="B771" s="1"/>
      <c r="C771" s="1"/>
      <c r="D771" s="1"/>
      <c r="E771" s="1"/>
      <c r="F771" s="1"/>
      <c r="G771" s="1"/>
    </row>
    <row r="772" spans="2:7" x14ac:dyDescent="0.25">
      <c r="B772" s="1"/>
      <c r="C772" s="1"/>
      <c r="D772" s="1"/>
      <c r="E772" s="1"/>
      <c r="F772" s="1"/>
      <c r="G772" s="1"/>
    </row>
    <row r="773" spans="2:7" x14ac:dyDescent="0.25">
      <c r="B773" s="1"/>
      <c r="C773" s="1"/>
      <c r="D773" s="1"/>
      <c r="E773" s="1"/>
      <c r="F773" s="1"/>
      <c r="G773" s="1"/>
    </row>
    <row r="774" spans="2:7" x14ac:dyDescent="0.25">
      <c r="B774" s="1"/>
      <c r="C774" s="1"/>
      <c r="D774" s="1"/>
      <c r="E774" s="1"/>
      <c r="F774" s="1"/>
      <c r="G774" s="1"/>
    </row>
    <row r="775" spans="2:7" x14ac:dyDescent="0.25">
      <c r="B775" s="1"/>
      <c r="C775" s="1"/>
      <c r="D775" s="1"/>
      <c r="E775" s="1"/>
      <c r="F775" s="1"/>
      <c r="G775" s="1"/>
    </row>
    <row r="776" spans="2:7" x14ac:dyDescent="0.25">
      <c r="B776" s="1"/>
      <c r="C776" s="1"/>
      <c r="D776" s="1"/>
      <c r="E776" s="1"/>
      <c r="F776" s="1"/>
      <c r="G776" s="1"/>
    </row>
    <row r="777" spans="2:7" x14ac:dyDescent="0.25">
      <c r="B777" s="1"/>
      <c r="C777" s="1"/>
      <c r="D777" s="1"/>
      <c r="E777" s="1"/>
      <c r="F777" s="1"/>
      <c r="G777" s="1"/>
    </row>
    <row r="778" spans="2:7" x14ac:dyDescent="0.25">
      <c r="B778" s="1"/>
      <c r="C778" s="1"/>
      <c r="D778" s="1"/>
      <c r="E778" s="1"/>
      <c r="F778" s="1"/>
      <c r="G778" s="1"/>
    </row>
    <row r="779" spans="2:7" x14ac:dyDescent="0.25">
      <c r="B779" s="1"/>
      <c r="C779" s="1"/>
      <c r="D779" s="1"/>
      <c r="E779" s="1"/>
      <c r="F779" s="1"/>
      <c r="G779" s="1"/>
    </row>
    <row r="780" spans="2:7" x14ac:dyDescent="0.25">
      <c r="B780" s="1"/>
      <c r="C780" s="1"/>
      <c r="D780" s="1"/>
      <c r="E780" s="1"/>
      <c r="F780" s="1"/>
      <c r="G780" s="1"/>
    </row>
    <row r="781" spans="2:7" x14ac:dyDescent="0.25">
      <c r="B781" s="1"/>
      <c r="C781" s="1"/>
      <c r="D781" s="1"/>
      <c r="E781" s="1"/>
      <c r="F781" s="1"/>
      <c r="G781" s="1"/>
    </row>
    <row r="782" spans="2:7" x14ac:dyDescent="0.25">
      <c r="B782" s="1"/>
      <c r="C782" s="1"/>
      <c r="D782" s="1"/>
      <c r="E782" s="1"/>
      <c r="F782" s="1"/>
      <c r="G782" s="1"/>
    </row>
    <row r="783" spans="2:7" x14ac:dyDescent="0.25">
      <c r="B783" s="1"/>
      <c r="C783" s="1"/>
      <c r="D783" s="1"/>
      <c r="E783" s="1"/>
      <c r="F783" s="1"/>
      <c r="G783" s="1"/>
    </row>
    <row r="784" spans="2:7" x14ac:dyDescent="0.25">
      <c r="B784" s="1"/>
      <c r="C784" s="1"/>
      <c r="D784" s="1"/>
      <c r="E784" s="1"/>
      <c r="F784" s="1"/>
      <c r="G784" s="1"/>
    </row>
    <row r="785" spans="2:7" x14ac:dyDescent="0.25">
      <c r="B785" s="1"/>
      <c r="C785" s="1"/>
      <c r="D785" s="1"/>
      <c r="E785" s="1"/>
      <c r="F785" s="1"/>
      <c r="G785" s="1"/>
    </row>
    <row r="786" spans="2:7" x14ac:dyDescent="0.25">
      <c r="B786" s="1"/>
      <c r="C786" s="1"/>
      <c r="D786" s="1"/>
      <c r="E786" s="1"/>
      <c r="F786" s="1"/>
      <c r="G786" s="1"/>
    </row>
    <row r="787" spans="2:7" x14ac:dyDescent="0.25">
      <c r="B787" s="1"/>
      <c r="C787" s="1"/>
      <c r="D787" s="1"/>
      <c r="E787" s="1"/>
      <c r="F787" s="1"/>
      <c r="G787" s="1"/>
    </row>
    <row r="788" spans="2:7" x14ac:dyDescent="0.25">
      <c r="B788" s="1"/>
      <c r="C788" s="1"/>
      <c r="D788" s="1"/>
      <c r="E788" s="1"/>
      <c r="F788" s="1"/>
      <c r="G788" s="1"/>
    </row>
    <row r="789" spans="2:7" x14ac:dyDescent="0.25">
      <c r="B789" s="1"/>
      <c r="C789" s="1"/>
      <c r="D789" s="1"/>
      <c r="E789" s="1"/>
      <c r="F789" s="1"/>
      <c r="G789" s="1"/>
    </row>
    <row r="790" spans="2:7" x14ac:dyDescent="0.25">
      <c r="B790" s="1"/>
      <c r="C790" s="1"/>
      <c r="D790" s="1"/>
      <c r="E790" s="1"/>
      <c r="F790" s="1"/>
      <c r="G790" s="1"/>
    </row>
    <row r="791" spans="2:7" x14ac:dyDescent="0.25">
      <c r="B791" s="1"/>
      <c r="C791" s="1"/>
      <c r="D791" s="1"/>
      <c r="E791" s="1"/>
      <c r="F791" s="1"/>
      <c r="G791" s="1"/>
    </row>
    <row r="792" spans="2:7" x14ac:dyDescent="0.25">
      <c r="B792" s="1"/>
      <c r="C792" s="1"/>
      <c r="D792" s="1"/>
      <c r="E792" s="1"/>
      <c r="F792" s="1"/>
      <c r="G792" s="1"/>
    </row>
    <row r="793" spans="2:7" x14ac:dyDescent="0.25">
      <c r="B793" s="1"/>
      <c r="C793" s="1"/>
      <c r="D793" s="1"/>
      <c r="E793" s="1"/>
      <c r="F793" s="1"/>
      <c r="G793" s="1"/>
    </row>
    <row r="794" spans="2:7" x14ac:dyDescent="0.25">
      <c r="B794" s="1"/>
      <c r="C794" s="1"/>
      <c r="D794" s="1"/>
      <c r="E794" s="1"/>
      <c r="F794" s="1"/>
      <c r="G794" s="1"/>
    </row>
    <row r="795" spans="2:7" x14ac:dyDescent="0.25">
      <c r="B795" s="1"/>
      <c r="C795" s="1"/>
      <c r="D795" s="1"/>
      <c r="E795" s="1"/>
      <c r="F795" s="1"/>
      <c r="G795" s="1"/>
    </row>
    <row r="796" spans="2:7" x14ac:dyDescent="0.25">
      <c r="B796" s="1"/>
      <c r="C796" s="1"/>
      <c r="D796" s="1"/>
      <c r="E796" s="1"/>
      <c r="F796" s="1"/>
      <c r="G796" s="1"/>
    </row>
    <row r="797" spans="2:7" x14ac:dyDescent="0.25">
      <c r="B797" s="1"/>
      <c r="C797" s="1"/>
      <c r="D797" s="1"/>
      <c r="E797" s="1"/>
      <c r="F797" s="1"/>
      <c r="G797" s="1"/>
    </row>
    <row r="798" spans="2:7" x14ac:dyDescent="0.25">
      <c r="B798" s="1"/>
      <c r="C798" s="1"/>
      <c r="D798" s="1"/>
      <c r="E798" s="1"/>
      <c r="F798" s="1"/>
      <c r="G798" s="1"/>
    </row>
    <row r="799" spans="2:7" x14ac:dyDescent="0.25">
      <c r="B799" s="1"/>
      <c r="C799" s="1"/>
      <c r="D799" s="1"/>
      <c r="E799" s="1"/>
      <c r="F799" s="1"/>
      <c r="G799" s="1"/>
    </row>
    <row r="800" spans="2:7" x14ac:dyDescent="0.25">
      <c r="B800" s="1"/>
      <c r="C800" s="1"/>
      <c r="D800" s="1"/>
      <c r="E800" s="1"/>
      <c r="F800" s="1"/>
      <c r="G800" s="1"/>
    </row>
    <row r="801" spans="2:7" x14ac:dyDescent="0.25">
      <c r="B801" s="1"/>
      <c r="C801" s="1"/>
      <c r="D801" s="1"/>
      <c r="E801" s="1"/>
      <c r="F801" s="1"/>
      <c r="G801" s="1"/>
    </row>
    <row r="802" spans="2:7" x14ac:dyDescent="0.25">
      <c r="B802" s="1"/>
      <c r="C802" s="1"/>
      <c r="D802" s="1"/>
      <c r="E802" s="1"/>
      <c r="F802" s="1"/>
      <c r="G802" s="1"/>
    </row>
    <row r="803" spans="2:7" x14ac:dyDescent="0.25">
      <c r="B803" s="1"/>
      <c r="C803" s="1"/>
      <c r="D803" s="1"/>
      <c r="E803" s="1"/>
      <c r="F803" s="1"/>
      <c r="G803" s="1"/>
    </row>
    <row r="804" spans="2:7" x14ac:dyDescent="0.25">
      <c r="B804" s="1"/>
      <c r="C804" s="1"/>
      <c r="D804" s="1"/>
      <c r="E804" s="1"/>
      <c r="F804" s="1"/>
      <c r="G804" s="1"/>
    </row>
    <row r="805" spans="2:7" x14ac:dyDescent="0.25">
      <c r="B805" s="1"/>
      <c r="C805" s="1"/>
      <c r="D805" s="1"/>
      <c r="E805" s="1"/>
      <c r="F805" s="1"/>
      <c r="G805" s="1"/>
    </row>
    <row r="806" spans="2:7" x14ac:dyDescent="0.25">
      <c r="B806" s="1"/>
      <c r="C806" s="1"/>
      <c r="D806" s="1"/>
      <c r="E806" s="1"/>
      <c r="F806" s="1"/>
      <c r="G806" s="1"/>
    </row>
    <row r="807" spans="2:7" x14ac:dyDescent="0.25">
      <c r="B807" s="1"/>
      <c r="C807" s="1"/>
      <c r="D807" s="1"/>
      <c r="E807" s="1"/>
      <c r="F807" s="1"/>
      <c r="G807" s="1"/>
    </row>
    <row r="808" spans="2:7" x14ac:dyDescent="0.25">
      <c r="B808" s="1"/>
      <c r="C808" s="1"/>
      <c r="D808" s="1"/>
      <c r="E808" s="1"/>
      <c r="F808" s="1"/>
      <c r="G808" s="1"/>
    </row>
    <row r="809" spans="2:7" x14ac:dyDescent="0.25">
      <c r="B809" s="1"/>
      <c r="C809" s="1"/>
      <c r="D809" s="1"/>
      <c r="E809" s="1"/>
      <c r="F809" s="1"/>
      <c r="G809" s="1"/>
    </row>
    <row r="810" spans="2:7" x14ac:dyDescent="0.25">
      <c r="B810" s="1"/>
      <c r="C810" s="1"/>
      <c r="D810" s="1"/>
      <c r="E810" s="1"/>
      <c r="F810" s="1"/>
      <c r="G810" s="1"/>
    </row>
    <row r="811" spans="2:7" x14ac:dyDescent="0.25">
      <c r="B811" s="1"/>
      <c r="C811" s="1"/>
      <c r="D811" s="1"/>
      <c r="E811" s="1"/>
      <c r="F811" s="1"/>
      <c r="G811" s="1"/>
    </row>
    <row r="812" spans="2:7" x14ac:dyDescent="0.25">
      <c r="B812" s="1"/>
      <c r="C812" s="1"/>
      <c r="D812" s="1"/>
      <c r="E812" s="1"/>
      <c r="F812" s="1"/>
      <c r="G812" s="1"/>
    </row>
    <row r="813" spans="2:7" x14ac:dyDescent="0.25">
      <c r="B813" s="1"/>
      <c r="C813" s="1"/>
      <c r="D813" s="1"/>
      <c r="E813" s="1"/>
      <c r="F813" s="1"/>
      <c r="G813" s="1"/>
    </row>
    <row r="814" spans="2:7" x14ac:dyDescent="0.25">
      <c r="B814" s="1"/>
      <c r="C814" s="1"/>
      <c r="D814" s="1"/>
      <c r="E814" s="1"/>
      <c r="F814" s="1"/>
      <c r="G814" s="1"/>
    </row>
    <row r="815" spans="2:7" x14ac:dyDescent="0.25">
      <c r="B815" s="1"/>
      <c r="C815" s="1"/>
      <c r="D815" s="1"/>
      <c r="E815" s="1"/>
      <c r="F815" s="1"/>
      <c r="G815" s="1"/>
    </row>
    <row r="816" spans="2:7" x14ac:dyDescent="0.25">
      <c r="B816" s="1"/>
      <c r="C816" s="1"/>
      <c r="D816" s="1"/>
      <c r="E816" s="1"/>
      <c r="F816" s="1"/>
      <c r="G816" s="1"/>
    </row>
    <row r="817" spans="2:7" x14ac:dyDescent="0.25">
      <c r="B817" s="1"/>
      <c r="C817" s="1"/>
      <c r="D817" s="1"/>
      <c r="E817" s="1"/>
      <c r="F817" s="1"/>
      <c r="G817" s="1"/>
    </row>
    <row r="818" spans="2:7" x14ac:dyDescent="0.25">
      <c r="B818" s="1"/>
      <c r="C818" s="1"/>
      <c r="D818" s="1"/>
      <c r="E818" s="1"/>
      <c r="F818" s="1"/>
      <c r="G818" s="1"/>
    </row>
    <row r="819" spans="2:7" x14ac:dyDescent="0.25">
      <c r="B819" s="1"/>
      <c r="C819" s="1"/>
      <c r="D819" s="1"/>
      <c r="E819" s="1"/>
      <c r="F819" s="1"/>
      <c r="G819" s="1"/>
    </row>
    <row r="820" spans="2:7" x14ac:dyDescent="0.25">
      <c r="B820" s="1"/>
      <c r="C820" s="1"/>
      <c r="D820" s="1"/>
      <c r="E820" s="1"/>
      <c r="F820" s="1"/>
      <c r="G820" s="1"/>
    </row>
    <row r="821" spans="2:7" x14ac:dyDescent="0.25">
      <c r="B821" s="1"/>
      <c r="C821" s="1"/>
      <c r="D821" s="1"/>
      <c r="E821" s="1"/>
      <c r="F821" s="1"/>
      <c r="G821" s="1"/>
    </row>
    <row r="822" spans="2:7" x14ac:dyDescent="0.25">
      <c r="B822" s="1"/>
      <c r="C822" s="1"/>
      <c r="D822" s="1"/>
      <c r="E822" s="1"/>
      <c r="F822" s="1"/>
      <c r="G822" s="1"/>
    </row>
    <row r="823" spans="2:7" x14ac:dyDescent="0.25">
      <c r="B823" s="1"/>
      <c r="C823" s="1"/>
      <c r="D823" s="1"/>
      <c r="E823" s="1"/>
      <c r="F823" s="1"/>
      <c r="G823" s="1"/>
    </row>
    <row r="824" spans="2:7" x14ac:dyDescent="0.25">
      <c r="B824" s="1"/>
      <c r="C824" s="1"/>
      <c r="D824" s="1"/>
      <c r="E824" s="1"/>
      <c r="F824" s="1"/>
      <c r="G824" s="1"/>
    </row>
    <row r="825" spans="2:7" x14ac:dyDescent="0.25">
      <c r="B825" s="1"/>
      <c r="C825" s="1"/>
      <c r="D825" s="1"/>
      <c r="E825" s="1"/>
      <c r="F825" s="1"/>
      <c r="G825" s="1"/>
    </row>
    <row r="826" spans="2:7" x14ac:dyDescent="0.25">
      <c r="B826" s="1"/>
      <c r="C826" s="1"/>
      <c r="D826" s="1"/>
      <c r="E826" s="1"/>
      <c r="F826" s="1"/>
      <c r="G826" s="1"/>
    </row>
    <row r="827" spans="2:7" x14ac:dyDescent="0.25">
      <c r="B827" s="1"/>
      <c r="C827" s="1"/>
      <c r="D827" s="1"/>
      <c r="E827" s="1"/>
      <c r="F827" s="1"/>
      <c r="G827" s="1"/>
    </row>
    <row r="828" spans="2:7" x14ac:dyDescent="0.25">
      <c r="B828" s="1"/>
      <c r="C828" s="1"/>
      <c r="D828" s="1"/>
      <c r="E828" s="1"/>
      <c r="F828" s="1"/>
      <c r="G828" s="1"/>
    </row>
    <row r="829" spans="2:7" x14ac:dyDescent="0.25">
      <c r="B829" s="1"/>
      <c r="C829" s="1"/>
      <c r="D829" s="1"/>
      <c r="E829" s="1"/>
      <c r="F829" s="1"/>
      <c r="G829" s="1"/>
    </row>
    <row r="830" spans="2:7" x14ac:dyDescent="0.25">
      <c r="B830" s="1"/>
      <c r="C830" s="1"/>
      <c r="D830" s="1"/>
      <c r="E830" s="1"/>
      <c r="F830" s="1"/>
      <c r="G830" s="1"/>
    </row>
    <row r="831" spans="2:7" x14ac:dyDescent="0.25">
      <c r="B831" s="1"/>
      <c r="C831" s="1"/>
      <c r="D831" s="1"/>
      <c r="E831" s="1"/>
      <c r="F831" s="1"/>
      <c r="G831" s="1"/>
    </row>
    <row r="832" spans="2:7" x14ac:dyDescent="0.25">
      <c r="B832" s="1"/>
      <c r="C832" s="1"/>
      <c r="D832" s="1"/>
      <c r="E832" s="1"/>
      <c r="F832" s="1"/>
      <c r="G832" s="1"/>
    </row>
    <row r="833" spans="2:7" x14ac:dyDescent="0.25">
      <c r="B833" s="1"/>
      <c r="C833" s="1"/>
      <c r="D833" s="1"/>
      <c r="E833" s="1"/>
      <c r="F833" s="1"/>
      <c r="G833" s="1"/>
    </row>
    <row r="834" spans="2:7" x14ac:dyDescent="0.25">
      <c r="B834" s="1"/>
      <c r="C834" s="1"/>
      <c r="D834" s="1"/>
      <c r="E834" s="1"/>
      <c r="F834" s="1"/>
      <c r="G834" s="1"/>
    </row>
    <row r="835" spans="2:7" x14ac:dyDescent="0.25">
      <c r="B835" s="1"/>
      <c r="C835" s="1"/>
      <c r="D835" s="1"/>
      <c r="E835" s="1"/>
      <c r="F835" s="1"/>
      <c r="G835" s="1"/>
    </row>
    <row r="836" spans="2:7" x14ac:dyDescent="0.25">
      <c r="B836" s="1"/>
      <c r="C836" s="1"/>
      <c r="D836" s="1"/>
      <c r="E836" s="1"/>
      <c r="F836" s="1"/>
      <c r="G836" s="1"/>
    </row>
    <row r="837" spans="2:7" x14ac:dyDescent="0.25">
      <c r="B837" s="1"/>
      <c r="C837" s="1"/>
      <c r="D837" s="1"/>
      <c r="E837" s="1"/>
      <c r="F837" s="1"/>
      <c r="G837" s="1"/>
    </row>
    <row r="838" spans="2:7" x14ac:dyDescent="0.25">
      <c r="B838" s="1"/>
      <c r="C838" s="1"/>
      <c r="D838" s="1"/>
      <c r="E838" s="1"/>
      <c r="F838" s="1"/>
      <c r="G838" s="1"/>
    </row>
    <row r="839" spans="2:7" x14ac:dyDescent="0.25">
      <c r="B839" s="1"/>
      <c r="C839" s="1"/>
      <c r="D839" s="1"/>
      <c r="E839" s="1"/>
      <c r="F839" s="1"/>
      <c r="G839" s="1"/>
    </row>
    <row r="840" spans="2:7" x14ac:dyDescent="0.25">
      <c r="B840" s="1"/>
      <c r="C840" s="1"/>
      <c r="D840" s="1"/>
      <c r="E840" s="1"/>
      <c r="F840" s="1"/>
      <c r="G840" s="1"/>
    </row>
    <row r="841" spans="2:7" x14ac:dyDescent="0.25">
      <c r="B841" s="1"/>
      <c r="C841" s="1"/>
      <c r="D841" s="1"/>
      <c r="E841" s="1"/>
      <c r="F841" s="1"/>
      <c r="G841" s="1"/>
    </row>
    <row r="842" spans="2:7" x14ac:dyDescent="0.25">
      <c r="B842" s="1"/>
      <c r="C842" s="1"/>
      <c r="D842" s="1"/>
      <c r="E842" s="1"/>
      <c r="F842" s="1"/>
      <c r="G842" s="1"/>
    </row>
    <row r="843" spans="2:7" x14ac:dyDescent="0.25">
      <c r="B843" s="1"/>
      <c r="C843" s="1"/>
      <c r="D843" s="1"/>
      <c r="E843" s="1"/>
      <c r="F843" s="1"/>
      <c r="G843" s="1"/>
    </row>
    <row r="844" spans="2:7" x14ac:dyDescent="0.25">
      <c r="B844" s="1"/>
      <c r="C844" s="1"/>
      <c r="D844" s="1"/>
      <c r="E844" s="1"/>
      <c r="F844" s="1"/>
      <c r="G844" s="1"/>
    </row>
    <row r="845" spans="2:7" x14ac:dyDescent="0.25">
      <c r="B845" s="1"/>
      <c r="C845" s="1"/>
      <c r="D845" s="1"/>
      <c r="E845" s="1"/>
      <c r="F845" s="1"/>
      <c r="G845" s="1"/>
    </row>
    <row r="846" spans="2:7" x14ac:dyDescent="0.25">
      <c r="B846" s="1"/>
      <c r="C846" s="1"/>
      <c r="D846" s="1"/>
      <c r="E846" s="1"/>
      <c r="F846" s="1"/>
      <c r="G846" s="1"/>
    </row>
    <row r="847" spans="2:7" x14ac:dyDescent="0.25">
      <c r="B847" s="1"/>
      <c r="C847" s="1"/>
      <c r="D847" s="1"/>
      <c r="E847" s="1"/>
      <c r="F847" s="1"/>
      <c r="G847" s="1"/>
    </row>
    <row r="848" spans="2:7" x14ac:dyDescent="0.25">
      <c r="B848" s="1"/>
      <c r="C848" s="1"/>
      <c r="D848" s="1"/>
      <c r="E848" s="1"/>
      <c r="F848" s="1"/>
      <c r="G848" s="1"/>
    </row>
    <row r="849" spans="2:7" x14ac:dyDescent="0.25">
      <c r="B849" s="1"/>
      <c r="C849" s="1"/>
      <c r="D849" s="1"/>
      <c r="E849" s="1"/>
      <c r="F849" s="1"/>
      <c r="G849" s="1"/>
    </row>
    <row r="850" spans="2:7" x14ac:dyDescent="0.25">
      <c r="B850" s="1"/>
      <c r="C850" s="1"/>
      <c r="D850" s="1"/>
      <c r="E850" s="1"/>
      <c r="F850" s="1"/>
      <c r="G850" s="1"/>
    </row>
    <row r="851" spans="2:7" x14ac:dyDescent="0.25">
      <c r="B851" s="1"/>
      <c r="C851" s="1"/>
      <c r="D851" s="1"/>
      <c r="E851" s="1"/>
      <c r="F851" s="1"/>
      <c r="G851" s="1"/>
    </row>
    <row r="852" spans="2:7" x14ac:dyDescent="0.25">
      <c r="B852" s="1"/>
      <c r="C852" s="1"/>
      <c r="D852" s="1"/>
      <c r="E852" s="1"/>
      <c r="F852" s="1"/>
      <c r="G852" s="1"/>
    </row>
    <row r="853" spans="2:7" x14ac:dyDescent="0.25">
      <c r="B853" s="1"/>
      <c r="C853" s="1"/>
      <c r="D853" s="1"/>
      <c r="E853" s="1"/>
      <c r="F853" s="1"/>
      <c r="G853" s="1"/>
    </row>
    <row r="854" spans="2:7" x14ac:dyDescent="0.25">
      <c r="B854" s="1"/>
      <c r="C854" s="1"/>
      <c r="D854" s="1"/>
      <c r="E854" s="1"/>
      <c r="F854" s="1"/>
      <c r="G854" s="1"/>
    </row>
    <row r="855" spans="2:7" x14ac:dyDescent="0.25">
      <c r="B855" s="1"/>
      <c r="C855" s="1"/>
      <c r="D855" s="1"/>
      <c r="E855" s="1"/>
      <c r="F855" s="1"/>
      <c r="G855" s="1"/>
    </row>
    <row r="856" spans="2:7" x14ac:dyDescent="0.25">
      <c r="B856" s="1"/>
      <c r="C856" s="1"/>
      <c r="D856" s="1"/>
      <c r="E856" s="1"/>
      <c r="F856" s="1"/>
      <c r="G856" s="1"/>
    </row>
    <row r="857" spans="2:7" x14ac:dyDescent="0.25">
      <c r="B857" s="1"/>
      <c r="C857" s="1"/>
      <c r="D857" s="1"/>
      <c r="E857" s="1"/>
      <c r="F857" s="1"/>
      <c r="G857" s="1"/>
    </row>
    <row r="858" spans="2:7" x14ac:dyDescent="0.25">
      <c r="B858" s="1"/>
      <c r="C858" s="1"/>
      <c r="D858" s="1"/>
      <c r="E858" s="1"/>
      <c r="F858" s="1"/>
      <c r="G858" s="1"/>
    </row>
    <row r="859" spans="2:7" x14ac:dyDescent="0.25">
      <c r="B859" s="1"/>
      <c r="C859" s="1"/>
      <c r="D859" s="1"/>
      <c r="E859" s="1"/>
      <c r="F859" s="1"/>
      <c r="G859" s="1"/>
    </row>
    <row r="860" spans="2:7" x14ac:dyDescent="0.25">
      <c r="B860" s="1"/>
      <c r="C860" s="1"/>
      <c r="D860" s="1"/>
      <c r="E860" s="1"/>
      <c r="F860" s="1"/>
      <c r="G860" s="1"/>
    </row>
    <row r="861" spans="2:7" x14ac:dyDescent="0.25">
      <c r="B861" s="1"/>
      <c r="C861" s="1"/>
      <c r="D861" s="1"/>
      <c r="E861" s="1"/>
      <c r="F861" s="1"/>
      <c r="G861" s="1"/>
    </row>
    <row r="862" spans="2:7" x14ac:dyDescent="0.25">
      <c r="B862" s="1"/>
      <c r="C862" s="1"/>
      <c r="D862" s="1"/>
      <c r="E862" s="1"/>
      <c r="F862" s="1"/>
      <c r="G862" s="1"/>
    </row>
    <row r="863" spans="2:7" x14ac:dyDescent="0.25">
      <c r="B863" s="1"/>
      <c r="C863" s="1"/>
      <c r="D863" s="1"/>
      <c r="E863" s="1"/>
      <c r="F863" s="1"/>
      <c r="G863" s="1"/>
    </row>
    <row r="864" spans="2:7" x14ac:dyDescent="0.25">
      <c r="B864" s="1"/>
      <c r="C864" s="1"/>
      <c r="D864" s="1"/>
      <c r="E864" s="1"/>
      <c r="F864" s="1"/>
      <c r="G864" s="1"/>
    </row>
    <row r="865" spans="2:7" x14ac:dyDescent="0.25">
      <c r="B865" s="1"/>
      <c r="C865" s="1"/>
      <c r="D865" s="1"/>
      <c r="E865" s="1"/>
      <c r="F865" s="1"/>
      <c r="G865" s="1"/>
    </row>
    <row r="866" spans="2:7" x14ac:dyDescent="0.25">
      <c r="B866" s="1"/>
      <c r="C866" s="1"/>
      <c r="D866" s="1"/>
      <c r="E866" s="1"/>
      <c r="F866" s="1"/>
      <c r="G866" s="1"/>
    </row>
    <row r="867" spans="2:7" x14ac:dyDescent="0.25">
      <c r="B867" s="1"/>
      <c r="C867" s="1"/>
      <c r="D867" s="1"/>
      <c r="E867" s="1"/>
      <c r="F867" s="1"/>
      <c r="G867" s="1"/>
    </row>
    <row r="868" spans="2:7" x14ac:dyDescent="0.25">
      <c r="B868" s="1"/>
      <c r="C868" s="1"/>
      <c r="D868" s="1"/>
      <c r="E868" s="1"/>
      <c r="F868" s="1"/>
      <c r="G868" s="1"/>
    </row>
    <row r="869" spans="2:7" x14ac:dyDescent="0.25">
      <c r="B869" s="1"/>
      <c r="C869" s="1"/>
      <c r="D869" s="1"/>
      <c r="E869" s="1"/>
      <c r="F869" s="1"/>
      <c r="G869" s="1"/>
    </row>
    <row r="870" spans="2:7" x14ac:dyDescent="0.25">
      <c r="B870" s="1"/>
      <c r="C870" s="1"/>
      <c r="D870" s="1"/>
      <c r="E870" s="1"/>
      <c r="F870" s="1"/>
      <c r="G870" s="1"/>
    </row>
    <row r="871" spans="2:7" x14ac:dyDescent="0.25">
      <c r="B871" s="1"/>
      <c r="C871" s="1"/>
      <c r="D871" s="1"/>
      <c r="E871" s="1"/>
      <c r="F871" s="1"/>
      <c r="G871" s="1"/>
    </row>
    <row r="872" spans="2:7" x14ac:dyDescent="0.25">
      <c r="B872" s="1"/>
      <c r="C872" s="1"/>
      <c r="D872" s="1"/>
      <c r="E872" s="1"/>
      <c r="F872" s="1"/>
      <c r="G872" s="1"/>
    </row>
    <row r="873" spans="2:7" x14ac:dyDescent="0.25">
      <c r="B873" s="1"/>
      <c r="C873" s="1"/>
      <c r="D873" s="1"/>
      <c r="E873" s="1"/>
      <c r="F873" s="1"/>
      <c r="G873" s="1"/>
    </row>
    <row r="874" spans="2:7" x14ac:dyDescent="0.25">
      <c r="B874" s="1"/>
      <c r="C874" s="1"/>
      <c r="D874" s="1"/>
      <c r="E874" s="1"/>
      <c r="F874" s="1"/>
      <c r="G874" s="1"/>
    </row>
    <row r="875" spans="2:7" x14ac:dyDescent="0.25">
      <c r="B875" s="1"/>
      <c r="C875" s="1"/>
      <c r="D875" s="1"/>
      <c r="E875" s="1"/>
      <c r="F875" s="1"/>
      <c r="G875" s="1"/>
    </row>
    <row r="876" spans="2:7" x14ac:dyDescent="0.25">
      <c r="B876" s="1"/>
      <c r="C876" s="1"/>
      <c r="D876" s="1"/>
      <c r="E876" s="1"/>
      <c r="F876" s="1"/>
      <c r="G876" s="1"/>
    </row>
    <row r="877" spans="2:7" x14ac:dyDescent="0.25">
      <c r="B877" s="1"/>
      <c r="C877" s="1"/>
      <c r="D877" s="1"/>
      <c r="E877" s="1"/>
      <c r="F877" s="1"/>
      <c r="G877" s="1"/>
    </row>
    <row r="878" spans="2:7" x14ac:dyDescent="0.25">
      <c r="B878" s="1"/>
      <c r="C878" s="1"/>
      <c r="D878" s="1"/>
      <c r="E878" s="1"/>
      <c r="F878" s="1"/>
      <c r="G878" s="1"/>
    </row>
    <row r="879" spans="2:7" x14ac:dyDescent="0.25">
      <c r="B879" s="1"/>
      <c r="C879" s="1"/>
      <c r="D879" s="1"/>
      <c r="E879" s="1"/>
      <c r="F879" s="1"/>
      <c r="G879" s="1"/>
    </row>
    <row r="880" spans="2:7" x14ac:dyDescent="0.25">
      <c r="B880" s="1"/>
      <c r="C880" s="1"/>
      <c r="D880" s="1"/>
      <c r="E880" s="1"/>
      <c r="F880" s="1"/>
      <c r="G880" s="1"/>
    </row>
    <row r="881" spans="2:7" x14ac:dyDescent="0.25">
      <c r="B881" s="1"/>
      <c r="C881" s="1"/>
      <c r="D881" s="1"/>
      <c r="E881" s="1"/>
      <c r="F881" s="1"/>
      <c r="G881" s="1"/>
    </row>
    <row r="882" spans="2:7" x14ac:dyDescent="0.25">
      <c r="B882" s="1"/>
      <c r="C882" s="1"/>
      <c r="D882" s="1"/>
      <c r="E882" s="1"/>
      <c r="F882" s="1"/>
      <c r="G882" s="1"/>
    </row>
    <row r="883" spans="2:7" x14ac:dyDescent="0.25">
      <c r="B883" s="1"/>
      <c r="C883" s="1"/>
      <c r="D883" s="1"/>
      <c r="E883" s="1"/>
      <c r="F883" s="1"/>
      <c r="G883" s="1"/>
    </row>
    <row r="884" spans="2:7" x14ac:dyDescent="0.25">
      <c r="B884" s="1"/>
      <c r="C884" s="1"/>
      <c r="D884" s="1"/>
      <c r="E884" s="1"/>
      <c r="F884" s="1"/>
      <c r="G884" s="1"/>
    </row>
    <row r="885" spans="2:7" x14ac:dyDescent="0.25">
      <c r="B885" s="1"/>
      <c r="C885" s="1"/>
      <c r="D885" s="1"/>
      <c r="E885" s="1"/>
      <c r="F885" s="1"/>
      <c r="G885" s="1"/>
    </row>
    <row r="886" spans="2:7" x14ac:dyDescent="0.25">
      <c r="B886" s="1"/>
      <c r="C886" s="1"/>
      <c r="D886" s="1"/>
      <c r="E886" s="1"/>
      <c r="F886" s="1"/>
      <c r="G886" s="1"/>
    </row>
    <row r="887" spans="2:7" x14ac:dyDescent="0.25">
      <c r="B887" s="1"/>
      <c r="C887" s="1"/>
      <c r="D887" s="1"/>
      <c r="E887" s="1"/>
      <c r="F887" s="1"/>
      <c r="G887" s="1"/>
    </row>
    <row r="888" spans="2:7" x14ac:dyDescent="0.25">
      <c r="B888" s="1"/>
      <c r="C888" s="1"/>
      <c r="D888" s="1"/>
      <c r="E888" s="1"/>
      <c r="F888" s="1"/>
      <c r="G888" s="1"/>
    </row>
    <row r="889" spans="2:7" x14ac:dyDescent="0.25">
      <c r="B889" s="1"/>
      <c r="C889" s="1"/>
      <c r="D889" s="1"/>
      <c r="E889" s="1"/>
      <c r="F889" s="1"/>
      <c r="G889" s="1"/>
    </row>
    <row r="890" spans="2:7" x14ac:dyDescent="0.25">
      <c r="B890" s="1"/>
      <c r="C890" s="1"/>
      <c r="D890" s="1"/>
      <c r="E890" s="1"/>
      <c r="F890" s="1"/>
      <c r="G890" s="1"/>
    </row>
    <row r="891" spans="2:7" x14ac:dyDescent="0.25">
      <c r="B891" s="1"/>
      <c r="C891" s="1"/>
      <c r="D891" s="1"/>
      <c r="E891" s="1"/>
      <c r="F891" s="1"/>
      <c r="G891" s="1"/>
    </row>
    <row r="892" spans="2:7" x14ac:dyDescent="0.25">
      <c r="B892" s="1"/>
      <c r="C892" s="1"/>
      <c r="D892" s="1"/>
      <c r="E892" s="1"/>
      <c r="F892" s="1"/>
      <c r="G892" s="1"/>
    </row>
    <row r="893" spans="2:7" x14ac:dyDescent="0.25">
      <c r="B893" s="1"/>
      <c r="C893" s="1"/>
      <c r="D893" s="1"/>
      <c r="E893" s="1"/>
      <c r="F893" s="1"/>
      <c r="G893" s="1"/>
    </row>
    <row r="894" spans="2:7" x14ac:dyDescent="0.25">
      <c r="B894" s="1"/>
      <c r="C894" s="1"/>
      <c r="D894" s="1"/>
      <c r="E894" s="1"/>
      <c r="F894" s="1"/>
      <c r="G894" s="1"/>
    </row>
    <row r="895" spans="2:7" x14ac:dyDescent="0.25">
      <c r="B895" s="1"/>
      <c r="C895" s="1"/>
      <c r="D895" s="1"/>
      <c r="E895" s="1"/>
      <c r="F895" s="1"/>
      <c r="G895" s="1"/>
    </row>
    <row r="896" spans="2:7" x14ac:dyDescent="0.25">
      <c r="B896" s="1"/>
      <c r="C896" s="1"/>
      <c r="D896" s="1"/>
      <c r="E896" s="1"/>
      <c r="F896" s="1"/>
      <c r="G896" s="1"/>
    </row>
    <row r="897" spans="2:7" x14ac:dyDescent="0.25">
      <c r="B897" s="1"/>
      <c r="C897" s="1"/>
      <c r="D897" s="1"/>
      <c r="E897" s="1"/>
      <c r="F897" s="1"/>
      <c r="G897" s="1"/>
    </row>
    <row r="898" spans="2:7" x14ac:dyDescent="0.25">
      <c r="B898" s="1"/>
      <c r="C898" s="1"/>
      <c r="D898" s="1"/>
      <c r="E898" s="1"/>
      <c r="F898" s="1"/>
      <c r="G898" s="1"/>
    </row>
    <row r="899" spans="2:7" x14ac:dyDescent="0.25">
      <c r="B899" s="1"/>
      <c r="C899" s="1"/>
      <c r="D899" s="1"/>
      <c r="E899" s="1"/>
      <c r="F899" s="1"/>
      <c r="G899" s="1"/>
    </row>
    <row r="900" spans="2:7" x14ac:dyDescent="0.25">
      <c r="B900" s="1"/>
      <c r="C900" s="1"/>
      <c r="D900" s="1"/>
      <c r="E900" s="1"/>
      <c r="F900" s="1"/>
      <c r="G900" s="1"/>
    </row>
    <row r="901" spans="2:7" x14ac:dyDescent="0.25">
      <c r="B901" s="1"/>
      <c r="C901" s="1"/>
      <c r="D901" s="1"/>
      <c r="E901" s="1"/>
      <c r="F901" s="1"/>
      <c r="G901" s="1"/>
    </row>
    <row r="902" spans="2:7" x14ac:dyDescent="0.25">
      <c r="B902" s="1"/>
      <c r="C902" s="1"/>
      <c r="D902" s="1"/>
      <c r="E902" s="1"/>
      <c r="F902" s="1"/>
      <c r="G902" s="1"/>
    </row>
    <row r="903" spans="2:7" x14ac:dyDescent="0.25">
      <c r="B903" s="1"/>
      <c r="C903" s="1"/>
      <c r="D903" s="1"/>
      <c r="E903" s="1"/>
      <c r="F903" s="1"/>
      <c r="G903" s="1"/>
    </row>
    <row r="904" spans="2:7" x14ac:dyDescent="0.25">
      <c r="B904" s="1"/>
      <c r="C904" s="1"/>
      <c r="D904" s="1"/>
      <c r="E904" s="1"/>
      <c r="F904" s="1"/>
      <c r="G904" s="1"/>
    </row>
    <row r="905" spans="2:7" x14ac:dyDescent="0.25">
      <c r="B905" s="1"/>
      <c r="C905" s="1"/>
      <c r="D905" s="1"/>
      <c r="E905" s="1"/>
      <c r="F905" s="1"/>
      <c r="G905" s="1"/>
    </row>
    <row r="906" spans="2:7" x14ac:dyDescent="0.25">
      <c r="B906" s="1"/>
      <c r="C906" s="1"/>
      <c r="D906" s="1"/>
      <c r="E906" s="1"/>
      <c r="F906" s="1"/>
      <c r="G906" s="1"/>
    </row>
    <row r="907" spans="2:7" x14ac:dyDescent="0.25">
      <c r="B907" s="1"/>
      <c r="C907" s="1"/>
      <c r="D907" s="1"/>
      <c r="E907" s="1"/>
      <c r="F907" s="1"/>
      <c r="G907" s="1"/>
    </row>
    <row r="908" spans="2:7" x14ac:dyDescent="0.25">
      <c r="B908" s="1"/>
      <c r="C908" s="1"/>
      <c r="D908" s="1"/>
      <c r="E908" s="1"/>
      <c r="F908" s="1"/>
      <c r="G908" s="1"/>
    </row>
    <row r="909" spans="2:7" x14ac:dyDescent="0.25">
      <c r="B909" s="1"/>
      <c r="C909" s="1"/>
      <c r="D909" s="1"/>
      <c r="E909" s="1"/>
      <c r="F909" s="1"/>
      <c r="G909" s="1"/>
    </row>
    <row r="910" spans="2:7" x14ac:dyDescent="0.25">
      <c r="B910" s="1"/>
      <c r="C910" s="1"/>
      <c r="D910" s="1"/>
      <c r="E910" s="1"/>
      <c r="F910" s="1"/>
      <c r="G910" s="1"/>
    </row>
    <row r="911" spans="2:7" x14ac:dyDescent="0.25">
      <c r="B911" s="1"/>
      <c r="C911" s="1"/>
      <c r="D911" s="1"/>
      <c r="E911" s="1"/>
      <c r="F911" s="1"/>
      <c r="G911" s="1"/>
    </row>
    <row r="912" spans="2:7" x14ac:dyDescent="0.25">
      <c r="B912" s="1"/>
      <c r="C912" s="1"/>
      <c r="D912" s="1"/>
      <c r="E912" s="1"/>
      <c r="F912" s="1"/>
      <c r="G912" s="1"/>
    </row>
    <row r="913" spans="2:7" x14ac:dyDescent="0.25">
      <c r="B913" s="1"/>
      <c r="C913" s="1"/>
      <c r="D913" s="1"/>
      <c r="E913" s="1"/>
      <c r="F913" s="1"/>
      <c r="G913" s="1"/>
    </row>
    <row r="914" spans="2:7" x14ac:dyDescent="0.25">
      <c r="B914" s="1"/>
      <c r="C914" s="1"/>
      <c r="D914" s="1"/>
      <c r="E914" s="1"/>
      <c r="F914" s="1"/>
      <c r="G914" s="1"/>
    </row>
    <row r="915" spans="2:7" x14ac:dyDescent="0.25">
      <c r="B915" s="1"/>
      <c r="C915" s="1"/>
      <c r="D915" s="1"/>
      <c r="E915" s="1"/>
      <c r="F915" s="1"/>
      <c r="G915" s="1"/>
    </row>
    <row r="916" spans="2:7" x14ac:dyDescent="0.25">
      <c r="B916" s="1"/>
      <c r="C916" s="1"/>
      <c r="D916" s="1"/>
      <c r="E916" s="1"/>
      <c r="F916" s="1"/>
      <c r="G916" s="1"/>
    </row>
    <row r="917" spans="2:7" x14ac:dyDescent="0.25">
      <c r="B917" s="1"/>
      <c r="C917" s="1"/>
      <c r="D917" s="1"/>
      <c r="E917" s="1"/>
      <c r="F917" s="1"/>
      <c r="G917" s="1"/>
    </row>
    <row r="918" spans="2:7" x14ac:dyDescent="0.25">
      <c r="B918" s="1"/>
      <c r="C918" s="1"/>
      <c r="D918" s="1"/>
      <c r="E918" s="1"/>
      <c r="F918" s="1"/>
      <c r="G918" s="1"/>
    </row>
    <row r="919" spans="2:7" x14ac:dyDescent="0.25">
      <c r="B919" s="1"/>
      <c r="C919" s="1"/>
      <c r="D919" s="1"/>
      <c r="E919" s="1"/>
      <c r="F919" s="1"/>
      <c r="G919" s="1"/>
    </row>
    <row r="920" spans="2:7" x14ac:dyDescent="0.25">
      <c r="B920" s="1"/>
      <c r="C920" s="1"/>
      <c r="D920" s="1"/>
      <c r="E920" s="1"/>
      <c r="F920" s="1"/>
      <c r="G920" s="1"/>
    </row>
    <row r="921" spans="2:7" x14ac:dyDescent="0.25">
      <c r="B921" s="1"/>
      <c r="C921" s="1"/>
      <c r="D921" s="1"/>
      <c r="E921" s="1"/>
      <c r="F921" s="1"/>
      <c r="G921" s="1"/>
    </row>
    <row r="922" spans="2:7" x14ac:dyDescent="0.25">
      <c r="B922" s="1"/>
      <c r="C922" s="1"/>
      <c r="D922" s="1"/>
      <c r="E922" s="1"/>
      <c r="F922" s="1"/>
      <c r="G922" s="1"/>
    </row>
    <row r="923" spans="2:7" x14ac:dyDescent="0.25">
      <c r="B923" s="1"/>
      <c r="C923" s="1"/>
      <c r="D923" s="1"/>
      <c r="E923" s="1"/>
      <c r="F923" s="1"/>
      <c r="G923" s="1"/>
    </row>
    <row r="924" spans="2:7" x14ac:dyDescent="0.25">
      <c r="B924" s="1"/>
      <c r="C924" s="1"/>
      <c r="D924" s="1"/>
      <c r="E924" s="1"/>
      <c r="F924" s="1"/>
      <c r="G924" s="1"/>
    </row>
    <row r="925" spans="2:7" x14ac:dyDescent="0.25">
      <c r="B925" s="1"/>
      <c r="C925" s="1"/>
      <c r="D925" s="1"/>
      <c r="E925" s="1"/>
      <c r="F925" s="1"/>
      <c r="G925" s="1"/>
    </row>
    <row r="926" spans="2:7" x14ac:dyDescent="0.25">
      <c r="B926" s="1"/>
      <c r="C926" s="1"/>
      <c r="D926" s="1"/>
      <c r="E926" s="1"/>
      <c r="F926" s="1"/>
      <c r="G926" s="1"/>
    </row>
    <row r="927" spans="2:7" x14ac:dyDescent="0.25">
      <c r="B927" s="1"/>
      <c r="C927" s="1"/>
      <c r="D927" s="1"/>
      <c r="E927" s="1"/>
      <c r="F927" s="1"/>
      <c r="G927" s="1"/>
    </row>
    <row r="928" spans="2:7" x14ac:dyDescent="0.25">
      <c r="B928" s="1"/>
      <c r="C928" s="1"/>
      <c r="D928" s="1"/>
      <c r="E928" s="1"/>
      <c r="F928" s="1"/>
      <c r="G928" s="1"/>
    </row>
    <row r="929" spans="2:7" x14ac:dyDescent="0.25">
      <c r="B929" s="1"/>
      <c r="C929" s="1"/>
      <c r="D929" s="1"/>
      <c r="E929" s="1"/>
      <c r="F929" s="1"/>
      <c r="G929" s="1"/>
    </row>
    <row r="930" spans="2:7" x14ac:dyDescent="0.25">
      <c r="B930" s="1"/>
      <c r="C930" s="1"/>
      <c r="D930" s="1"/>
      <c r="E930" s="1"/>
      <c r="F930" s="1"/>
      <c r="G930" s="1"/>
    </row>
    <row r="931" spans="2:7" x14ac:dyDescent="0.25">
      <c r="B931" s="1"/>
      <c r="C931" s="1"/>
      <c r="D931" s="1"/>
      <c r="E931" s="1"/>
      <c r="F931" s="1"/>
      <c r="G931" s="1"/>
    </row>
    <row r="932" spans="2:7" x14ac:dyDescent="0.25">
      <c r="B932" s="1"/>
      <c r="C932" s="1"/>
      <c r="D932" s="1"/>
      <c r="E932" s="1"/>
      <c r="F932" s="1"/>
      <c r="G932" s="1"/>
    </row>
    <row r="933" spans="2:7" x14ac:dyDescent="0.25">
      <c r="B933" s="1"/>
      <c r="C933" s="1"/>
      <c r="D933" s="1"/>
      <c r="E933" s="1"/>
      <c r="F933" s="1"/>
      <c r="G933" s="1"/>
    </row>
    <row r="934" spans="2:7" x14ac:dyDescent="0.25">
      <c r="B934" s="1"/>
      <c r="C934" s="1"/>
      <c r="D934" s="1"/>
      <c r="E934" s="1"/>
      <c r="F934" s="1"/>
      <c r="G934" s="1"/>
    </row>
    <row r="935" spans="2:7" x14ac:dyDescent="0.25">
      <c r="B935" s="1"/>
      <c r="C935" s="1"/>
      <c r="D935" s="1"/>
      <c r="E935" s="1"/>
      <c r="F935" s="1"/>
      <c r="G935" s="1"/>
    </row>
    <row r="936" spans="2:7" x14ac:dyDescent="0.25">
      <c r="B936" s="1"/>
      <c r="C936" s="1"/>
      <c r="D936" s="1"/>
      <c r="E936" s="1"/>
      <c r="F936" s="1"/>
      <c r="G936" s="1"/>
    </row>
    <row r="937" spans="2:7" x14ac:dyDescent="0.25">
      <c r="B937" s="1"/>
      <c r="C937" s="1"/>
      <c r="D937" s="1"/>
      <c r="E937" s="1"/>
      <c r="F937" s="1"/>
      <c r="G937" s="1"/>
    </row>
    <row r="938" spans="2:7" x14ac:dyDescent="0.25">
      <c r="B938" s="1"/>
      <c r="C938" s="1"/>
      <c r="D938" s="1"/>
      <c r="E938" s="1"/>
      <c r="F938" s="1"/>
      <c r="G938" s="1"/>
    </row>
    <row r="939" spans="2:7" x14ac:dyDescent="0.25">
      <c r="B939" s="1"/>
      <c r="C939" s="1"/>
      <c r="D939" s="1"/>
      <c r="E939" s="1"/>
      <c r="F939" s="1"/>
      <c r="G939" s="1"/>
    </row>
    <row r="940" spans="2:7" x14ac:dyDescent="0.25">
      <c r="B940" s="1"/>
      <c r="C940" s="1"/>
      <c r="D940" s="1"/>
      <c r="E940" s="1"/>
      <c r="F940" s="1"/>
      <c r="G940" s="1"/>
    </row>
    <row r="941" spans="2:7" x14ac:dyDescent="0.25">
      <c r="B941" s="1"/>
      <c r="C941" s="1"/>
      <c r="D941" s="1"/>
      <c r="E941" s="1"/>
      <c r="F941" s="1"/>
      <c r="G941" s="1"/>
    </row>
    <row r="942" spans="2:7" x14ac:dyDescent="0.25">
      <c r="B942" s="1"/>
      <c r="C942" s="1"/>
      <c r="D942" s="1"/>
      <c r="E942" s="1"/>
      <c r="F942" s="1"/>
      <c r="G942" s="1"/>
    </row>
    <row r="943" spans="2:7" x14ac:dyDescent="0.25">
      <c r="B943" s="1"/>
      <c r="C943" s="1"/>
      <c r="D943" s="1"/>
      <c r="E943" s="1"/>
      <c r="F943" s="1"/>
      <c r="G943" s="1"/>
    </row>
    <row r="944" spans="2:7" x14ac:dyDescent="0.25">
      <c r="B944" s="1"/>
      <c r="C944" s="1"/>
      <c r="D944" s="1"/>
      <c r="E944" s="1"/>
      <c r="F944" s="1"/>
      <c r="G944" s="1"/>
    </row>
    <row r="945" spans="2:7" x14ac:dyDescent="0.25">
      <c r="B945" s="1"/>
      <c r="C945" s="1"/>
      <c r="D945" s="1"/>
      <c r="E945" s="1"/>
      <c r="F945" s="1"/>
      <c r="G945" s="1"/>
    </row>
    <row r="946" spans="2:7" x14ac:dyDescent="0.25">
      <c r="B946" s="1"/>
      <c r="C946" s="1"/>
      <c r="D946" s="1"/>
      <c r="E946" s="1"/>
      <c r="F946" s="1"/>
      <c r="G946" s="1"/>
    </row>
    <row r="947" spans="2:7" x14ac:dyDescent="0.25">
      <c r="B947" s="1"/>
      <c r="C947" s="1"/>
      <c r="D947" s="1"/>
      <c r="E947" s="1"/>
      <c r="F947" s="1"/>
      <c r="G947" s="1"/>
    </row>
    <row r="948" spans="2:7" x14ac:dyDescent="0.25">
      <c r="B948" s="1"/>
      <c r="C948" s="1"/>
      <c r="D948" s="1"/>
      <c r="E948" s="1"/>
      <c r="F948" s="1"/>
      <c r="G948" s="1"/>
    </row>
    <row r="949" spans="2:7" x14ac:dyDescent="0.25">
      <c r="B949" s="1"/>
      <c r="C949" s="1"/>
      <c r="D949" s="1"/>
      <c r="E949" s="1"/>
      <c r="F949" s="1"/>
      <c r="G949" s="1"/>
    </row>
    <row r="950" spans="2:7" x14ac:dyDescent="0.25">
      <c r="B950" s="1"/>
      <c r="C950" s="1"/>
      <c r="D950" s="1"/>
      <c r="E950" s="1"/>
      <c r="F950" s="1"/>
      <c r="G950" s="1"/>
    </row>
    <row r="951" spans="2:7" x14ac:dyDescent="0.25">
      <c r="B951" s="1"/>
      <c r="C951" s="1"/>
      <c r="D951" s="1"/>
      <c r="E951" s="1"/>
      <c r="F951" s="1"/>
      <c r="G951" s="1"/>
    </row>
    <row r="952" spans="2:7" x14ac:dyDescent="0.25">
      <c r="B952" s="1"/>
      <c r="C952" s="1"/>
      <c r="D952" s="1"/>
      <c r="E952" s="1"/>
      <c r="F952" s="1"/>
      <c r="G952" s="1"/>
    </row>
    <row r="953" spans="2:7" x14ac:dyDescent="0.25">
      <c r="B953" s="1"/>
      <c r="C953" s="1"/>
      <c r="D953" s="1"/>
      <c r="E953" s="1"/>
      <c r="F953" s="1"/>
      <c r="G953" s="1"/>
    </row>
    <row r="954" spans="2:7" x14ac:dyDescent="0.25">
      <c r="B954" s="1"/>
      <c r="C954" s="1"/>
      <c r="D954" s="1"/>
      <c r="E954" s="1"/>
      <c r="F954" s="1"/>
      <c r="G954" s="1"/>
    </row>
    <row r="955" spans="2:7" x14ac:dyDescent="0.25">
      <c r="B955" s="1"/>
      <c r="C955" s="1"/>
      <c r="D955" s="1"/>
      <c r="E955" s="1"/>
      <c r="F955" s="1"/>
      <c r="G955" s="1"/>
    </row>
    <row r="956" spans="2:7" x14ac:dyDescent="0.25">
      <c r="B956" s="1"/>
      <c r="C956" s="1"/>
      <c r="D956" s="1"/>
      <c r="E956" s="1"/>
      <c r="F956" s="1"/>
      <c r="G956" s="1"/>
    </row>
    <row r="957" spans="2:7" x14ac:dyDescent="0.25">
      <c r="B957" s="1"/>
      <c r="C957" s="1"/>
      <c r="D957" s="1"/>
      <c r="E957" s="1"/>
      <c r="F957" s="1"/>
      <c r="G957" s="1"/>
    </row>
    <row r="958" spans="2:7" x14ac:dyDescent="0.25">
      <c r="B958" s="1"/>
      <c r="C958" s="1"/>
      <c r="D958" s="1"/>
      <c r="E958" s="1"/>
      <c r="F958" s="1"/>
      <c r="G958" s="1"/>
    </row>
    <row r="959" spans="2:7" x14ac:dyDescent="0.25">
      <c r="B959" s="1"/>
      <c r="C959" s="1"/>
      <c r="D959" s="1"/>
      <c r="E959" s="1"/>
      <c r="F959" s="1"/>
      <c r="G959" s="1"/>
    </row>
    <row r="960" spans="2:7" x14ac:dyDescent="0.25">
      <c r="B960" s="1"/>
      <c r="C960" s="1"/>
      <c r="D960" s="1"/>
      <c r="E960" s="1"/>
      <c r="F960" s="1"/>
      <c r="G960" s="1"/>
    </row>
    <row r="961" spans="2:7" x14ac:dyDescent="0.25">
      <c r="B961" s="1"/>
      <c r="C961" s="1"/>
      <c r="D961" s="1"/>
      <c r="E961" s="1"/>
      <c r="F961" s="1"/>
      <c r="G961" s="1"/>
    </row>
    <row r="962" spans="2:7" x14ac:dyDescent="0.25">
      <c r="B962" s="1"/>
      <c r="C962" s="1"/>
      <c r="D962" s="1"/>
      <c r="E962" s="1"/>
      <c r="F962" s="1"/>
      <c r="G962" s="1"/>
    </row>
    <row r="963" spans="2:7" x14ac:dyDescent="0.25">
      <c r="B963" s="1"/>
      <c r="C963" s="1"/>
      <c r="D963" s="1"/>
      <c r="E963" s="1"/>
      <c r="F963" s="1"/>
      <c r="G963" s="1"/>
    </row>
    <row r="964" spans="2:7" x14ac:dyDescent="0.25">
      <c r="B964" s="1"/>
      <c r="C964" s="1"/>
      <c r="D964" s="1"/>
      <c r="E964" s="1"/>
      <c r="F964" s="1"/>
      <c r="G964" s="1"/>
    </row>
    <row r="965" spans="2:7" x14ac:dyDescent="0.25">
      <c r="B965" s="1"/>
      <c r="C965" s="1"/>
      <c r="D965" s="1"/>
      <c r="E965" s="1"/>
      <c r="F965" s="1"/>
      <c r="G965" s="1"/>
    </row>
    <row r="966" spans="2:7" x14ac:dyDescent="0.25">
      <c r="B966" s="1"/>
      <c r="C966" s="1"/>
      <c r="D966" s="1"/>
      <c r="E966" s="1"/>
      <c r="F966" s="1"/>
      <c r="G966" s="1"/>
    </row>
    <row r="967" spans="2:7" x14ac:dyDescent="0.25">
      <c r="B967" s="1"/>
      <c r="C967" s="1"/>
      <c r="D967" s="1"/>
      <c r="E967" s="1"/>
      <c r="F967" s="1"/>
      <c r="G967" s="1"/>
    </row>
    <row r="968" spans="2:7" x14ac:dyDescent="0.25">
      <c r="B968" s="1"/>
      <c r="C968" s="1"/>
      <c r="D968" s="1"/>
      <c r="E968" s="1"/>
      <c r="F968" s="1"/>
      <c r="G968" s="1"/>
    </row>
    <row r="969" spans="2:7" x14ac:dyDescent="0.25">
      <c r="B969" s="1"/>
      <c r="C969" s="1"/>
      <c r="D969" s="1"/>
      <c r="E969" s="1"/>
      <c r="F969" s="1"/>
      <c r="G969" s="1"/>
    </row>
    <row r="970" spans="2:7" x14ac:dyDescent="0.25">
      <c r="B970" s="1"/>
      <c r="C970" s="1"/>
      <c r="D970" s="1"/>
      <c r="E970" s="1"/>
      <c r="F970" s="1"/>
      <c r="G970" s="1"/>
    </row>
    <row r="971" spans="2:7" x14ac:dyDescent="0.25">
      <c r="B971" s="1"/>
      <c r="C971" s="1"/>
      <c r="D971" s="1"/>
      <c r="E971" s="1"/>
      <c r="F971" s="1"/>
      <c r="G971" s="1"/>
    </row>
    <row r="972" spans="2:7" x14ac:dyDescent="0.25">
      <c r="B972" s="1"/>
      <c r="C972" s="1"/>
      <c r="D972" s="1"/>
      <c r="E972" s="1"/>
      <c r="F972" s="1"/>
      <c r="G972" s="1"/>
    </row>
    <row r="973" spans="2:7" x14ac:dyDescent="0.25">
      <c r="B973" s="1"/>
      <c r="C973" s="1"/>
      <c r="D973" s="1"/>
      <c r="E973" s="1"/>
      <c r="F973" s="1"/>
      <c r="G973" s="1"/>
    </row>
    <row r="974" spans="2:7" x14ac:dyDescent="0.25">
      <c r="B974" s="1"/>
      <c r="C974" s="1"/>
      <c r="D974" s="1"/>
      <c r="E974" s="1"/>
      <c r="F974" s="1"/>
      <c r="G974" s="1"/>
    </row>
    <row r="975" spans="2:7" x14ac:dyDescent="0.25">
      <c r="B975" s="1"/>
      <c r="C975" s="1"/>
      <c r="D975" s="1"/>
      <c r="E975" s="1"/>
      <c r="F975" s="1"/>
      <c r="G975" s="1"/>
    </row>
    <row r="976" spans="2:7" x14ac:dyDescent="0.25">
      <c r="B976" s="1"/>
      <c r="C976" s="1"/>
      <c r="D976" s="1"/>
      <c r="E976" s="1"/>
      <c r="F976" s="1"/>
      <c r="G976" s="1"/>
    </row>
    <row r="977" spans="2:7" x14ac:dyDescent="0.25">
      <c r="B977" s="1"/>
      <c r="C977" s="1"/>
      <c r="D977" s="1"/>
      <c r="E977" s="1"/>
      <c r="F977" s="1"/>
      <c r="G977" s="1"/>
    </row>
    <row r="978" spans="2:7" x14ac:dyDescent="0.25">
      <c r="B978" s="1"/>
      <c r="C978" s="1"/>
      <c r="D978" s="1"/>
      <c r="E978" s="1"/>
      <c r="F978" s="1"/>
      <c r="G978" s="1"/>
    </row>
    <row r="979" spans="2:7" x14ac:dyDescent="0.25">
      <c r="B979" s="1"/>
      <c r="C979" s="1"/>
      <c r="D979" s="1"/>
      <c r="E979" s="1"/>
      <c r="F979" s="1"/>
      <c r="G979" s="1"/>
    </row>
    <row r="980" spans="2:7" x14ac:dyDescent="0.25">
      <c r="B980" s="1"/>
      <c r="C980" s="1"/>
      <c r="D980" s="1"/>
      <c r="E980" s="1"/>
      <c r="F980" s="1"/>
      <c r="G980" s="1"/>
    </row>
    <row r="981" spans="2:7" x14ac:dyDescent="0.25">
      <c r="B981" s="1"/>
      <c r="C981" s="1"/>
      <c r="D981" s="1"/>
      <c r="E981" s="1"/>
      <c r="F981" s="1"/>
      <c r="G981" s="1"/>
    </row>
    <row r="982" spans="2:7" x14ac:dyDescent="0.25">
      <c r="B982" s="1"/>
      <c r="C982" s="1"/>
      <c r="D982" s="1"/>
      <c r="E982" s="1"/>
      <c r="F982" s="1"/>
      <c r="G982" s="1"/>
    </row>
    <row r="983" spans="2:7" x14ac:dyDescent="0.25">
      <c r="B983" s="1"/>
      <c r="C983" s="1"/>
      <c r="D983" s="1"/>
      <c r="E983" s="1"/>
      <c r="F983" s="1"/>
      <c r="G983" s="1"/>
    </row>
    <row r="984" spans="2:7" x14ac:dyDescent="0.25">
      <c r="B984" s="1"/>
      <c r="C984" s="1"/>
      <c r="D984" s="1"/>
      <c r="E984" s="1"/>
      <c r="F984" s="1"/>
      <c r="G984" s="1"/>
    </row>
    <row r="985" spans="2:7" x14ac:dyDescent="0.25">
      <c r="B985" s="1"/>
      <c r="C985" s="1"/>
      <c r="D985" s="1"/>
      <c r="E985" s="1"/>
      <c r="F985" s="1"/>
      <c r="G985" s="1"/>
    </row>
    <row r="986" spans="2:7" x14ac:dyDescent="0.25">
      <c r="B986" s="1"/>
      <c r="C986" s="1"/>
      <c r="D986" s="1"/>
      <c r="E986" s="1"/>
      <c r="F986" s="1"/>
      <c r="G986" s="1"/>
    </row>
    <row r="987" spans="2:7" x14ac:dyDescent="0.25">
      <c r="B987" s="1"/>
      <c r="C987" s="1"/>
      <c r="D987" s="1"/>
      <c r="E987" s="1"/>
      <c r="F987" s="1"/>
      <c r="G987" s="1"/>
    </row>
    <row r="988" spans="2:7" x14ac:dyDescent="0.25">
      <c r="B988" s="1"/>
      <c r="C988" s="1"/>
      <c r="D988" s="1"/>
      <c r="E988" s="1"/>
      <c r="F988" s="1"/>
      <c r="G988" s="1"/>
    </row>
    <row r="989" spans="2:7" x14ac:dyDescent="0.25">
      <c r="B989" s="1"/>
      <c r="C989" s="1"/>
      <c r="D989" s="1"/>
      <c r="E989" s="1"/>
      <c r="F989" s="1"/>
      <c r="G989" s="1"/>
    </row>
    <row r="990" spans="2:7" x14ac:dyDescent="0.25">
      <c r="B990" s="1"/>
      <c r="C990" s="1"/>
      <c r="D990" s="1"/>
      <c r="E990" s="1"/>
      <c r="F990" s="1"/>
      <c r="G990" s="1"/>
    </row>
    <row r="991" spans="2:7" x14ac:dyDescent="0.25">
      <c r="B991" s="1"/>
      <c r="C991" s="1"/>
      <c r="D991" s="1"/>
      <c r="E991" s="1"/>
      <c r="F991" s="1"/>
      <c r="G991" s="1"/>
    </row>
    <row r="992" spans="2:7" x14ac:dyDescent="0.25">
      <c r="B992" s="1"/>
      <c r="C992" s="1"/>
      <c r="D992" s="1"/>
      <c r="E992" s="1"/>
      <c r="F992" s="1"/>
      <c r="G992" s="1"/>
    </row>
    <row r="993" spans="2:7" x14ac:dyDescent="0.25">
      <c r="B993" s="1"/>
      <c r="C993" s="1"/>
      <c r="D993" s="1"/>
      <c r="E993" s="1"/>
      <c r="F993" s="1"/>
      <c r="G993" s="1"/>
    </row>
    <row r="994" spans="2:7" x14ac:dyDescent="0.25">
      <c r="B994" s="1"/>
      <c r="C994" s="1"/>
      <c r="D994" s="1"/>
      <c r="E994" s="1"/>
      <c r="F994" s="1"/>
      <c r="G994" s="1"/>
    </row>
    <row r="995" spans="2:7" x14ac:dyDescent="0.25">
      <c r="B995" s="1"/>
      <c r="C995" s="1"/>
      <c r="D995" s="1"/>
      <c r="E995" s="1"/>
      <c r="F995" s="1"/>
      <c r="G995" s="1"/>
    </row>
    <row r="996" spans="2:7" x14ac:dyDescent="0.25">
      <c r="B996" s="1"/>
      <c r="C996" s="1"/>
      <c r="D996" s="1"/>
      <c r="E996" s="1"/>
      <c r="F996" s="1"/>
      <c r="G996" s="1"/>
    </row>
    <row r="997" spans="2:7" x14ac:dyDescent="0.25">
      <c r="B997" s="1"/>
      <c r="C997" s="1"/>
      <c r="D997" s="1"/>
      <c r="E997" s="1"/>
      <c r="F997" s="1"/>
      <c r="G997" s="1"/>
    </row>
    <row r="998" spans="2:7" x14ac:dyDescent="0.25">
      <c r="B998" s="1"/>
      <c r="C998" s="1"/>
      <c r="D998" s="1"/>
      <c r="E998" s="1"/>
      <c r="F998" s="1"/>
      <c r="G998" s="1"/>
    </row>
    <row r="999" spans="2:7" x14ac:dyDescent="0.25">
      <c r="B999" s="1"/>
      <c r="C999" s="1"/>
      <c r="D999" s="1"/>
      <c r="E999" s="1"/>
      <c r="F999" s="1"/>
      <c r="G999" s="1"/>
    </row>
    <row r="1000" spans="2:7" x14ac:dyDescent="0.25">
      <c r="B1000" s="1"/>
      <c r="C1000" s="1"/>
      <c r="D1000" s="1"/>
      <c r="E1000" s="1"/>
      <c r="F1000" s="1"/>
      <c r="G1000" s="1"/>
    </row>
    <row r="1001" spans="2:7" x14ac:dyDescent="0.25">
      <c r="B1001" s="1"/>
      <c r="C1001" s="1"/>
      <c r="D1001" s="1"/>
      <c r="E1001" s="1"/>
      <c r="F1001" s="1"/>
      <c r="G1001" s="1"/>
    </row>
    <row r="1002" spans="2:7" x14ac:dyDescent="0.25">
      <c r="B1002" s="1"/>
      <c r="C1002" s="1"/>
      <c r="D1002" s="1"/>
      <c r="E1002" s="1"/>
      <c r="F1002" s="1"/>
      <c r="G1002" s="1"/>
    </row>
    <row r="1003" spans="2:7" x14ac:dyDescent="0.25">
      <c r="B1003" s="1"/>
      <c r="C1003" s="1"/>
      <c r="D1003" s="1"/>
      <c r="E1003" s="1"/>
      <c r="F1003" s="1"/>
      <c r="G1003" s="1"/>
    </row>
    <row r="1004" spans="2:7" x14ac:dyDescent="0.25">
      <c r="B1004" s="1"/>
      <c r="C1004" s="1"/>
      <c r="D1004" s="1"/>
      <c r="E1004" s="1"/>
      <c r="F1004" s="1"/>
      <c r="G1004" s="1"/>
    </row>
    <row r="1005" spans="2:7" x14ac:dyDescent="0.25">
      <c r="B1005" s="1"/>
      <c r="C1005" s="1"/>
      <c r="D1005" s="1"/>
      <c r="E1005" s="1"/>
      <c r="F1005" s="1"/>
      <c r="G1005" s="1"/>
    </row>
    <row r="1006" spans="2:7" x14ac:dyDescent="0.25">
      <c r="B1006" s="1"/>
      <c r="C1006" s="1"/>
      <c r="D1006" s="1"/>
      <c r="E1006" s="1"/>
      <c r="F1006" s="1"/>
      <c r="G1006" s="1"/>
    </row>
    <row r="1007" spans="2:7" x14ac:dyDescent="0.25">
      <c r="B1007" s="1"/>
      <c r="C1007" s="1"/>
      <c r="D1007" s="1"/>
      <c r="E1007" s="1"/>
      <c r="F1007" s="1"/>
      <c r="G1007" s="1"/>
    </row>
    <row r="1008" spans="2:7" x14ac:dyDescent="0.25">
      <c r="B1008" s="1"/>
      <c r="C1008" s="1"/>
      <c r="D1008" s="1"/>
      <c r="E1008" s="1"/>
      <c r="F1008" s="1"/>
      <c r="G1008" s="1"/>
    </row>
    <row r="1009" spans="2:7" x14ac:dyDescent="0.25">
      <c r="B1009" s="1"/>
      <c r="C1009" s="1"/>
      <c r="D1009" s="1"/>
      <c r="E1009" s="1"/>
      <c r="F1009" s="1"/>
      <c r="G1009" s="1"/>
    </row>
    <row r="1010" spans="2:7" x14ac:dyDescent="0.25">
      <c r="B1010" s="1"/>
      <c r="C1010" s="1"/>
      <c r="D1010" s="1"/>
      <c r="E1010" s="1"/>
      <c r="F1010" s="1"/>
      <c r="G1010" s="1"/>
    </row>
    <row r="1011" spans="2:7" x14ac:dyDescent="0.25">
      <c r="B1011" s="1"/>
      <c r="C1011" s="1"/>
      <c r="D1011" s="1"/>
      <c r="E1011" s="1"/>
      <c r="F1011" s="1"/>
      <c r="G1011" s="1"/>
    </row>
    <row r="1012" spans="2:7" x14ac:dyDescent="0.25">
      <c r="B1012" s="1"/>
      <c r="C1012" s="1"/>
      <c r="D1012" s="1"/>
      <c r="E1012" s="1"/>
      <c r="F1012" s="1"/>
      <c r="G1012" s="1"/>
    </row>
    <row r="1013" spans="2:7" x14ac:dyDescent="0.25">
      <c r="B1013" s="1"/>
      <c r="C1013" s="1"/>
      <c r="D1013" s="1"/>
      <c r="E1013" s="1"/>
      <c r="F1013" s="1"/>
      <c r="G1013" s="1"/>
    </row>
    <row r="1014" spans="2:7" x14ac:dyDescent="0.25">
      <c r="B1014" s="1"/>
      <c r="C1014" s="1"/>
      <c r="D1014" s="1"/>
      <c r="E1014" s="1"/>
      <c r="F1014" s="1"/>
      <c r="G1014" s="1"/>
    </row>
    <row r="1015" spans="2:7" x14ac:dyDescent="0.25">
      <c r="B1015" s="1"/>
      <c r="C1015" s="1"/>
      <c r="D1015" s="1"/>
      <c r="E1015" s="1"/>
      <c r="F1015" s="1"/>
      <c r="G1015" s="1"/>
    </row>
    <row r="1016" spans="2:7" x14ac:dyDescent="0.25">
      <c r="B1016" s="1"/>
      <c r="C1016" s="1"/>
      <c r="D1016" s="1"/>
      <c r="E1016" s="1"/>
      <c r="F1016" s="1"/>
      <c r="G1016" s="1"/>
    </row>
    <row r="1017" spans="2:7" x14ac:dyDescent="0.25">
      <c r="B1017" s="1"/>
      <c r="C1017" s="1"/>
      <c r="D1017" s="1"/>
      <c r="E1017" s="1"/>
      <c r="F1017" s="1"/>
      <c r="G1017" s="1"/>
    </row>
    <row r="1018" spans="2:7" x14ac:dyDescent="0.25">
      <c r="B1018" s="1"/>
      <c r="C1018" s="1"/>
      <c r="D1018" s="1"/>
      <c r="E1018" s="1"/>
      <c r="F1018" s="1"/>
      <c r="G1018" s="1"/>
    </row>
    <row r="1019" spans="2:7" x14ac:dyDescent="0.25">
      <c r="B1019" s="1"/>
      <c r="C1019" s="1"/>
      <c r="D1019" s="1"/>
      <c r="E1019" s="1"/>
      <c r="F1019" s="1"/>
      <c r="G1019" s="1"/>
    </row>
    <row r="1020" spans="2:7" x14ac:dyDescent="0.25">
      <c r="B1020" s="1"/>
      <c r="C1020" s="1"/>
      <c r="D1020" s="1"/>
      <c r="E1020" s="1"/>
      <c r="F1020" s="1"/>
      <c r="G1020" s="1"/>
    </row>
    <row r="1021" spans="2:7" x14ac:dyDescent="0.25">
      <c r="B1021" s="1"/>
      <c r="C1021" s="1"/>
      <c r="D1021" s="1"/>
      <c r="E1021" s="1"/>
      <c r="F1021" s="1"/>
      <c r="G1021" s="1"/>
    </row>
    <row r="1022" spans="2:7" x14ac:dyDescent="0.25">
      <c r="B1022" s="1"/>
      <c r="C1022" s="1"/>
      <c r="D1022" s="1"/>
      <c r="E1022" s="1"/>
      <c r="F1022" s="1"/>
      <c r="G1022" s="1"/>
    </row>
    <row r="1023" spans="2:7" x14ac:dyDescent="0.25">
      <c r="B1023" s="1"/>
      <c r="C1023" s="1"/>
      <c r="D1023" s="1"/>
      <c r="E1023" s="1"/>
      <c r="F1023" s="1"/>
      <c r="G1023" s="1"/>
    </row>
    <row r="1024" spans="2:7" x14ac:dyDescent="0.25">
      <c r="B1024" s="1"/>
      <c r="C1024" s="1"/>
      <c r="D1024" s="1"/>
      <c r="E1024" s="1"/>
      <c r="F1024" s="1"/>
      <c r="G1024" s="1"/>
    </row>
    <row r="1025" spans="2:7" x14ac:dyDescent="0.25">
      <c r="B1025" s="1"/>
      <c r="C1025" s="1"/>
      <c r="D1025" s="1"/>
      <c r="E1025" s="1"/>
      <c r="F1025" s="1"/>
      <c r="G1025" s="1"/>
    </row>
    <row r="1026" spans="2:7" x14ac:dyDescent="0.25">
      <c r="B1026" s="1"/>
      <c r="C1026" s="1"/>
      <c r="D1026" s="1"/>
      <c r="E1026" s="1"/>
      <c r="F1026" s="1"/>
      <c r="G1026" s="1"/>
    </row>
    <row r="1027" spans="2:7" x14ac:dyDescent="0.25">
      <c r="B1027" s="1"/>
      <c r="C1027" s="1"/>
      <c r="D1027" s="1"/>
      <c r="E1027" s="1"/>
      <c r="F1027" s="1"/>
      <c r="G1027" s="1"/>
    </row>
    <row r="1028" spans="2:7" x14ac:dyDescent="0.25">
      <c r="B1028" s="1"/>
      <c r="C1028" s="1"/>
      <c r="D1028" s="1"/>
      <c r="E1028" s="1"/>
      <c r="F1028" s="1"/>
      <c r="G1028" s="1"/>
    </row>
    <row r="1029" spans="2:7" x14ac:dyDescent="0.25">
      <c r="B1029" s="1"/>
      <c r="C1029" s="1"/>
      <c r="D1029" s="1"/>
      <c r="E1029" s="1"/>
      <c r="F1029" s="1"/>
      <c r="G1029" s="1"/>
    </row>
    <row r="1030" spans="2:7" x14ac:dyDescent="0.25">
      <c r="B1030" s="1"/>
      <c r="C1030" s="1"/>
      <c r="D1030" s="1"/>
      <c r="E1030" s="1"/>
      <c r="F1030" s="1"/>
      <c r="G1030" s="1"/>
    </row>
    <row r="1031" spans="2:7" x14ac:dyDescent="0.25">
      <c r="B1031" s="1"/>
      <c r="C1031" s="1"/>
      <c r="D1031" s="1"/>
      <c r="E1031" s="1"/>
      <c r="F1031" s="1"/>
      <c r="G1031" s="1"/>
    </row>
    <row r="1032" spans="2:7" x14ac:dyDescent="0.25">
      <c r="B1032" s="1"/>
      <c r="C1032" s="1"/>
      <c r="D1032" s="1"/>
      <c r="E1032" s="1"/>
      <c r="F1032" s="1"/>
      <c r="G1032" s="1"/>
    </row>
    <row r="1033" spans="2:7" x14ac:dyDescent="0.25">
      <c r="B1033" s="1"/>
      <c r="C1033" s="1"/>
      <c r="D1033" s="1"/>
      <c r="E1033" s="1"/>
      <c r="F1033" s="1"/>
      <c r="G1033" s="1"/>
    </row>
    <row r="1034" spans="2:7" x14ac:dyDescent="0.25">
      <c r="B1034" s="1"/>
      <c r="C1034" s="1"/>
      <c r="D1034" s="1"/>
      <c r="E1034" s="1"/>
      <c r="F1034" s="1"/>
      <c r="G1034" s="1"/>
    </row>
    <row r="1035" spans="2:7" x14ac:dyDescent="0.25">
      <c r="B1035" s="1"/>
      <c r="C1035" s="1"/>
      <c r="D1035" s="1"/>
      <c r="E1035" s="1"/>
      <c r="F1035" s="1"/>
      <c r="G1035" s="1"/>
    </row>
    <row r="1036" spans="2:7" x14ac:dyDescent="0.25">
      <c r="B1036" s="1"/>
      <c r="C1036" s="1"/>
      <c r="D1036" s="1"/>
      <c r="E1036" s="1"/>
      <c r="F1036" s="1"/>
      <c r="G1036" s="1"/>
    </row>
    <row r="1037" spans="2:7" x14ac:dyDescent="0.25">
      <c r="B1037" s="1"/>
      <c r="C1037" s="1"/>
      <c r="D1037" s="1"/>
      <c r="E1037" s="1"/>
      <c r="F1037" s="1"/>
      <c r="G1037" s="1"/>
    </row>
    <row r="1038" spans="2:7" x14ac:dyDescent="0.25">
      <c r="B1038" s="1"/>
      <c r="C1038" s="1"/>
      <c r="D1038" s="1"/>
      <c r="E1038" s="1"/>
      <c r="F1038" s="1"/>
      <c r="G1038" s="1"/>
    </row>
    <row r="1039" spans="2:7" x14ac:dyDescent="0.25">
      <c r="B1039" s="1"/>
      <c r="C1039" s="1"/>
      <c r="D1039" s="1"/>
      <c r="E1039" s="1"/>
      <c r="F1039" s="1"/>
      <c r="G1039" s="1"/>
    </row>
    <row r="1040" spans="2:7" x14ac:dyDescent="0.25">
      <c r="B1040" s="1"/>
      <c r="C1040" s="1"/>
      <c r="D1040" s="1"/>
      <c r="E1040" s="1"/>
      <c r="F1040" s="1"/>
      <c r="G1040" s="1"/>
    </row>
    <row r="1041" spans="2:7" x14ac:dyDescent="0.25">
      <c r="B1041" s="1"/>
      <c r="C1041" s="1"/>
      <c r="D1041" s="1"/>
      <c r="E1041" s="1"/>
      <c r="F1041" s="1"/>
      <c r="G1041" s="1"/>
    </row>
    <row r="1042" spans="2:7" x14ac:dyDescent="0.25">
      <c r="B1042" s="1"/>
      <c r="C1042" s="1"/>
      <c r="D1042" s="1"/>
      <c r="E1042" s="1"/>
      <c r="F1042" s="1"/>
      <c r="G1042" s="1"/>
    </row>
    <row r="1043" spans="2:7" x14ac:dyDescent="0.25">
      <c r="B1043" s="6"/>
      <c r="C1043" s="6"/>
      <c r="D1043" s="6"/>
      <c r="E1043" s="6"/>
      <c r="F1043" s="6"/>
      <c r="G1043" s="6"/>
    </row>
    <row r="1044" spans="2:7" x14ac:dyDescent="0.25">
      <c r="B1044" s="6"/>
      <c r="C1044" s="6"/>
      <c r="D1044" s="6"/>
      <c r="E1044" s="6"/>
      <c r="F1044" s="6"/>
      <c r="G1044" s="6"/>
    </row>
    <row r="1045" spans="2:7" x14ac:dyDescent="0.25">
      <c r="B1045" s="6"/>
      <c r="C1045" s="6"/>
      <c r="D1045" s="6"/>
      <c r="E1045" s="6"/>
      <c r="F1045" s="6"/>
      <c r="G1045" s="6"/>
    </row>
    <row r="1046" spans="2:7" x14ac:dyDescent="0.25">
      <c r="B1046" s="6"/>
      <c r="C1046" s="6"/>
      <c r="D1046" s="6"/>
      <c r="E1046" s="6"/>
      <c r="F1046" s="6"/>
      <c r="G1046" s="6"/>
    </row>
    <row r="1047" spans="2:7" x14ac:dyDescent="0.25">
      <c r="B1047" s="6"/>
      <c r="C1047" s="6"/>
      <c r="D1047" s="6"/>
      <c r="E1047" s="6"/>
      <c r="F1047" s="6"/>
      <c r="G1047" s="6"/>
    </row>
    <row r="1048" spans="2:7" x14ac:dyDescent="0.25">
      <c r="B1048" s="6"/>
      <c r="C1048" s="6"/>
      <c r="D1048" s="6"/>
      <c r="E1048" s="6"/>
      <c r="F1048" s="6"/>
      <c r="G1048" s="6"/>
    </row>
    <row r="1049" spans="2:7" x14ac:dyDescent="0.25">
      <c r="B1049" s="6"/>
      <c r="C1049" s="6"/>
      <c r="D1049" s="6"/>
      <c r="E1049" s="6"/>
      <c r="F1049" s="6"/>
      <c r="G1049" s="6"/>
    </row>
    <row r="1050" spans="2:7" x14ac:dyDescent="0.25">
      <c r="B1050" s="6"/>
      <c r="C1050" s="6"/>
      <c r="D1050" s="6"/>
      <c r="E1050" s="6"/>
      <c r="F1050" s="6"/>
      <c r="G1050" s="6"/>
    </row>
    <row r="1051" spans="2:7" x14ac:dyDescent="0.25">
      <c r="B1051" s="6"/>
      <c r="C1051" s="6"/>
      <c r="D1051" s="6"/>
      <c r="E1051" s="6"/>
      <c r="F1051" s="6"/>
      <c r="G1051" s="6"/>
    </row>
    <row r="1052" spans="2:7" x14ac:dyDescent="0.25">
      <c r="B1052" s="6"/>
      <c r="C1052" s="6"/>
      <c r="D1052" s="6"/>
      <c r="E1052" s="6"/>
      <c r="F1052" s="6"/>
      <c r="G1052" s="6"/>
    </row>
    <row r="1053" spans="2:7" x14ac:dyDescent="0.25">
      <c r="B1053" s="6"/>
      <c r="C1053" s="6"/>
      <c r="D1053" s="6"/>
      <c r="E1053" s="6"/>
      <c r="F1053" s="6"/>
      <c r="G1053" s="6"/>
    </row>
    <row r="1054" spans="2:7" x14ac:dyDescent="0.25">
      <c r="B1054" s="6"/>
      <c r="C1054" s="6"/>
      <c r="D1054" s="6"/>
      <c r="E1054" s="6"/>
      <c r="F1054" s="6"/>
      <c r="G1054" s="6"/>
    </row>
    <row r="1055" spans="2:7" x14ac:dyDescent="0.25">
      <c r="B1055" s="6"/>
      <c r="C1055" s="6"/>
      <c r="D1055" s="6"/>
      <c r="E1055" s="6"/>
      <c r="F1055" s="6"/>
      <c r="G1055" s="6"/>
    </row>
    <row r="1056" spans="2:7" x14ac:dyDescent="0.25">
      <c r="B1056" s="6"/>
      <c r="C1056" s="6"/>
      <c r="D1056" s="6"/>
      <c r="E1056" s="6"/>
      <c r="F1056" s="6"/>
      <c r="G1056" s="6"/>
    </row>
    <row r="1057" spans="2:7" x14ac:dyDescent="0.25">
      <c r="B1057" s="6"/>
      <c r="C1057" s="6"/>
      <c r="D1057" s="6"/>
      <c r="E1057" s="6"/>
      <c r="F1057" s="6"/>
      <c r="G1057" s="6"/>
    </row>
    <row r="1058" spans="2:7" x14ac:dyDescent="0.25">
      <c r="B1058" s="6"/>
      <c r="C1058" s="6"/>
      <c r="D1058" s="6"/>
      <c r="E1058" s="6"/>
      <c r="F1058" s="6"/>
      <c r="G1058" s="6"/>
    </row>
    <row r="1059" spans="2:7" x14ac:dyDescent="0.25">
      <c r="B1059" s="6"/>
      <c r="C1059" s="6"/>
      <c r="D1059" s="6"/>
      <c r="E1059" s="6"/>
      <c r="F1059" s="6"/>
      <c r="G1059" s="6"/>
    </row>
    <row r="1060" spans="2:7" x14ac:dyDescent="0.25">
      <c r="B1060" s="6"/>
      <c r="C1060" s="6"/>
      <c r="D1060" s="6"/>
      <c r="E1060" s="6"/>
      <c r="F1060" s="6"/>
      <c r="G1060" s="6"/>
    </row>
    <row r="1061" spans="2:7" x14ac:dyDescent="0.25">
      <c r="B1061" s="6"/>
      <c r="C1061" s="6"/>
      <c r="D1061" s="6"/>
      <c r="E1061" s="6"/>
      <c r="F1061" s="6"/>
      <c r="G1061" s="6"/>
    </row>
    <row r="1062" spans="2:7" x14ac:dyDescent="0.25">
      <c r="B1062" s="6"/>
      <c r="C1062" s="6"/>
      <c r="D1062" s="6"/>
      <c r="E1062" s="6"/>
      <c r="F1062" s="6"/>
      <c r="G1062" s="6"/>
    </row>
    <row r="1063" spans="2:7" x14ac:dyDescent="0.25">
      <c r="B1063" s="6"/>
      <c r="C1063" s="6"/>
      <c r="D1063" s="6"/>
      <c r="E1063" s="6"/>
      <c r="F1063" s="6"/>
      <c r="G1063" s="6"/>
    </row>
    <row r="1064" spans="2:7" x14ac:dyDescent="0.25">
      <c r="B1064" s="6"/>
      <c r="C1064" s="6"/>
      <c r="D1064" s="6"/>
      <c r="E1064" s="6"/>
      <c r="F1064" s="6"/>
      <c r="G1064" s="6"/>
    </row>
    <row r="1065" spans="2:7" x14ac:dyDescent="0.25">
      <c r="B1065" s="6"/>
      <c r="C1065" s="6"/>
      <c r="D1065" s="6"/>
      <c r="E1065" s="6"/>
      <c r="F1065" s="6"/>
      <c r="G1065" s="6"/>
    </row>
    <row r="1066" spans="2:7" x14ac:dyDescent="0.25">
      <c r="B1066" s="6"/>
      <c r="C1066" s="6"/>
      <c r="D1066" s="6"/>
      <c r="E1066" s="6"/>
      <c r="F1066" s="6"/>
      <c r="G1066" s="6"/>
    </row>
    <row r="1067" spans="2:7" x14ac:dyDescent="0.25">
      <c r="B1067" s="6"/>
      <c r="C1067" s="6"/>
      <c r="D1067" s="6"/>
      <c r="E1067" s="6"/>
      <c r="F1067" s="6"/>
      <c r="G1067" s="6"/>
    </row>
    <row r="1068" spans="2:7" x14ac:dyDescent="0.25">
      <c r="B1068" s="6"/>
      <c r="C1068" s="6"/>
      <c r="D1068" s="6"/>
      <c r="E1068" s="6"/>
      <c r="F1068" s="6"/>
      <c r="G1068" s="6"/>
    </row>
    <row r="1069" spans="2:7" x14ac:dyDescent="0.25">
      <c r="B1069" s="6"/>
      <c r="C1069" s="6"/>
      <c r="D1069" s="6"/>
      <c r="E1069" s="6"/>
      <c r="F1069" s="6"/>
      <c r="G1069" s="6"/>
    </row>
    <row r="1070" spans="2:7" x14ac:dyDescent="0.25">
      <c r="B1070" s="6"/>
      <c r="C1070" s="6"/>
      <c r="D1070" s="6"/>
      <c r="E1070" s="6"/>
      <c r="F1070" s="6"/>
      <c r="G1070" s="6"/>
    </row>
    <row r="1071" spans="2:7" x14ac:dyDescent="0.25">
      <c r="B1071" s="6"/>
      <c r="C1071" s="6"/>
      <c r="D1071" s="6"/>
      <c r="E1071" s="6"/>
      <c r="F1071" s="6"/>
      <c r="G1071" s="6"/>
    </row>
    <row r="1072" spans="2:7" x14ac:dyDescent="0.25">
      <c r="B1072" s="6"/>
      <c r="C1072" s="6"/>
      <c r="D1072" s="6"/>
      <c r="E1072" s="6"/>
      <c r="F1072" s="6"/>
      <c r="G1072" s="6"/>
    </row>
    <row r="1073" spans="2:7" x14ac:dyDescent="0.25">
      <c r="B1073" s="6"/>
      <c r="C1073" s="6"/>
      <c r="D1073" s="6"/>
      <c r="E1073" s="6"/>
      <c r="F1073" s="6"/>
      <c r="G1073" s="6"/>
    </row>
    <row r="1074" spans="2:7" x14ac:dyDescent="0.25">
      <c r="B1074" s="6"/>
      <c r="C1074" s="6"/>
      <c r="D1074" s="6"/>
      <c r="E1074" s="6"/>
      <c r="F1074" s="6"/>
      <c r="G1074" s="6"/>
    </row>
    <row r="1075" spans="2:7" x14ac:dyDescent="0.25">
      <c r="B1075" s="6"/>
      <c r="C1075" s="6"/>
      <c r="D1075" s="6"/>
      <c r="E1075" s="6"/>
      <c r="F1075" s="6"/>
      <c r="G1075" s="6"/>
    </row>
    <row r="1076" spans="2:7" x14ac:dyDescent="0.25">
      <c r="B1076" s="6"/>
      <c r="C1076" s="6"/>
      <c r="D1076" s="6"/>
      <c r="E1076" s="6"/>
      <c r="F1076" s="6"/>
      <c r="G1076" s="6"/>
    </row>
    <row r="1077" spans="2:7" x14ac:dyDescent="0.25">
      <c r="B1077" s="6"/>
      <c r="C1077" s="6"/>
      <c r="D1077" s="6"/>
      <c r="E1077" s="6"/>
      <c r="F1077" s="6"/>
      <c r="G1077" s="6"/>
    </row>
    <row r="1078" spans="2:7" x14ac:dyDescent="0.25">
      <c r="B1078" s="6"/>
      <c r="C1078" s="6"/>
      <c r="D1078" s="6"/>
      <c r="E1078" s="6"/>
      <c r="F1078" s="6"/>
      <c r="G1078" s="6"/>
    </row>
    <row r="1079" spans="2:7" x14ac:dyDescent="0.25">
      <c r="B1079" s="6"/>
      <c r="C1079" s="6"/>
      <c r="D1079" s="6"/>
      <c r="E1079" s="6"/>
      <c r="F1079" s="6"/>
      <c r="G1079" s="6"/>
    </row>
    <row r="1080" spans="2:7" x14ac:dyDescent="0.25">
      <c r="B1080" s="6"/>
      <c r="C1080" s="6"/>
      <c r="D1080" s="6"/>
      <c r="E1080" s="6"/>
      <c r="F1080" s="6"/>
      <c r="G1080" s="6"/>
    </row>
    <row r="1081" spans="2:7" x14ac:dyDescent="0.25">
      <c r="B1081" s="6"/>
      <c r="C1081" s="6"/>
      <c r="D1081" s="6"/>
      <c r="E1081" s="6"/>
      <c r="F1081" s="6"/>
      <c r="G1081" s="6"/>
    </row>
    <row r="1082" spans="2:7" x14ac:dyDescent="0.25">
      <c r="B1082" s="6"/>
      <c r="C1082" s="6"/>
      <c r="D1082" s="6"/>
      <c r="E1082" s="6"/>
      <c r="F1082" s="6"/>
      <c r="G1082" s="6"/>
    </row>
    <row r="1083" spans="2:7" x14ac:dyDescent="0.25">
      <c r="B1083" s="6"/>
      <c r="C1083" s="6"/>
      <c r="D1083" s="6"/>
      <c r="E1083" s="6"/>
      <c r="F1083" s="6"/>
      <c r="G1083" s="6"/>
    </row>
    <row r="1084" spans="2:7" x14ac:dyDescent="0.25">
      <c r="B1084" s="6"/>
      <c r="C1084" s="6"/>
      <c r="D1084" s="6"/>
      <c r="E1084" s="6"/>
      <c r="F1084" s="6"/>
      <c r="G1084" s="6"/>
    </row>
    <row r="1085" spans="2:7" x14ac:dyDescent="0.25">
      <c r="B1085" s="6"/>
      <c r="C1085" s="6"/>
      <c r="D1085" s="6"/>
      <c r="E1085" s="6"/>
      <c r="F1085" s="6"/>
      <c r="G1085" s="6"/>
    </row>
    <row r="1086" spans="2:7" x14ac:dyDescent="0.25">
      <c r="B1086" s="6"/>
      <c r="C1086" s="6"/>
      <c r="D1086" s="6"/>
      <c r="E1086" s="6"/>
      <c r="F1086" s="6"/>
      <c r="G1086" s="6"/>
    </row>
    <row r="1087" spans="2:7" x14ac:dyDescent="0.25">
      <c r="B1087" s="6"/>
      <c r="C1087" s="6"/>
      <c r="D1087" s="6"/>
      <c r="E1087" s="6"/>
      <c r="F1087" s="6"/>
      <c r="G1087" s="6"/>
    </row>
    <row r="1088" spans="2:7" x14ac:dyDescent="0.25">
      <c r="B1088" s="6"/>
      <c r="C1088" s="6"/>
      <c r="D1088" s="6"/>
      <c r="E1088" s="6"/>
      <c r="F1088" s="6"/>
      <c r="G1088" s="6"/>
    </row>
    <row r="1089" spans="2:7" x14ac:dyDescent="0.25">
      <c r="B1089" s="6"/>
      <c r="C1089" s="6"/>
      <c r="D1089" s="6"/>
      <c r="E1089" s="6"/>
      <c r="F1089" s="6"/>
      <c r="G1089" s="6"/>
    </row>
    <row r="1090" spans="2:7" x14ac:dyDescent="0.25">
      <c r="B1090" s="6"/>
      <c r="C1090" s="6"/>
      <c r="D1090" s="6"/>
      <c r="E1090" s="6"/>
      <c r="F1090" s="6"/>
      <c r="G1090" s="6"/>
    </row>
    <row r="1091" spans="2:7" x14ac:dyDescent="0.25">
      <c r="B1091" s="6"/>
      <c r="C1091" s="6"/>
      <c r="D1091" s="6"/>
      <c r="E1091" s="6"/>
      <c r="F1091" s="6"/>
      <c r="G1091" s="6"/>
    </row>
    <row r="1092" spans="2:7" x14ac:dyDescent="0.25">
      <c r="B1092" s="6"/>
      <c r="C1092" s="6"/>
      <c r="D1092" s="6"/>
      <c r="E1092" s="6"/>
      <c r="F1092" s="6"/>
      <c r="G1092" s="6"/>
    </row>
    <row r="1093" spans="2:7" x14ac:dyDescent="0.25">
      <c r="B1093" s="6"/>
      <c r="C1093" s="6"/>
      <c r="D1093" s="6"/>
      <c r="E1093" s="6"/>
      <c r="F1093" s="6"/>
      <c r="G1093" s="6"/>
    </row>
    <row r="1094" spans="2:7" x14ac:dyDescent="0.25">
      <c r="B1094" s="6"/>
      <c r="C1094" s="6"/>
      <c r="D1094" s="6"/>
      <c r="E1094" s="6"/>
      <c r="F1094" s="6"/>
      <c r="G1094" s="6"/>
    </row>
    <row r="1095" spans="2:7" x14ac:dyDescent="0.25">
      <c r="B1095" s="6"/>
      <c r="C1095" s="6"/>
      <c r="D1095" s="6"/>
      <c r="E1095" s="6"/>
      <c r="F1095" s="6"/>
      <c r="G1095" s="6"/>
    </row>
    <row r="1096" spans="2:7" x14ac:dyDescent="0.25">
      <c r="B1096" s="6"/>
      <c r="C1096" s="6"/>
      <c r="D1096" s="6"/>
      <c r="E1096" s="6"/>
      <c r="F1096" s="6"/>
      <c r="G1096" s="6"/>
    </row>
    <row r="1097" spans="2:7" x14ac:dyDescent="0.25">
      <c r="B1097" s="6"/>
      <c r="C1097" s="6"/>
      <c r="D1097" s="6"/>
      <c r="E1097" s="6"/>
      <c r="F1097" s="6"/>
      <c r="G1097" s="6"/>
    </row>
    <row r="1098" spans="2:7" x14ac:dyDescent="0.25">
      <c r="B1098" s="6"/>
      <c r="C1098" s="6"/>
      <c r="D1098" s="6"/>
      <c r="E1098" s="6"/>
      <c r="F1098" s="6"/>
      <c r="G1098" s="6"/>
    </row>
    <row r="1099" spans="2:7" x14ac:dyDescent="0.25">
      <c r="B1099" s="6"/>
      <c r="C1099" s="6"/>
      <c r="D1099" s="6"/>
      <c r="E1099" s="6"/>
      <c r="F1099" s="6"/>
      <c r="G1099" s="6"/>
    </row>
    <row r="1100" spans="2:7" x14ac:dyDescent="0.25">
      <c r="B1100" s="6"/>
      <c r="C1100" s="6"/>
      <c r="D1100" s="6"/>
      <c r="E1100" s="6"/>
      <c r="F1100" s="6"/>
      <c r="G1100" s="6"/>
    </row>
    <row r="1101" spans="2:7" x14ac:dyDescent="0.25">
      <c r="B1101" s="6"/>
      <c r="C1101" s="6"/>
      <c r="D1101" s="6"/>
      <c r="E1101" s="6"/>
      <c r="F1101" s="6"/>
      <c r="G1101" s="6"/>
    </row>
    <row r="1102" spans="2:7" x14ac:dyDescent="0.25">
      <c r="B1102" s="6"/>
      <c r="C1102" s="6"/>
      <c r="D1102" s="6"/>
      <c r="E1102" s="6"/>
      <c r="F1102" s="6"/>
      <c r="G1102" s="6"/>
    </row>
    <row r="1103" spans="2:7" x14ac:dyDescent="0.25">
      <c r="B1103" s="6"/>
      <c r="C1103" s="6"/>
      <c r="D1103" s="6"/>
      <c r="E1103" s="6"/>
      <c r="F1103" s="6"/>
      <c r="G1103" s="6"/>
    </row>
    <row r="1104" spans="2:7" x14ac:dyDescent="0.25">
      <c r="B1104" s="6"/>
      <c r="C1104" s="6"/>
      <c r="D1104" s="6"/>
      <c r="E1104" s="6"/>
      <c r="F1104" s="6"/>
      <c r="G1104" s="6"/>
    </row>
    <row r="1105" spans="2:7" x14ac:dyDescent="0.25">
      <c r="B1105" s="6"/>
      <c r="C1105" s="6"/>
      <c r="D1105" s="6"/>
      <c r="E1105" s="6"/>
      <c r="F1105" s="6"/>
      <c r="G1105" s="6"/>
    </row>
    <row r="1106" spans="2:7" x14ac:dyDescent="0.25">
      <c r="B1106" s="6"/>
      <c r="C1106" s="6"/>
      <c r="D1106" s="6"/>
      <c r="E1106" s="6"/>
      <c r="F1106" s="6"/>
      <c r="G1106" s="6"/>
    </row>
    <row r="1107" spans="2:7" x14ac:dyDescent="0.25">
      <c r="B1107" s="6"/>
      <c r="C1107" s="6"/>
      <c r="D1107" s="6"/>
      <c r="E1107" s="6"/>
      <c r="F1107" s="6"/>
      <c r="G1107" s="6"/>
    </row>
    <row r="1108" spans="2:7" x14ac:dyDescent="0.25">
      <c r="B1108" s="6"/>
      <c r="C1108" s="6"/>
      <c r="D1108" s="6"/>
      <c r="E1108" s="6"/>
      <c r="F1108" s="6"/>
      <c r="G1108" s="6"/>
    </row>
    <row r="1109" spans="2:7" x14ac:dyDescent="0.25">
      <c r="B1109" s="6"/>
      <c r="C1109" s="6"/>
      <c r="D1109" s="6"/>
      <c r="E1109" s="6"/>
      <c r="F1109" s="6"/>
      <c r="G1109" s="6"/>
    </row>
    <row r="1110" spans="2:7" x14ac:dyDescent="0.25">
      <c r="B1110" s="6"/>
      <c r="C1110" s="6"/>
      <c r="D1110" s="6"/>
      <c r="E1110" s="6"/>
      <c r="F1110" s="6"/>
      <c r="G1110" s="6"/>
    </row>
    <row r="1111" spans="2:7" x14ac:dyDescent="0.25">
      <c r="B1111" s="6"/>
      <c r="C1111" s="6"/>
      <c r="D1111" s="6"/>
      <c r="E1111" s="6"/>
      <c r="F1111" s="6"/>
      <c r="G1111" s="6"/>
    </row>
    <row r="1112" spans="2:7" x14ac:dyDescent="0.25">
      <c r="B1112" s="6"/>
      <c r="C1112" s="6"/>
      <c r="D1112" s="6"/>
      <c r="E1112" s="6"/>
      <c r="F1112" s="6"/>
      <c r="G1112" s="6"/>
    </row>
    <row r="1113" spans="2:7" x14ac:dyDescent="0.25">
      <c r="B1113" s="6"/>
      <c r="C1113" s="6"/>
      <c r="D1113" s="6"/>
      <c r="E1113" s="6"/>
      <c r="F1113" s="6"/>
      <c r="G1113" s="6"/>
    </row>
    <row r="1114" spans="2:7" x14ac:dyDescent="0.25">
      <c r="B1114" s="6"/>
      <c r="C1114" s="6"/>
      <c r="D1114" s="6"/>
      <c r="E1114" s="6"/>
      <c r="F1114" s="6"/>
      <c r="G1114" s="6"/>
    </row>
    <row r="1115" spans="2:7" x14ac:dyDescent="0.25">
      <c r="B1115" s="6"/>
      <c r="C1115" s="6"/>
      <c r="D1115" s="6"/>
      <c r="E1115" s="6"/>
      <c r="F1115" s="6"/>
      <c r="G1115" s="6"/>
    </row>
    <row r="1116" spans="2:7" x14ac:dyDescent="0.25">
      <c r="B1116" s="6"/>
      <c r="C1116" s="6"/>
      <c r="D1116" s="6"/>
      <c r="E1116" s="6"/>
      <c r="F1116" s="6"/>
      <c r="G1116" s="6"/>
    </row>
    <row r="1117" spans="2:7" x14ac:dyDescent="0.25">
      <c r="B1117" s="6"/>
      <c r="C1117" s="6"/>
      <c r="D1117" s="6"/>
      <c r="E1117" s="6"/>
      <c r="F1117" s="6"/>
      <c r="G1117" s="6"/>
    </row>
    <row r="1118" spans="2:7" x14ac:dyDescent="0.25">
      <c r="B1118" s="6"/>
      <c r="C1118" s="6"/>
      <c r="D1118" s="6"/>
      <c r="E1118" s="6"/>
      <c r="F1118" s="6"/>
      <c r="G1118" s="6"/>
    </row>
    <row r="1119" spans="2:7" x14ac:dyDescent="0.25">
      <c r="B1119" s="6"/>
      <c r="C1119" s="6"/>
      <c r="D1119" s="6"/>
      <c r="E1119" s="6"/>
      <c r="F1119" s="6"/>
      <c r="G1119" s="6"/>
    </row>
    <row r="1120" spans="2:7" x14ac:dyDescent="0.25">
      <c r="B1120" s="6"/>
      <c r="C1120" s="6"/>
      <c r="D1120" s="6"/>
      <c r="E1120" s="6"/>
      <c r="F1120" s="6"/>
      <c r="G1120" s="6"/>
    </row>
    <row r="1121" spans="2:7" x14ac:dyDescent="0.25">
      <c r="B1121" s="6"/>
      <c r="C1121" s="6"/>
      <c r="D1121" s="6"/>
      <c r="E1121" s="6"/>
      <c r="F1121" s="6"/>
      <c r="G1121" s="6"/>
    </row>
    <row r="1122" spans="2:7" x14ac:dyDescent="0.25">
      <c r="B1122" s="6"/>
      <c r="C1122" s="6"/>
      <c r="D1122" s="6"/>
      <c r="E1122" s="6"/>
      <c r="F1122" s="6"/>
      <c r="G1122" s="6"/>
    </row>
    <row r="1123" spans="2:7" x14ac:dyDescent="0.25">
      <c r="B1123" s="6"/>
      <c r="C1123" s="6"/>
      <c r="D1123" s="6"/>
      <c r="E1123" s="6"/>
      <c r="F1123" s="6"/>
      <c r="G1123" s="6"/>
    </row>
    <row r="1124" spans="2:7" x14ac:dyDescent="0.25">
      <c r="B1124" s="6"/>
      <c r="C1124" s="6"/>
      <c r="D1124" s="6"/>
      <c r="E1124" s="6"/>
      <c r="F1124" s="6"/>
      <c r="G1124" s="6"/>
    </row>
    <row r="1125" spans="2:7" x14ac:dyDescent="0.25">
      <c r="B1125" s="6"/>
      <c r="C1125" s="6"/>
      <c r="D1125" s="6"/>
      <c r="E1125" s="6"/>
      <c r="F1125" s="6"/>
      <c r="G1125" s="6"/>
    </row>
    <row r="1126" spans="2:7" x14ac:dyDescent="0.25">
      <c r="B1126" s="6"/>
      <c r="C1126" s="6"/>
      <c r="D1126" s="6"/>
      <c r="E1126" s="6"/>
      <c r="F1126" s="6"/>
      <c r="G1126" s="6"/>
    </row>
    <row r="1127" spans="2:7" x14ac:dyDescent="0.25">
      <c r="B1127" s="6"/>
      <c r="C1127" s="6"/>
      <c r="D1127" s="6"/>
      <c r="E1127" s="6"/>
      <c r="F1127" s="6"/>
      <c r="G1127" s="6"/>
    </row>
    <row r="1128" spans="2:7" x14ac:dyDescent="0.25">
      <c r="B1128" s="6"/>
      <c r="C1128" s="6"/>
      <c r="D1128" s="6"/>
      <c r="E1128" s="6"/>
      <c r="F1128" s="6"/>
      <c r="G1128" s="6"/>
    </row>
    <row r="1129" spans="2:7" x14ac:dyDescent="0.25">
      <c r="B1129" s="6"/>
      <c r="C1129" s="6"/>
      <c r="D1129" s="6"/>
      <c r="E1129" s="6"/>
      <c r="F1129" s="6"/>
      <c r="G1129" s="6"/>
    </row>
    <row r="1130" spans="2:7" x14ac:dyDescent="0.25">
      <c r="B1130" s="6"/>
      <c r="C1130" s="6"/>
      <c r="D1130" s="6"/>
      <c r="E1130" s="6"/>
      <c r="F1130" s="6"/>
      <c r="G1130" s="6"/>
    </row>
    <row r="1131" spans="2:7" x14ac:dyDescent="0.25">
      <c r="B1131" s="6"/>
      <c r="C1131" s="6"/>
      <c r="D1131" s="6"/>
      <c r="E1131" s="6"/>
      <c r="F1131" s="6"/>
      <c r="G1131" s="6"/>
    </row>
    <row r="1132" spans="2:7" x14ac:dyDescent="0.25">
      <c r="B1132" s="6"/>
      <c r="C1132" s="6"/>
      <c r="D1132" s="6"/>
      <c r="E1132" s="6"/>
      <c r="F1132" s="6"/>
      <c r="G1132" s="6"/>
    </row>
    <row r="1133" spans="2:7" x14ac:dyDescent="0.25">
      <c r="B1133" s="6"/>
      <c r="C1133" s="6"/>
      <c r="D1133" s="6"/>
      <c r="E1133" s="6"/>
      <c r="F1133" s="6"/>
      <c r="G1133" s="6"/>
    </row>
    <row r="1134" spans="2:7" x14ac:dyDescent="0.25">
      <c r="B1134" s="6"/>
      <c r="C1134" s="6"/>
      <c r="D1134" s="6"/>
      <c r="E1134" s="6"/>
      <c r="F1134" s="6"/>
      <c r="G1134" s="6"/>
    </row>
    <row r="1135" spans="2:7" x14ac:dyDescent="0.25">
      <c r="B1135" s="6"/>
      <c r="C1135" s="6"/>
      <c r="D1135" s="6"/>
      <c r="E1135" s="6"/>
      <c r="F1135" s="6"/>
      <c r="G1135" s="6"/>
    </row>
    <row r="1136" spans="2:7" x14ac:dyDescent="0.25">
      <c r="B1136" s="6"/>
      <c r="C1136" s="6"/>
      <c r="D1136" s="6"/>
      <c r="E1136" s="6"/>
      <c r="F1136" s="6"/>
      <c r="G1136" s="6"/>
    </row>
    <row r="1137" spans="2:7" x14ac:dyDescent="0.25">
      <c r="B1137" s="6"/>
      <c r="C1137" s="6"/>
      <c r="D1137" s="6"/>
      <c r="E1137" s="6"/>
      <c r="F1137" s="6"/>
      <c r="G1137" s="6"/>
    </row>
    <row r="1138" spans="2:7" x14ac:dyDescent="0.25">
      <c r="B1138" s="6"/>
      <c r="C1138" s="6"/>
      <c r="D1138" s="6"/>
      <c r="E1138" s="6"/>
      <c r="F1138" s="6"/>
      <c r="G1138" s="6"/>
    </row>
    <row r="1139" spans="2:7" x14ac:dyDescent="0.25">
      <c r="B1139" s="6"/>
      <c r="C1139" s="6"/>
      <c r="D1139" s="6"/>
      <c r="E1139" s="6"/>
      <c r="F1139" s="6"/>
      <c r="G1139" s="6"/>
    </row>
    <row r="1140" spans="2:7" x14ac:dyDescent="0.25">
      <c r="B1140" s="6"/>
      <c r="C1140" s="6"/>
      <c r="D1140" s="6"/>
      <c r="E1140" s="6"/>
      <c r="F1140" s="6"/>
      <c r="G1140" s="6"/>
    </row>
    <row r="1141" spans="2:7" x14ac:dyDescent="0.25">
      <c r="B1141" s="6"/>
      <c r="C1141" s="6"/>
      <c r="D1141" s="6"/>
      <c r="E1141" s="6"/>
      <c r="F1141" s="6"/>
      <c r="G1141" s="6"/>
    </row>
    <row r="1142" spans="2:7" x14ac:dyDescent="0.25">
      <c r="B1142" s="6"/>
      <c r="C1142" s="6"/>
      <c r="D1142" s="6"/>
      <c r="E1142" s="6"/>
      <c r="F1142" s="6"/>
      <c r="G1142" s="6"/>
    </row>
    <row r="1143" spans="2:7" x14ac:dyDescent="0.25">
      <c r="B1143" s="6"/>
      <c r="C1143" s="6"/>
      <c r="D1143" s="6"/>
      <c r="E1143" s="6"/>
      <c r="F1143" s="6"/>
      <c r="G1143" s="6"/>
    </row>
    <row r="1144" spans="2:7" x14ac:dyDescent="0.25">
      <c r="B1144" s="6"/>
      <c r="C1144" s="6"/>
      <c r="D1144" s="6"/>
      <c r="E1144" s="6"/>
      <c r="F1144" s="6"/>
      <c r="G1144" s="6"/>
    </row>
    <row r="1145" spans="2:7" x14ac:dyDescent="0.25">
      <c r="B1145" s="6"/>
      <c r="C1145" s="6"/>
      <c r="D1145" s="6"/>
      <c r="E1145" s="6"/>
      <c r="F1145" s="6"/>
      <c r="G1145" s="6"/>
    </row>
    <row r="1146" spans="2:7" x14ac:dyDescent="0.25">
      <c r="B1146" s="6"/>
      <c r="C1146" s="6"/>
      <c r="D1146" s="6"/>
      <c r="E1146" s="6"/>
      <c r="F1146" s="6"/>
      <c r="G1146" s="6"/>
    </row>
    <row r="1147" spans="2:7" x14ac:dyDescent="0.25">
      <c r="B1147" s="6"/>
      <c r="C1147" s="6"/>
      <c r="D1147" s="6"/>
      <c r="E1147" s="6"/>
      <c r="F1147" s="6"/>
      <c r="G1147" s="6"/>
    </row>
    <row r="1148" spans="2:7" x14ac:dyDescent="0.25">
      <c r="B1148" s="6"/>
      <c r="C1148" s="6"/>
      <c r="D1148" s="6"/>
      <c r="E1148" s="6"/>
      <c r="F1148" s="6"/>
      <c r="G1148" s="6"/>
    </row>
    <row r="1149" spans="2:7" x14ac:dyDescent="0.25">
      <c r="B1149" s="6"/>
      <c r="C1149" s="6"/>
      <c r="D1149" s="6"/>
      <c r="E1149" s="6"/>
      <c r="F1149" s="6"/>
      <c r="G1149" s="6"/>
    </row>
    <row r="1150" spans="2:7" x14ac:dyDescent="0.25">
      <c r="B1150" s="6"/>
      <c r="C1150" s="6"/>
      <c r="D1150" s="6"/>
      <c r="E1150" s="6"/>
      <c r="F1150" s="6"/>
      <c r="G1150" s="6"/>
    </row>
    <row r="1151" spans="2:7" x14ac:dyDescent="0.25">
      <c r="B1151" s="6"/>
      <c r="C1151" s="6"/>
      <c r="D1151" s="6"/>
      <c r="E1151" s="6"/>
      <c r="F1151" s="6"/>
      <c r="G1151" s="6"/>
    </row>
    <row r="1152" spans="2:7" x14ac:dyDescent="0.25">
      <c r="B1152" s="6"/>
      <c r="C1152" s="6"/>
      <c r="D1152" s="6"/>
      <c r="E1152" s="6"/>
      <c r="F1152" s="6"/>
      <c r="G1152" s="6"/>
    </row>
    <row r="1153" spans="2:7" x14ac:dyDescent="0.25">
      <c r="B1153" s="6"/>
      <c r="C1153" s="6"/>
      <c r="D1153" s="6"/>
      <c r="E1153" s="6"/>
      <c r="F1153" s="6"/>
      <c r="G1153" s="6"/>
    </row>
    <row r="1154" spans="2:7" x14ac:dyDescent="0.25">
      <c r="B1154" s="6"/>
      <c r="C1154" s="6"/>
      <c r="D1154" s="6"/>
      <c r="E1154" s="6"/>
      <c r="F1154" s="6"/>
      <c r="G1154" s="6"/>
    </row>
    <row r="1155" spans="2:7" x14ac:dyDescent="0.25">
      <c r="B1155" s="6"/>
      <c r="C1155" s="6"/>
      <c r="D1155" s="6"/>
      <c r="E1155" s="6"/>
      <c r="F1155" s="6"/>
      <c r="G1155" s="6"/>
    </row>
    <row r="1156" spans="2:7" x14ac:dyDescent="0.25">
      <c r="B1156" s="6"/>
      <c r="C1156" s="6"/>
      <c r="D1156" s="6"/>
      <c r="E1156" s="6"/>
      <c r="F1156" s="6"/>
      <c r="G1156" s="6"/>
    </row>
    <row r="1157" spans="2:7" x14ac:dyDescent="0.25">
      <c r="B1157" s="6"/>
      <c r="C1157" s="6"/>
      <c r="D1157" s="6"/>
      <c r="E1157" s="6"/>
      <c r="F1157" s="6"/>
      <c r="G1157" s="6"/>
    </row>
    <row r="1158" spans="2:7" x14ac:dyDescent="0.25">
      <c r="B1158" s="6"/>
      <c r="C1158" s="6"/>
      <c r="D1158" s="6"/>
      <c r="E1158" s="6"/>
      <c r="F1158" s="6"/>
      <c r="G1158" s="6"/>
    </row>
    <row r="1159" spans="2:7" x14ac:dyDescent="0.25">
      <c r="B1159" s="6"/>
      <c r="C1159" s="6"/>
      <c r="D1159" s="6"/>
      <c r="E1159" s="6"/>
      <c r="F1159" s="6"/>
      <c r="G1159" s="6"/>
    </row>
    <row r="1160" spans="2:7" x14ac:dyDescent="0.25">
      <c r="B1160" s="6"/>
      <c r="C1160" s="6"/>
      <c r="D1160" s="6"/>
      <c r="E1160" s="6"/>
      <c r="F1160" s="6"/>
      <c r="G1160" s="6"/>
    </row>
    <row r="1161" spans="2:7" x14ac:dyDescent="0.25">
      <c r="B1161" s="6"/>
      <c r="C1161" s="6"/>
      <c r="D1161" s="6"/>
      <c r="E1161" s="6"/>
      <c r="F1161" s="6"/>
      <c r="G1161" s="6"/>
    </row>
    <row r="1162" spans="2:7" x14ac:dyDescent="0.25">
      <c r="B1162" s="6"/>
      <c r="C1162" s="6"/>
      <c r="D1162" s="6"/>
      <c r="E1162" s="6"/>
      <c r="F1162" s="6"/>
      <c r="G1162" s="6"/>
    </row>
    <row r="1163" spans="2:7" x14ac:dyDescent="0.25">
      <c r="B1163" s="6"/>
      <c r="C1163" s="6"/>
      <c r="D1163" s="6"/>
      <c r="E1163" s="6"/>
      <c r="F1163" s="6"/>
      <c r="G1163" s="6"/>
    </row>
    <row r="1164" spans="2:7" x14ac:dyDescent="0.25">
      <c r="B1164" s="6"/>
      <c r="C1164" s="6"/>
      <c r="D1164" s="6"/>
      <c r="E1164" s="6"/>
      <c r="F1164" s="6"/>
      <c r="G1164" s="6"/>
    </row>
    <row r="1165" spans="2:7" x14ac:dyDescent="0.25">
      <c r="B1165" s="6"/>
      <c r="C1165" s="6"/>
      <c r="D1165" s="6"/>
      <c r="E1165" s="6"/>
      <c r="F1165" s="6"/>
      <c r="G1165" s="6"/>
    </row>
    <row r="1166" spans="2:7" x14ac:dyDescent="0.25">
      <c r="B1166" s="6"/>
      <c r="C1166" s="6"/>
      <c r="D1166" s="6"/>
      <c r="E1166" s="6"/>
      <c r="F1166" s="6"/>
      <c r="G1166" s="6"/>
    </row>
    <row r="1167" spans="2:7" x14ac:dyDescent="0.25">
      <c r="B1167" s="6"/>
      <c r="C1167" s="6"/>
      <c r="D1167" s="6"/>
      <c r="E1167" s="6"/>
      <c r="F1167" s="6"/>
      <c r="G1167" s="6"/>
    </row>
    <row r="1168" spans="2:7" x14ac:dyDescent="0.25">
      <c r="B1168" s="6"/>
      <c r="C1168" s="6"/>
      <c r="D1168" s="6"/>
      <c r="E1168" s="6"/>
      <c r="F1168" s="6"/>
      <c r="G1168" s="6"/>
    </row>
    <row r="1169" spans="2:7" x14ac:dyDescent="0.25">
      <c r="B1169" s="6"/>
      <c r="C1169" s="6"/>
      <c r="D1169" s="6"/>
      <c r="E1169" s="6"/>
      <c r="F1169" s="6"/>
      <c r="G1169" s="6"/>
    </row>
  </sheetData>
  <mergeCells count="4">
    <mergeCell ref="A5:I5"/>
    <mergeCell ref="C2:F2"/>
    <mergeCell ref="C3:F3"/>
    <mergeCell ref="C1:F1"/>
  </mergeCells>
  <conditionalFormatting sqref="I8:I73">
    <cfRule type="containsText" dxfId="53" priority="1" operator="containsText" text="NOT IN GLOSSARY">
      <formula>NOT(ISERROR(SEARCH("NOT IN GLOSSARY",I8)))</formula>
    </cfRule>
  </conditionalFormatting>
  <dataValidations count="1">
    <dataValidation type="list" allowBlank="1" showInputMessage="1" sqref="E8:E73" xr:uid="{59145B04-EF2B-4885-8EB8-9BB455A6A8DC}">
      <formula1>Concerns_List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UpdateGroup">
                <anchor moveWithCells="1" sizeWithCells="1">
                  <from>
                    <xdr:col>5</xdr:col>
                    <xdr:colOff>400050</xdr:colOff>
                    <xdr:row>3</xdr:row>
                    <xdr:rowOff>161925</xdr:rowOff>
                  </from>
                  <to>
                    <xdr:col>6</xdr:col>
                    <xdr:colOff>0</xdr:colOff>
                    <xdr:row>3</xdr:row>
                    <xdr:rowOff>628650</xdr:rowOff>
                  </to>
                </anchor>
              </controlPr>
            </control>
          </mc:Choice>
        </mc:AlternateContent>
        <mc:AlternateContent xmlns:mc="http://schemas.openxmlformats.org/markup-compatibility/2006">
          <mc:Choice Requires="x14">
            <control shapeId="1028" r:id="rId5" name="Button 4">
              <controlPr defaultSize="0" print="0" autoFill="0" autoPict="0" macro="[0]!UpdateSubGroup">
                <anchor moveWithCells="1" sizeWithCells="1">
                  <from>
                    <xdr:col>6</xdr:col>
                    <xdr:colOff>371475</xdr:colOff>
                    <xdr:row>3</xdr:row>
                    <xdr:rowOff>123825</xdr:rowOff>
                  </from>
                  <to>
                    <xdr:col>7</xdr:col>
                    <xdr:colOff>0</xdr:colOff>
                    <xdr:row>3</xdr:row>
                    <xdr:rowOff>638175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8564D-2CD7-40DC-A6E9-0EDDF8556A24}">
  <sheetPr codeName="Sheet2"/>
  <dimension ref="A2:H219"/>
  <sheetViews>
    <sheetView workbookViewId="0">
      <pane ySplit="5" topLeftCell="A6" activePane="bottomLeft" state="frozen"/>
      <selection pane="bottomLeft" activeCell="C4" sqref="C4"/>
    </sheetView>
  </sheetViews>
  <sheetFormatPr defaultRowHeight="15" x14ac:dyDescent="0.25"/>
  <cols>
    <col min="1" max="1" width="46.28515625" customWidth="1"/>
    <col min="2" max="2" width="45.7109375" customWidth="1"/>
    <col min="3" max="3" width="32.140625" customWidth="1"/>
    <col min="4" max="4" width="10.5703125" customWidth="1"/>
    <col min="5" max="5" width="27.140625" customWidth="1"/>
    <col min="6" max="6" width="9.85546875" customWidth="1"/>
    <col min="7" max="7" width="40.42578125" bestFit="1" customWidth="1"/>
    <col min="8" max="8" width="28.7109375" bestFit="1" customWidth="1"/>
  </cols>
  <sheetData>
    <row r="2" spans="1:8" ht="42.75" customHeight="1" x14ac:dyDescent="0.25"/>
    <row r="3" spans="1:8" x14ac:dyDescent="0.25">
      <c r="A3" s="44" t="s">
        <v>496</v>
      </c>
      <c r="B3" s="44"/>
      <c r="C3" s="44"/>
    </row>
    <row r="4" spans="1:8" x14ac:dyDescent="0.25">
      <c r="A4" s="30" t="str">
        <f>'Thematic Analysis'!E6</f>
        <v>Concern</v>
      </c>
      <c r="B4" s="30" t="str">
        <f>'Thematic Analysis'!F6</f>
        <v>Possible Solutions</v>
      </c>
      <c r="C4" s="30" t="str">
        <f>'Thematic Analysis'!G6</f>
        <v>Organizational Values</v>
      </c>
      <c r="E4" s="12" t="s">
        <v>489</v>
      </c>
      <c r="G4" s="44" t="s">
        <v>488</v>
      </c>
      <c r="H4" s="44"/>
    </row>
    <row r="5" spans="1:8" ht="30" x14ac:dyDescent="0.25">
      <c r="A5" s="13" t="s">
        <v>485</v>
      </c>
      <c r="B5" s="13" t="s">
        <v>486</v>
      </c>
      <c r="C5" s="13" t="s">
        <v>487</v>
      </c>
      <c r="E5" s="3" t="s">
        <v>490</v>
      </c>
      <c r="G5" s="25" t="s">
        <v>491</v>
      </c>
      <c r="H5" s="25" t="s">
        <v>801</v>
      </c>
    </row>
    <row r="6" spans="1:8" x14ac:dyDescent="0.25">
      <c r="A6" s="1" t="s">
        <v>150</v>
      </c>
      <c r="B6" s="1" t="s">
        <v>454</v>
      </c>
      <c r="C6" s="1" t="s">
        <v>366</v>
      </c>
      <c r="E6" s="3"/>
      <c r="G6" s="26" t="s">
        <v>455</v>
      </c>
      <c r="H6" s="26" t="s">
        <v>727</v>
      </c>
    </row>
    <row r="7" spans="1:8" x14ac:dyDescent="0.25">
      <c r="A7" s="1" t="s">
        <v>313</v>
      </c>
      <c r="B7" t="s">
        <v>472</v>
      </c>
      <c r="C7" s="1" t="s">
        <v>372</v>
      </c>
      <c r="E7" s="40" t="s">
        <v>804</v>
      </c>
      <c r="G7" s="26" t="s">
        <v>453</v>
      </c>
      <c r="H7" s="26" t="s">
        <v>370</v>
      </c>
    </row>
    <row r="8" spans="1:8" x14ac:dyDescent="0.25">
      <c r="A8" s="1" t="s">
        <v>314</v>
      </c>
      <c r="B8" t="s">
        <v>472</v>
      </c>
      <c r="C8" s="1" t="s">
        <v>372</v>
      </c>
      <c r="G8" s="26" t="s">
        <v>460</v>
      </c>
      <c r="H8" s="26" t="s">
        <v>363</v>
      </c>
    </row>
    <row r="9" spans="1:8" x14ac:dyDescent="0.25">
      <c r="A9" s="1" t="s">
        <v>282</v>
      </c>
      <c r="B9" s="1" t="s">
        <v>455</v>
      </c>
      <c r="C9" s="1" t="s">
        <v>727</v>
      </c>
      <c r="G9" s="26" t="s">
        <v>456</v>
      </c>
      <c r="H9" s="26" t="s">
        <v>364</v>
      </c>
    </row>
    <row r="10" spans="1:8" x14ac:dyDescent="0.25">
      <c r="A10" s="1" t="s">
        <v>290</v>
      </c>
      <c r="B10" t="s">
        <v>459</v>
      </c>
      <c r="C10" s="1" t="s">
        <v>365</v>
      </c>
      <c r="G10" s="26" t="s">
        <v>454</v>
      </c>
      <c r="H10" s="26" t="s">
        <v>366</v>
      </c>
    </row>
    <row r="11" spans="1:8" x14ac:dyDescent="0.25">
      <c r="A11" s="1" t="s">
        <v>146</v>
      </c>
      <c r="B11" s="1" t="s">
        <v>455</v>
      </c>
      <c r="C11" s="1" t="s">
        <v>727</v>
      </c>
      <c r="G11" s="26" t="s">
        <v>472</v>
      </c>
      <c r="H11" s="26" t="s">
        <v>372</v>
      </c>
    </row>
    <row r="12" spans="1:8" x14ac:dyDescent="0.25">
      <c r="A12" s="1" t="s">
        <v>291</v>
      </c>
      <c r="B12" t="s">
        <v>455</v>
      </c>
      <c r="C12" s="1" t="s">
        <v>727</v>
      </c>
      <c r="G12" s="26" t="s">
        <v>471</v>
      </c>
      <c r="H12" s="26" t="s">
        <v>371</v>
      </c>
    </row>
    <row r="13" spans="1:8" x14ac:dyDescent="0.25">
      <c r="A13" s="1" t="s">
        <v>161</v>
      </c>
      <c r="B13" t="s">
        <v>455</v>
      </c>
      <c r="C13" s="1" t="s">
        <v>727</v>
      </c>
      <c r="G13" s="26" t="s">
        <v>458</v>
      </c>
      <c r="H13" s="26" t="s">
        <v>362</v>
      </c>
    </row>
    <row r="14" spans="1:8" x14ac:dyDescent="0.25">
      <c r="A14" t="s">
        <v>244</v>
      </c>
      <c r="B14" t="s">
        <v>455</v>
      </c>
      <c r="C14" s="1" t="s">
        <v>727</v>
      </c>
      <c r="G14" s="26" t="s">
        <v>461</v>
      </c>
      <c r="H14" s="26" t="s">
        <v>369</v>
      </c>
    </row>
    <row r="15" spans="1:8" x14ac:dyDescent="0.25">
      <c r="A15" t="s">
        <v>225</v>
      </c>
      <c r="B15" t="s">
        <v>455</v>
      </c>
      <c r="C15" s="1" t="s">
        <v>727</v>
      </c>
      <c r="G15" s="26" t="s">
        <v>463</v>
      </c>
      <c r="H15" s="26" t="s">
        <v>728</v>
      </c>
    </row>
    <row r="16" spans="1:8" x14ac:dyDescent="0.25">
      <c r="A16" t="s">
        <v>223</v>
      </c>
      <c r="B16" t="s">
        <v>452</v>
      </c>
      <c r="C16" t="s">
        <v>732</v>
      </c>
      <c r="G16" s="26" t="s">
        <v>462</v>
      </c>
      <c r="H16" s="26" t="s">
        <v>729</v>
      </c>
    </row>
    <row r="17" spans="1:8" x14ac:dyDescent="0.25">
      <c r="A17" s="1" t="s">
        <v>304</v>
      </c>
      <c r="B17" t="s">
        <v>456</v>
      </c>
      <c r="C17" s="1" t="s">
        <v>364</v>
      </c>
      <c r="G17" s="26" t="s">
        <v>459</v>
      </c>
      <c r="H17" s="26" t="s">
        <v>365</v>
      </c>
    </row>
    <row r="18" spans="1:8" x14ac:dyDescent="0.25">
      <c r="A18" t="s">
        <v>237</v>
      </c>
      <c r="B18" t="s">
        <v>452</v>
      </c>
      <c r="C18" t="s">
        <v>732</v>
      </c>
      <c r="G18" s="26" t="s">
        <v>470</v>
      </c>
      <c r="H18" s="26" t="s">
        <v>730</v>
      </c>
    </row>
    <row r="19" spans="1:8" x14ac:dyDescent="0.25">
      <c r="A19" t="s">
        <v>242</v>
      </c>
      <c r="B19" t="s">
        <v>456</v>
      </c>
      <c r="C19" s="1" t="s">
        <v>364</v>
      </c>
      <c r="G19" s="26" t="s">
        <v>467</v>
      </c>
      <c r="H19" s="26" t="s">
        <v>731</v>
      </c>
    </row>
    <row r="20" spans="1:8" x14ac:dyDescent="0.25">
      <c r="A20" t="s">
        <v>230</v>
      </c>
      <c r="B20" t="s">
        <v>455</v>
      </c>
      <c r="C20" s="1" t="s">
        <v>727</v>
      </c>
      <c r="G20" s="26" t="s">
        <v>452</v>
      </c>
      <c r="H20" s="26" t="s">
        <v>732</v>
      </c>
    </row>
    <row r="21" spans="1:8" x14ac:dyDescent="0.25">
      <c r="A21" s="1" t="s">
        <v>279</v>
      </c>
      <c r="B21" s="1" t="s">
        <v>455</v>
      </c>
      <c r="C21" s="1" t="s">
        <v>727</v>
      </c>
      <c r="G21" s="26" t="s">
        <v>468</v>
      </c>
      <c r="H21" s="26" t="s">
        <v>733</v>
      </c>
    </row>
    <row r="22" spans="1:8" x14ac:dyDescent="0.25">
      <c r="A22" s="1" t="s">
        <v>276</v>
      </c>
      <c r="B22" s="1" t="s">
        <v>452</v>
      </c>
      <c r="C22" t="s">
        <v>732</v>
      </c>
      <c r="G22" s="26" t="s">
        <v>457</v>
      </c>
      <c r="H22" s="26" t="s">
        <v>734</v>
      </c>
    </row>
    <row r="23" spans="1:8" x14ac:dyDescent="0.25">
      <c r="A23" s="1" t="s">
        <v>267</v>
      </c>
      <c r="B23" t="s">
        <v>455</v>
      </c>
      <c r="C23" s="1" t="s">
        <v>727</v>
      </c>
      <c r="G23" s="26" t="s">
        <v>469</v>
      </c>
      <c r="H23" s="26" t="s">
        <v>735</v>
      </c>
    </row>
    <row r="24" spans="1:8" x14ac:dyDescent="0.25">
      <c r="A24" s="1" t="s">
        <v>248</v>
      </c>
      <c r="B24" s="1" t="s">
        <v>455</v>
      </c>
      <c r="C24" s="1" t="s">
        <v>727</v>
      </c>
      <c r="G24" s="26" t="s">
        <v>464</v>
      </c>
      <c r="H24" s="26" t="s">
        <v>736</v>
      </c>
    </row>
    <row r="25" spans="1:8" x14ac:dyDescent="0.25">
      <c r="A25" s="1" t="s">
        <v>341</v>
      </c>
      <c r="B25" s="1" t="s">
        <v>460</v>
      </c>
      <c r="C25" s="1" t="s">
        <v>363</v>
      </c>
      <c r="G25" s="26" t="s">
        <v>465</v>
      </c>
      <c r="H25" s="26" t="s">
        <v>737</v>
      </c>
    </row>
    <row r="26" spans="1:8" x14ac:dyDescent="0.25">
      <c r="A26" t="s">
        <v>212</v>
      </c>
      <c r="B26" t="s">
        <v>452</v>
      </c>
      <c r="C26" t="s">
        <v>732</v>
      </c>
      <c r="G26" s="26" t="s">
        <v>466</v>
      </c>
      <c r="H26" s="26" t="s">
        <v>738</v>
      </c>
    </row>
    <row r="27" spans="1:8" x14ac:dyDescent="0.25">
      <c r="A27" s="1" t="s">
        <v>181</v>
      </c>
      <c r="B27" s="1" t="s">
        <v>460</v>
      </c>
      <c r="C27" s="1" t="s">
        <v>363</v>
      </c>
      <c r="G27" s="39" t="s">
        <v>802</v>
      </c>
      <c r="H27" s="39" t="s">
        <v>803</v>
      </c>
    </row>
    <row r="28" spans="1:8" x14ac:dyDescent="0.25">
      <c r="A28" s="1" t="s">
        <v>301</v>
      </c>
      <c r="B28" s="1" t="s">
        <v>460</v>
      </c>
      <c r="C28" s="1" t="s">
        <v>363</v>
      </c>
    </row>
    <row r="29" spans="1:8" x14ac:dyDescent="0.25">
      <c r="A29" s="1" t="s">
        <v>274</v>
      </c>
      <c r="B29" t="s">
        <v>453</v>
      </c>
      <c r="C29" t="s">
        <v>370</v>
      </c>
    </row>
    <row r="30" spans="1:8" x14ac:dyDescent="0.25">
      <c r="A30" s="1" t="s">
        <v>288</v>
      </c>
      <c r="B30" t="s">
        <v>453</v>
      </c>
      <c r="C30" t="s">
        <v>370</v>
      </c>
    </row>
    <row r="31" spans="1:8" x14ac:dyDescent="0.25">
      <c r="A31" s="5" t="s">
        <v>153</v>
      </c>
      <c r="B31" t="s">
        <v>453</v>
      </c>
      <c r="C31" t="s">
        <v>370</v>
      </c>
    </row>
    <row r="32" spans="1:8" x14ac:dyDescent="0.25">
      <c r="A32" s="1" t="s">
        <v>251</v>
      </c>
      <c r="B32" t="s">
        <v>453</v>
      </c>
      <c r="C32" t="s">
        <v>370</v>
      </c>
    </row>
    <row r="33" spans="1:3" x14ac:dyDescent="0.25">
      <c r="A33" s="1" t="s">
        <v>281</v>
      </c>
      <c r="B33" t="s">
        <v>453</v>
      </c>
      <c r="C33" t="s">
        <v>370</v>
      </c>
    </row>
    <row r="34" spans="1:3" x14ac:dyDescent="0.25">
      <c r="A34" s="1" t="s">
        <v>285</v>
      </c>
      <c r="B34" t="s">
        <v>457</v>
      </c>
      <c r="C34" s="1" t="s">
        <v>734</v>
      </c>
    </row>
    <row r="35" spans="1:3" x14ac:dyDescent="0.25">
      <c r="A35" s="1" t="s">
        <v>280</v>
      </c>
      <c r="B35" t="s">
        <v>453</v>
      </c>
      <c r="C35" t="s">
        <v>370</v>
      </c>
    </row>
    <row r="36" spans="1:3" x14ac:dyDescent="0.25">
      <c r="A36" s="1" t="s">
        <v>188</v>
      </c>
      <c r="B36" t="s">
        <v>457</v>
      </c>
      <c r="C36" s="1" t="s">
        <v>734</v>
      </c>
    </row>
    <row r="37" spans="1:3" x14ac:dyDescent="0.25">
      <c r="A37" s="1" t="s">
        <v>339</v>
      </c>
      <c r="B37" t="s">
        <v>457</v>
      </c>
      <c r="C37" s="1" t="s">
        <v>734</v>
      </c>
    </row>
    <row r="38" spans="1:3" x14ac:dyDescent="0.25">
      <c r="A38" s="1" t="s">
        <v>307</v>
      </c>
      <c r="B38" t="s">
        <v>458</v>
      </c>
      <c r="C38" s="1" t="s">
        <v>362</v>
      </c>
    </row>
    <row r="39" spans="1:3" x14ac:dyDescent="0.25">
      <c r="A39" t="s">
        <v>213</v>
      </c>
      <c r="B39" t="s">
        <v>456</v>
      </c>
      <c r="C39" s="1" t="s">
        <v>364</v>
      </c>
    </row>
    <row r="40" spans="1:3" x14ac:dyDescent="0.25">
      <c r="A40" t="s">
        <v>205</v>
      </c>
      <c r="B40" t="s">
        <v>459</v>
      </c>
      <c r="C40" s="1" t="s">
        <v>365</v>
      </c>
    </row>
    <row r="41" spans="1:3" x14ac:dyDescent="0.25">
      <c r="A41" t="s">
        <v>238</v>
      </c>
      <c r="B41" t="s">
        <v>460</v>
      </c>
      <c r="C41" s="1" t="s">
        <v>363</v>
      </c>
    </row>
    <row r="42" spans="1:3" x14ac:dyDescent="0.25">
      <c r="A42" s="1" t="s">
        <v>149</v>
      </c>
      <c r="B42" t="s">
        <v>460</v>
      </c>
      <c r="C42" s="1" t="s">
        <v>363</v>
      </c>
    </row>
    <row r="43" spans="1:3" x14ac:dyDescent="0.25">
      <c r="A43" t="s">
        <v>226</v>
      </c>
      <c r="B43" t="s">
        <v>457</v>
      </c>
      <c r="C43" s="1" t="s">
        <v>734</v>
      </c>
    </row>
    <row r="44" spans="1:3" x14ac:dyDescent="0.25">
      <c r="A44" s="1" t="s">
        <v>151</v>
      </c>
      <c r="B44" t="s">
        <v>457</v>
      </c>
      <c r="C44" s="1" t="s">
        <v>734</v>
      </c>
    </row>
    <row r="45" spans="1:3" x14ac:dyDescent="0.25">
      <c r="A45" s="1" t="s">
        <v>287</v>
      </c>
      <c r="B45" t="s">
        <v>457</v>
      </c>
      <c r="C45" s="1" t="s">
        <v>734</v>
      </c>
    </row>
    <row r="46" spans="1:3" x14ac:dyDescent="0.25">
      <c r="A46" s="1" t="s">
        <v>252</v>
      </c>
      <c r="B46" t="s">
        <v>457</v>
      </c>
      <c r="C46" s="1" t="s">
        <v>734</v>
      </c>
    </row>
    <row r="47" spans="1:3" x14ac:dyDescent="0.25">
      <c r="A47" t="s">
        <v>243</v>
      </c>
      <c r="B47" t="s">
        <v>458</v>
      </c>
      <c r="C47" s="1" t="s">
        <v>362</v>
      </c>
    </row>
    <row r="48" spans="1:3" x14ac:dyDescent="0.25">
      <c r="A48" t="s">
        <v>210</v>
      </c>
      <c r="B48" t="s">
        <v>456</v>
      </c>
      <c r="C48" s="1" t="s">
        <v>364</v>
      </c>
    </row>
    <row r="49" spans="1:3" x14ac:dyDescent="0.25">
      <c r="A49" t="s">
        <v>236</v>
      </c>
      <c r="B49" t="s">
        <v>456</v>
      </c>
      <c r="C49" s="1" t="s">
        <v>364</v>
      </c>
    </row>
    <row r="50" spans="1:3" x14ac:dyDescent="0.25">
      <c r="A50" s="1" t="s">
        <v>175</v>
      </c>
      <c r="B50" t="s">
        <v>453</v>
      </c>
      <c r="C50" t="s">
        <v>370</v>
      </c>
    </row>
    <row r="51" spans="1:3" x14ac:dyDescent="0.25">
      <c r="A51" t="s">
        <v>216</v>
      </c>
      <c r="B51" t="s">
        <v>456</v>
      </c>
      <c r="C51" s="1" t="s">
        <v>364</v>
      </c>
    </row>
    <row r="52" spans="1:3" x14ac:dyDescent="0.25">
      <c r="A52" t="s">
        <v>232</v>
      </c>
      <c r="B52" t="s">
        <v>453</v>
      </c>
      <c r="C52" t="s">
        <v>370</v>
      </c>
    </row>
    <row r="53" spans="1:3" x14ac:dyDescent="0.25">
      <c r="A53" s="1" t="s">
        <v>345</v>
      </c>
      <c r="B53" t="s">
        <v>453</v>
      </c>
      <c r="C53" t="s">
        <v>370</v>
      </c>
    </row>
    <row r="54" spans="1:3" x14ac:dyDescent="0.25">
      <c r="A54" s="1" t="s">
        <v>302</v>
      </c>
      <c r="B54" t="s">
        <v>460</v>
      </c>
      <c r="C54" s="1" t="s">
        <v>363</v>
      </c>
    </row>
    <row r="55" spans="1:3" x14ac:dyDescent="0.25">
      <c r="A55" s="1" t="s">
        <v>262</v>
      </c>
      <c r="B55" t="s">
        <v>458</v>
      </c>
      <c r="C55" s="1" t="s">
        <v>362</v>
      </c>
    </row>
    <row r="56" spans="1:3" x14ac:dyDescent="0.25">
      <c r="A56" s="1" t="s">
        <v>162</v>
      </c>
      <c r="B56" t="s">
        <v>458</v>
      </c>
      <c r="C56" s="1" t="s">
        <v>362</v>
      </c>
    </row>
    <row r="57" spans="1:3" x14ac:dyDescent="0.25">
      <c r="A57" t="s">
        <v>202</v>
      </c>
      <c r="B57" t="s">
        <v>458</v>
      </c>
      <c r="C57" s="1" t="s">
        <v>362</v>
      </c>
    </row>
    <row r="58" spans="1:3" x14ac:dyDescent="0.25">
      <c r="A58" t="s">
        <v>356</v>
      </c>
      <c r="B58" t="s">
        <v>453</v>
      </c>
      <c r="C58" t="s">
        <v>370</v>
      </c>
    </row>
    <row r="59" spans="1:3" x14ac:dyDescent="0.25">
      <c r="A59" t="s">
        <v>195</v>
      </c>
      <c r="B59" t="s">
        <v>454</v>
      </c>
      <c r="C59" s="1" t="s">
        <v>366</v>
      </c>
    </row>
    <row r="60" spans="1:3" x14ac:dyDescent="0.25">
      <c r="A60" s="1" t="s">
        <v>317</v>
      </c>
      <c r="B60" s="1" t="s">
        <v>454</v>
      </c>
      <c r="C60" s="1" t="s">
        <v>366</v>
      </c>
    </row>
    <row r="61" spans="1:3" x14ac:dyDescent="0.25">
      <c r="A61" s="1" t="s">
        <v>311</v>
      </c>
      <c r="B61" t="s">
        <v>472</v>
      </c>
      <c r="C61" s="1" t="s">
        <v>372</v>
      </c>
    </row>
    <row r="62" spans="1:3" x14ac:dyDescent="0.25">
      <c r="A62" s="1" t="s">
        <v>324</v>
      </c>
      <c r="B62" s="1" t="s">
        <v>454</v>
      </c>
      <c r="C62" s="1" t="s">
        <v>366</v>
      </c>
    </row>
    <row r="63" spans="1:3" x14ac:dyDescent="0.25">
      <c r="A63" s="1" t="s">
        <v>310</v>
      </c>
      <c r="B63" s="1" t="s">
        <v>454</v>
      </c>
      <c r="C63" s="1" t="s">
        <v>366</v>
      </c>
    </row>
    <row r="64" spans="1:3" x14ac:dyDescent="0.25">
      <c r="A64" s="1" t="s">
        <v>139</v>
      </c>
      <c r="B64" s="1" t="s">
        <v>460</v>
      </c>
      <c r="C64" s="1" t="s">
        <v>363</v>
      </c>
    </row>
    <row r="65" spans="1:3" x14ac:dyDescent="0.25">
      <c r="A65" s="1" t="s">
        <v>186</v>
      </c>
      <c r="B65" t="s">
        <v>452</v>
      </c>
      <c r="C65" t="s">
        <v>732</v>
      </c>
    </row>
    <row r="66" spans="1:3" x14ac:dyDescent="0.25">
      <c r="A66" t="s">
        <v>219</v>
      </c>
      <c r="B66" s="1" t="s">
        <v>465</v>
      </c>
      <c r="C66" t="s">
        <v>737</v>
      </c>
    </row>
    <row r="67" spans="1:3" x14ac:dyDescent="0.25">
      <c r="A67" s="1" t="s">
        <v>165</v>
      </c>
      <c r="B67" s="1" t="s">
        <v>465</v>
      </c>
      <c r="C67" t="s">
        <v>737</v>
      </c>
    </row>
    <row r="68" spans="1:3" x14ac:dyDescent="0.25">
      <c r="A68" s="1" t="s">
        <v>265</v>
      </c>
      <c r="B68" t="s">
        <v>453</v>
      </c>
      <c r="C68" t="s">
        <v>370</v>
      </c>
    </row>
    <row r="69" spans="1:3" x14ac:dyDescent="0.25">
      <c r="A69" s="1" t="s">
        <v>293</v>
      </c>
      <c r="B69" s="1" t="s">
        <v>465</v>
      </c>
      <c r="C69" t="s">
        <v>737</v>
      </c>
    </row>
    <row r="70" spans="1:3" x14ac:dyDescent="0.25">
      <c r="A70" s="1" t="s">
        <v>292</v>
      </c>
      <c r="B70" s="1" t="s">
        <v>460</v>
      </c>
      <c r="C70" s="1" t="s">
        <v>363</v>
      </c>
    </row>
    <row r="71" spans="1:3" x14ac:dyDescent="0.25">
      <c r="A71" s="1" t="s">
        <v>136</v>
      </c>
      <c r="B71" t="s">
        <v>459</v>
      </c>
      <c r="C71" s="1" t="s">
        <v>365</v>
      </c>
    </row>
    <row r="72" spans="1:3" x14ac:dyDescent="0.25">
      <c r="A72" s="1" t="s">
        <v>309</v>
      </c>
      <c r="B72" t="s">
        <v>452</v>
      </c>
      <c r="C72" t="s">
        <v>732</v>
      </c>
    </row>
    <row r="73" spans="1:3" x14ac:dyDescent="0.25">
      <c r="A73" s="1" t="s">
        <v>137</v>
      </c>
      <c r="B73" t="s">
        <v>452</v>
      </c>
      <c r="C73" t="s">
        <v>732</v>
      </c>
    </row>
    <row r="74" spans="1:3" x14ac:dyDescent="0.25">
      <c r="A74" s="1" t="s">
        <v>147</v>
      </c>
      <c r="B74" t="s">
        <v>456</v>
      </c>
      <c r="C74" s="1" t="s">
        <v>364</v>
      </c>
    </row>
    <row r="75" spans="1:3" x14ac:dyDescent="0.25">
      <c r="A75" t="s">
        <v>231</v>
      </c>
      <c r="B75" t="s">
        <v>456</v>
      </c>
      <c r="C75" s="1" t="s">
        <v>364</v>
      </c>
    </row>
    <row r="76" spans="1:3" x14ac:dyDescent="0.25">
      <c r="A76" s="1" t="s">
        <v>156</v>
      </c>
      <c r="B76" s="1" t="s">
        <v>467</v>
      </c>
      <c r="C76" s="1" t="s">
        <v>731</v>
      </c>
    </row>
    <row r="77" spans="1:3" x14ac:dyDescent="0.25">
      <c r="A77" s="1" t="s">
        <v>176</v>
      </c>
      <c r="B77" s="1" t="s">
        <v>467</v>
      </c>
      <c r="C77" s="1" t="s">
        <v>731</v>
      </c>
    </row>
    <row r="78" spans="1:3" x14ac:dyDescent="0.25">
      <c r="A78" t="s">
        <v>240</v>
      </c>
      <c r="B78" t="s">
        <v>458</v>
      </c>
      <c r="C78" s="1" t="s">
        <v>362</v>
      </c>
    </row>
    <row r="79" spans="1:3" x14ac:dyDescent="0.25">
      <c r="A79" s="1" t="s">
        <v>300</v>
      </c>
      <c r="B79" t="s">
        <v>457</v>
      </c>
      <c r="C79" s="1" t="s">
        <v>734</v>
      </c>
    </row>
    <row r="80" spans="1:3" x14ac:dyDescent="0.25">
      <c r="A80" s="1" t="s">
        <v>167</v>
      </c>
      <c r="B80" s="1" t="s">
        <v>458</v>
      </c>
      <c r="C80" s="1" t="s">
        <v>362</v>
      </c>
    </row>
    <row r="81" spans="1:3" x14ac:dyDescent="0.25">
      <c r="A81" t="s">
        <v>201</v>
      </c>
      <c r="B81" t="s">
        <v>461</v>
      </c>
      <c r="C81" t="s">
        <v>369</v>
      </c>
    </row>
    <row r="82" spans="1:3" x14ac:dyDescent="0.25">
      <c r="A82" s="1" t="s">
        <v>183</v>
      </c>
      <c r="B82" t="s">
        <v>461</v>
      </c>
      <c r="C82" t="s">
        <v>369</v>
      </c>
    </row>
    <row r="83" spans="1:3" x14ac:dyDescent="0.25">
      <c r="A83" s="1" t="s">
        <v>144</v>
      </c>
      <c r="B83" t="s">
        <v>460</v>
      </c>
      <c r="C83" s="1" t="s">
        <v>363</v>
      </c>
    </row>
    <row r="84" spans="1:3" x14ac:dyDescent="0.25">
      <c r="A84" s="1" t="s">
        <v>184</v>
      </c>
      <c r="B84" t="s">
        <v>460</v>
      </c>
      <c r="C84" s="1" t="s">
        <v>363</v>
      </c>
    </row>
    <row r="85" spans="1:3" x14ac:dyDescent="0.25">
      <c r="A85" t="s">
        <v>354</v>
      </c>
      <c r="B85" t="s">
        <v>460</v>
      </c>
      <c r="C85" s="1" t="s">
        <v>363</v>
      </c>
    </row>
    <row r="86" spans="1:3" x14ac:dyDescent="0.25">
      <c r="A86" t="s">
        <v>198</v>
      </c>
      <c r="B86" t="s">
        <v>462</v>
      </c>
      <c r="C86" t="s">
        <v>729</v>
      </c>
    </row>
    <row r="87" spans="1:3" x14ac:dyDescent="0.25">
      <c r="A87" s="1" t="s">
        <v>157</v>
      </c>
      <c r="B87" s="1" t="s">
        <v>456</v>
      </c>
      <c r="C87" s="1" t="s">
        <v>364</v>
      </c>
    </row>
    <row r="88" spans="1:3" x14ac:dyDescent="0.25">
      <c r="A88" t="s">
        <v>221</v>
      </c>
      <c r="B88" t="s">
        <v>456</v>
      </c>
      <c r="C88" s="1" t="s">
        <v>364</v>
      </c>
    </row>
    <row r="89" spans="1:3" x14ac:dyDescent="0.25">
      <c r="A89" s="1" t="s">
        <v>284</v>
      </c>
      <c r="B89" s="1" t="s">
        <v>455</v>
      </c>
      <c r="C89" s="1" t="s">
        <v>727</v>
      </c>
    </row>
    <row r="90" spans="1:3" x14ac:dyDescent="0.25">
      <c r="A90" s="1" t="s">
        <v>271</v>
      </c>
      <c r="B90" t="s">
        <v>455</v>
      </c>
      <c r="C90" s="1" t="s">
        <v>727</v>
      </c>
    </row>
    <row r="91" spans="1:3" x14ac:dyDescent="0.25">
      <c r="A91" t="s">
        <v>204</v>
      </c>
      <c r="B91" t="s">
        <v>455</v>
      </c>
      <c r="C91" s="1" t="s">
        <v>727</v>
      </c>
    </row>
    <row r="92" spans="1:3" x14ac:dyDescent="0.25">
      <c r="A92" t="s">
        <v>206</v>
      </c>
      <c r="B92" t="s">
        <v>455</v>
      </c>
      <c r="C92" s="1" t="s">
        <v>727</v>
      </c>
    </row>
    <row r="93" spans="1:3" x14ac:dyDescent="0.25">
      <c r="A93" s="1" t="s">
        <v>163</v>
      </c>
      <c r="B93" t="s">
        <v>455</v>
      </c>
      <c r="C93" s="1" t="s">
        <v>727</v>
      </c>
    </row>
    <row r="94" spans="1:3" x14ac:dyDescent="0.25">
      <c r="A94" s="1" t="s">
        <v>263</v>
      </c>
      <c r="B94" t="s">
        <v>472</v>
      </c>
      <c r="C94" s="1" t="s">
        <v>372</v>
      </c>
    </row>
    <row r="95" spans="1:3" x14ac:dyDescent="0.25">
      <c r="A95" s="1" t="s">
        <v>255</v>
      </c>
      <c r="B95" t="s">
        <v>463</v>
      </c>
      <c r="C95" s="1" t="s">
        <v>728</v>
      </c>
    </row>
    <row r="96" spans="1:3" x14ac:dyDescent="0.25">
      <c r="A96" s="1" t="s">
        <v>256</v>
      </c>
      <c r="B96" t="s">
        <v>463</v>
      </c>
      <c r="C96" s="1" t="s">
        <v>728</v>
      </c>
    </row>
    <row r="97" spans="1:3" x14ac:dyDescent="0.25">
      <c r="A97" t="s">
        <v>222</v>
      </c>
      <c r="B97" t="s">
        <v>463</v>
      </c>
      <c r="C97" s="1" t="s">
        <v>728</v>
      </c>
    </row>
    <row r="98" spans="1:3" x14ac:dyDescent="0.25">
      <c r="A98" s="1" t="s">
        <v>259</v>
      </c>
      <c r="B98" t="s">
        <v>463</v>
      </c>
      <c r="C98" s="1" t="s">
        <v>728</v>
      </c>
    </row>
    <row r="99" spans="1:3" x14ac:dyDescent="0.25">
      <c r="A99" s="1" t="s">
        <v>303</v>
      </c>
      <c r="B99" t="s">
        <v>456</v>
      </c>
      <c r="C99" s="1" t="s">
        <v>364</v>
      </c>
    </row>
    <row r="100" spans="1:3" x14ac:dyDescent="0.25">
      <c r="A100" s="1" t="s">
        <v>264</v>
      </c>
      <c r="B100" t="s">
        <v>456</v>
      </c>
      <c r="C100" s="1" t="s">
        <v>364</v>
      </c>
    </row>
    <row r="101" spans="1:3" x14ac:dyDescent="0.25">
      <c r="A101" s="1" t="s">
        <v>270</v>
      </c>
      <c r="B101" t="s">
        <v>454</v>
      </c>
      <c r="C101" s="1" t="s">
        <v>366</v>
      </c>
    </row>
    <row r="102" spans="1:3" x14ac:dyDescent="0.25">
      <c r="A102" s="1" t="s">
        <v>171</v>
      </c>
      <c r="B102" t="s">
        <v>461</v>
      </c>
      <c r="C102" t="s">
        <v>369</v>
      </c>
    </row>
    <row r="103" spans="1:3" x14ac:dyDescent="0.25">
      <c r="A103" s="1" t="s">
        <v>249</v>
      </c>
      <c r="B103" t="s">
        <v>454</v>
      </c>
      <c r="C103" s="1" t="s">
        <v>366</v>
      </c>
    </row>
    <row r="104" spans="1:3" x14ac:dyDescent="0.25">
      <c r="A104" s="1" t="s">
        <v>168</v>
      </c>
      <c r="B104" t="s">
        <v>454</v>
      </c>
      <c r="C104" s="1" t="s">
        <v>366</v>
      </c>
    </row>
    <row r="105" spans="1:3" x14ac:dyDescent="0.25">
      <c r="A105" t="s">
        <v>197</v>
      </c>
      <c r="B105" t="s">
        <v>454</v>
      </c>
      <c r="C105" s="1" t="s">
        <v>366</v>
      </c>
    </row>
    <row r="106" spans="1:3" x14ac:dyDescent="0.25">
      <c r="A106" t="s">
        <v>192</v>
      </c>
      <c r="B106" t="s">
        <v>454</v>
      </c>
      <c r="C106" s="1" t="s">
        <v>366</v>
      </c>
    </row>
    <row r="107" spans="1:3" x14ac:dyDescent="0.25">
      <c r="A107" s="1" t="s">
        <v>258</v>
      </c>
      <c r="B107" s="1" t="s">
        <v>456</v>
      </c>
      <c r="C107" s="1" t="s">
        <v>364</v>
      </c>
    </row>
    <row r="108" spans="1:3" x14ac:dyDescent="0.25">
      <c r="A108" s="1" t="s">
        <v>178</v>
      </c>
      <c r="B108" s="1" t="s">
        <v>454</v>
      </c>
      <c r="C108" s="1" t="s">
        <v>366</v>
      </c>
    </row>
    <row r="109" spans="1:3" x14ac:dyDescent="0.25">
      <c r="A109" s="1" t="s">
        <v>155</v>
      </c>
      <c r="B109" s="1" t="s">
        <v>462</v>
      </c>
      <c r="C109" t="s">
        <v>729</v>
      </c>
    </row>
    <row r="110" spans="1:3" x14ac:dyDescent="0.25">
      <c r="A110" t="s">
        <v>235</v>
      </c>
      <c r="B110" s="1" t="s">
        <v>462</v>
      </c>
      <c r="C110" t="s">
        <v>729</v>
      </c>
    </row>
    <row r="111" spans="1:3" x14ac:dyDescent="0.25">
      <c r="A111" t="s">
        <v>203</v>
      </c>
      <c r="B111" s="1" t="s">
        <v>465</v>
      </c>
      <c r="C111" t="s">
        <v>737</v>
      </c>
    </row>
    <row r="112" spans="1:3" x14ac:dyDescent="0.25">
      <c r="A112" s="1" t="s">
        <v>295</v>
      </c>
      <c r="B112" s="1" t="s">
        <v>465</v>
      </c>
      <c r="C112" t="s">
        <v>737</v>
      </c>
    </row>
    <row r="113" spans="1:3" x14ac:dyDescent="0.25">
      <c r="A113" s="1" t="s">
        <v>322</v>
      </c>
      <c r="B113" s="1" t="s">
        <v>465</v>
      </c>
      <c r="C113" t="s">
        <v>737</v>
      </c>
    </row>
    <row r="114" spans="1:3" x14ac:dyDescent="0.25">
      <c r="A114" s="1" t="s">
        <v>320</v>
      </c>
      <c r="B114" s="1" t="s">
        <v>454</v>
      </c>
      <c r="C114" s="1" t="s">
        <v>366</v>
      </c>
    </row>
    <row r="115" spans="1:3" x14ac:dyDescent="0.25">
      <c r="A115" s="1" t="s">
        <v>343</v>
      </c>
      <c r="B115" s="1" t="s">
        <v>460</v>
      </c>
      <c r="C115" s="1" t="s">
        <v>363</v>
      </c>
    </row>
    <row r="116" spans="1:3" x14ac:dyDescent="0.25">
      <c r="A116" s="1" t="s">
        <v>148</v>
      </c>
      <c r="B116" s="1" t="s">
        <v>465</v>
      </c>
      <c r="C116" t="s">
        <v>737</v>
      </c>
    </row>
    <row r="117" spans="1:3" x14ac:dyDescent="0.25">
      <c r="A117" s="1" t="s">
        <v>187</v>
      </c>
      <c r="B117" s="1" t="s">
        <v>465</v>
      </c>
      <c r="C117" t="s">
        <v>737</v>
      </c>
    </row>
    <row r="118" spans="1:3" x14ac:dyDescent="0.25">
      <c r="A118" s="1" t="s">
        <v>315</v>
      </c>
      <c r="B118" s="1" t="s">
        <v>465</v>
      </c>
      <c r="C118" t="s">
        <v>737</v>
      </c>
    </row>
    <row r="119" spans="1:3" x14ac:dyDescent="0.25">
      <c r="A119" s="1" t="s">
        <v>286</v>
      </c>
      <c r="B119" s="1" t="s">
        <v>460</v>
      </c>
      <c r="C119" s="1" t="s">
        <v>363</v>
      </c>
    </row>
    <row r="120" spans="1:3" x14ac:dyDescent="0.25">
      <c r="A120" s="1" t="s">
        <v>306</v>
      </c>
      <c r="B120" s="1" t="s">
        <v>465</v>
      </c>
      <c r="C120" t="s">
        <v>737</v>
      </c>
    </row>
    <row r="121" spans="1:3" x14ac:dyDescent="0.25">
      <c r="A121" s="1" t="s">
        <v>308</v>
      </c>
      <c r="B121" s="1" t="s">
        <v>465</v>
      </c>
      <c r="C121" t="s">
        <v>737</v>
      </c>
    </row>
    <row r="122" spans="1:3" x14ac:dyDescent="0.25">
      <c r="A122" s="1" t="s">
        <v>294</v>
      </c>
      <c r="B122" s="1" t="s">
        <v>465</v>
      </c>
      <c r="C122" t="s">
        <v>737</v>
      </c>
    </row>
    <row r="123" spans="1:3" x14ac:dyDescent="0.25">
      <c r="A123" s="1" t="s">
        <v>154</v>
      </c>
      <c r="B123" s="1" t="s">
        <v>465</v>
      </c>
      <c r="C123" t="s">
        <v>737</v>
      </c>
    </row>
    <row r="124" spans="1:3" x14ac:dyDescent="0.25">
      <c r="A124" t="s">
        <v>229</v>
      </c>
      <c r="B124" t="s">
        <v>456</v>
      </c>
      <c r="C124" s="1" t="s">
        <v>364</v>
      </c>
    </row>
    <row r="125" spans="1:3" x14ac:dyDescent="0.25">
      <c r="A125" s="1" t="s">
        <v>164</v>
      </c>
      <c r="B125" s="1" t="s">
        <v>458</v>
      </c>
      <c r="C125" s="1" t="s">
        <v>362</v>
      </c>
    </row>
    <row r="126" spans="1:3" x14ac:dyDescent="0.25">
      <c r="A126" s="1" t="s">
        <v>266</v>
      </c>
      <c r="B126" s="1" t="s">
        <v>458</v>
      </c>
      <c r="C126" s="1" t="s">
        <v>362</v>
      </c>
    </row>
    <row r="127" spans="1:3" x14ac:dyDescent="0.25">
      <c r="A127" t="s">
        <v>200</v>
      </c>
      <c r="B127" t="s">
        <v>464</v>
      </c>
      <c r="C127" t="s">
        <v>736</v>
      </c>
    </row>
    <row r="128" spans="1:3" x14ac:dyDescent="0.25">
      <c r="A128" t="s">
        <v>199</v>
      </c>
      <c r="B128" s="1" t="s">
        <v>454</v>
      </c>
      <c r="C128" s="1" t="s">
        <v>366</v>
      </c>
    </row>
    <row r="129" spans="1:3" x14ac:dyDescent="0.25">
      <c r="A129" t="s">
        <v>208</v>
      </c>
      <c r="B129" t="s">
        <v>464</v>
      </c>
      <c r="C129" t="s">
        <v>736</v>
      </c>
    </row>
    <row r="130" spans="1:3" x14ac:dyDescent="0.25">
      <c r="A130" s="1" t="s">
        <v>296</v>
      </c>
      <c r="B130" s="1" t="s">
        <v>454</v>
      </c>
      <c r="C130" s="1" t="s">
        <v>366</v>
      </c>
    </row>
    <row r="131" spans="1:3" x14ac:dyDescent="0.25">
      <c r="A131" s="1" t="s">
        <v>273</v>
      </c>
      <c r="B131" s="1" t="s">
        <v>465</v>
      </c>
      <c r="C131" t="s">
        <v>737</v>
      </c>
    </row>
    <row r="132" spans="1:3" x14ac:dyDescent="0.25">
      <c r="A132" s="1" t="s">
        <v>141</v>
      </c>
      <c r="B132" s="1" t="s">
        <v>458</v>
      </c>
      <c r="C132" s="1" t="s">
        <v>362</v>
      </c>
    </row>
    <row r="133" spans="1:3" x14ac:dyDescent="0.25">
      <c r="A133" s="1" t="s">
        <v>359</v>
      </c>
      <c r="B133" s="1" t="s">
        <v>466</v>
      </c>
      <c r="C133" t="s">
        <v>738</v>
      </c>
    </row>
    <row r="134" spans="1:3" x14ac:dyDescent="0.25">
      <c r="A134" s="1" t="s">
        <v>174</v>
      </c>
      <c r="B134" s="1" t="s">
        <v>454</v>
      </c>
      <c r="C134" s="1" t="s">
        <v>366</v>
      </c>
    </row>
    <row r="135" spans="1:3" x14ac:dyDescent="0.25">
      <c r="A135" s="1" t="s">
        <v>289</v>
      </c>
      <c r="B135" s="1" t="s">
        <v>466</v>
      </c>
      <c r="C135" t="s">
        <v>738</v>
      </c>
    </row>
    <row r="136" spans="1:3" x14ac:dyDescent="0.25">
      <c r="A136" s="1" t="s">
        <v>191</v>
      </c>
      <c r="B136" s="1" t="s">
        <v>461</v>
      </c>
      <c r="C136" t="s">
        <v>369</v>
      </c>
    </row>
    <row r="137" spans="1:3" x14ac:dyDescent="0.25">
      <c r="A137" s="1" t="s">
        <v>305</v>
      </c>
      <c r="B137" s="1" t="s">
        <v>467</v>
      </c>
      <c r="C137" s="1" t="s">
        <v>731</v>
      </c>
    </row>
    <row r="138" spans="1:3" x14ac:dyDescent="0.25">
      <c r="A138" s="1" t="s">
        <v>158</v>
      </c>
      <c r="B138" s="1" t="s">
        <v>459</v>
      </c>
      <c r="C138" s="1" t="s">
        <v>365</v>
      </c>
    </row>
    <row r="139" spans="1:3" x14ac:dyDescent="0.25">
      <c r="A139" s="1" t="s">
        <v>319</v>
      </c>
      <c r="B139" s="1" t="s">
        <v>466</v>
      </c>
      <c r="C139" t="s">
        <v>738</v>
      </c>
    </row>
    <row r="140" spans="1:3" x14ac:dyDescent="0.25">
      <c r="A140" s="1" t="s">
        <v>253</v>
      </c>
      <c r="B140" s="1" t="s">
        <v>454</v>
      </c>
      <c r="C140" s="1" t="s">
        <v>366</v>
      </c>
    </row>
    <row r="141" spans="1:3" x14ac:dyDescent="0.25">
      <c r="A141" t="s">
        <v>239</v>
      </c>
      <c r="B141" t="s">
        <v>453</v>
      </c>
      <c r="C141" t="s">
        <v>370</v>
      </c>
    </row>
    <row r="142" spans="1:3" x14ac:dyDescent="0.25">
      <c r="A142" t="s">
        <v>218</v>
      </c>
      <c r="B142" t="s">
        <v>459</v>
      </c>
      <c r="C142" s="1" t="s">
        <v>365</v>
      </c>
    </row>
    <row r="143" spans="1:3" x14ac:dyDescent="0.25">
      <c r="A143" t="s">
        <v>245</v>
      </c>
      <c r="B143" t="s">
        <v>464</v>
      </c>
      <c r="C143" t="s">
        <v>736</v>
      </c>
    </row>
    <row r="144" spans="1:3" x14ac:dyDescent="0.25">
      <c r="A144" t="s">
        <v>358</v>
      </c>
      <c r="B144" t="s">
        <v>468</v>
      </c>
      <c r="C144" t="s">
        <v>733</v>
      </c>
    </row>
    <row r="145" spans="1:3" x14ac:dyDescent="0.25">
      <c r="A145" s="1" t="s">
        <v>138</v>
      </c>
      <c r="B145" s="1" t="s">
        <v>462</v>
      </c>
      <c r="C145" t="s">
        <v>729</v>
      </c>
    </row>
    <row r="146" spans="1:3" x14ac:dyDescent="0.25">
      <c r="A146" s="1" t="s">
        <v>145</v>
      </c>
      <c r="B146" s="1" t="s">
        <v>464</v>
      </c>
      <c r="C146" t="s">
        <v>736</v>
      </c>
    </row>
    <row r="147" spans="1:3" x14ac:dyDescent="0.25">
      <c r="A147" s="1" t="s">
        <v>140</v>
      </c>
      <c r="B147" s="1" t="s">
        <v>466</v>
      </c>
      <c r="C147" t="s">
        <v>738</v>
      </c>
    </row>
    <row r="148" spans="1:3" x14ac:dyDescent="0.25">
      <c r="A148" s="1" t="s">
        <v>342</v>
      </c>
      <c r="B148" s="1" t="s">
        <v>469</v>
      </c>
      <c r="C148" s="1" t="s">
        <v>735</v>
      </c>
    </row>
    <row r="149" spans="1:3" x14ac:dyDescent="0.25">
      <c r="A149" t="s">
        <v>349</v>
      </c>
      <c r="B149" t="s">
        <v>469</v>
      </c>
      <c r="C149" s="1" t="s">
        <v>735</v>
      </c>
    </row>
    <row r="150" spans="1:3" x14ac:dyDescent="0.25">
      <c r="A150" s="1" t="s">
        <v>152</v>
      </c>
      <c r="B150" s="1" t="s">
        <v>469</v>
      </c>
      <c r="C150" s="1" t="s">
        <v>735</v>
      </c>
    </row>
    <row r="151" spans="1:3" x14ac:dyDescent="0.25">
      <c r="A151" s="1" t="s">
        <v>250</v>
      </c>
      <c r="B151" s="1" t="s">
        <v>469</v>
      </c>
      <c r="C151" s="1" t="s">
        <v>735</v>
      </c>
    </row>
    <row r="152" spans="1:3" x14ac:dyDescent="0.25">
      <c r="A152" t="s">
        <v>352</v>
      </c>
      <c r="B152" t="s">
        <v>458</v>
      </c>
      <c r="C152" s="1" t="s">
        <v>362</v>
      </c>
    </row>
    <row r="153" spans="1:3" x14ac:dyDescent="0.25">
      <c r="A153" t="s">
        <v>228</v>
      </c>
      <c r="B153" t="s">
        <v>459</v>
      </c>
      <c r="C153" s="1" t="s">
        <v>365</v>
      </c>
    </row>
    <row r="154" spans="1:3" x14ac:dyDescent="0.25">
      <c r="A154" t="s">
        <v>246</v>
      </c>
      <c r="B154" t="s">
        <v>459</v>
      </c>
      <c r="C154" s="1" t="s">
        <v>365</v>
      </c>
    </row>
    <row r="155" spans="1:3" x14ac:dyDescent="0.25">
      <c r="A155" s="1" t="s">
        <v>318</v>
      </c>
      <c r="B155" s="1" t="s">
        <v>467</v>
      </c>
      <c r="C155" s="1" t="s">
        <v>731</v>
      </c>
    </row>
    <row r="156" spans="1:3" x14ac:dyDescent="0.25">
      <c r="A156" s="1" t="s">
        <v>277</v>
      </c>
      <c r="B156" t="s">
        <v>468</v>
      </c>
      <c r="C156" t="s">
        <v>733</v>
      </c>
    </row>
    <row r="157" spans="1:3" x14ac:dyDescent="0.25">
      <c r="A157" s="1" t="s">
        <v>344</v>
      </c>
      <c r="B157" t="s">
        <v>468</v>
      </c>
      <c r="C157" t="s">
        <v>733</v>
      </c>
    </row>
    <row r="158" spans="1:3" x14ac:dyDescent="0.25">
      <c r="A158" t="s">
        <v>214</v>
      </c>
      <c r="B158" t="s">
        <v>468</v>
      </c>
      <c r="C158" t="s">
        <v>733</v>
      </c>
    </row>
    <row r="159" spans="1:3" x14ac:dyDescent="0.25">
      <c r="A159" s="1" t="s">
        <v>170</v>
      </c>
      <c r="B159" s="1" t="s">
        <v>470</v>
      </c>
      <c r="C159" s="1" t="s">
        <v>730</v>
      </c>
    </row>
    <row r="160" spans="1:3" x14ac:dyDescent="0.25">
      <c r="A160" s="1" t="s">
        <v>268</v>
      </c>
      <c r="B160" s="1" t="s">
        <v>460</v>
      </c>
      <c r="C160" s="1" t="s">
        <v>363</v>
      </c>
    </row>
    <row r="161" spans="1:3" x14ac:dyDescent="0.25">
      <c r="A161" s="1" t="s">
        <v>143</v>
      </c>
      <c r="B161" s="1" t="s">
        <v>459</v>
      </c>
      <c r="C161" s="1" t="s">
        <v>365</v>
      </c>
    </row>
    <row r="162" spans="1:3" x14ac:dyDescent="0.25">
      <c r="A162" t="s">
        <v>215</v>
      </c>
      <c r="B162" t="s">
        <v>459</v>
      </c>
      <c r="C162" s="1" t="s">
        <v>365</v>
      </c>
    </row>
    <row r="163" spans="1:3" x14ac:dyDescent="0.25">
      <c r="A163" t="s">
        <v>348</v>
      </c>
      <c r="B163" t="s">
        <v>459</v>
      </c>
      <c r="C163" s="1" t="s">
        <v>365</v>
      </c>
    </row>
    <row r="164" spans="1:3" x14ac:dyDescent="0.25">
      <c r="A164" t="s">
        <v>241</v>
      </c>
      <c r="B164" t="s">
        <v>459</v>
      </c>
      <c r="C164" s="1" t="s">
        <v>365</v>
      </c>
    </row>
    <row r="165" spans="1:3" x14ac:dyDescent="0.25">
      <c r="A165" t="s">
        <v>227</v>
      </c>
      <c r="B165" t="s">
        <v>468</v>
      </c>
      <c r="C165" t="s">
        <v>733</v>
      </c>
    </row>
    <row r="166" spans="1:3" x14ac:dyDescent="0.25">
      <c r="A166" s="1" t="s">
        <v>247</v>
      </c>
      <c r="B166" t="s">
        <v>470</v>
      </c>
      <c r="C166" s="1" t="s">
        <v>730</v>
      </c>
    </row>
    <row r="167" spans="1:3" x14ac:dyDescent="0.25">
      <c r="A167" s="1" t="s">
        <v>254</v>
      </c>
      <c r="B167" s="1" t="s">
        <v>460</v>
      </c>
      <c r="C167" s="1" t="s">
        <v>363</v>
      </c>
    </row>
    <row r="168" spans="1:3" x14ac:dyDescent="0.25">
      <c r="A168" s="1" t="s">
        <v>169</v>
      </c>
      <c r="B168" s="1" t="s">
        <v>452</v>
      </c>
      <c r="C168" t="s">
        <v>732</v>
      </c>
    </row>
    <row r="169" spans="1:3" x14ac:dyDescent="0.25">
      <c r="A169" s="1" t="s">
        <v>182</v>
      </c>
      <c r="B169" s="1" t="s">
        <v>452</v>
      </c>
      <c r="C169" t="s">
        <v>732</v>
      </c>
    </row>
    <row r="170" spans="1:3" x14ac:dyDescent="0.25">
      <c r="A170" s="1" t="s">
        <v>297</v>
      </c>
      <c r="B170" s="1" t="s">
        <v>452</v>
      </c>
      <c r="C170" t="s">
        <v>732</v>
      </c>
    </row>
    <row r="171" spans="1:3" x14ac:dyDescent="0.25">
      <c r="A171" s="1" t="s">
        <v>180</v>
      </c>
      <c r="B171" s="1" t="s">
        <v>452</v>
      </c>
      <c r="C171" t="s">
        <v>732</v>
      </c>
    </row>
    <row r="172" spans="1:3" x14ac:dyDescent="0.25">
      <c r="A172" s="1" t="s">
        <v>321</v>
      </c>
      <c r="B172" s="1" t="s">
        <v>452</v>
      </c>
      <c r="C172" t="s">
        <v>732</v>
      </c>
    </row>
    <row r="173" spans="1:3" x14ac:dyDescent="0.25">
      <c r="A173" s="1" t="s">
        <v>190</v>
      </c>
      <c r="B173" s="1" t="s">
        <v>452</v>
      </c>
      <c r="C173" t="s">
        <v>732</v>
      </c>
    </row>
    <row r="174" spans="1:3" x14ac:dyDescent="0.25">
      <c r="A174" s="1" t="s">
        <v>360</v>
      </c>
      <c r="B174" s="1" t="s">
        <v>470</v>
      </c>
      <c r="C174" s="1" t="s">
        <v>730</v>
      </c>
    </row>
    <row r="175" spans="1:3" x14ac:dyDescent="0.25">
      <c r="A175" s="1" t="s">
        <v>269</v>
      </c>
      <c r="B175" s="1" t="s">
        <v>470</v>
      </c>
      <c r="C175" s="1" t="s">
        <v>730</v>
      </c>
    </row>
    <row r="176" spans="1:3" x14ac:dyDescent="0.25">
      <c r="A176" t="s">
        <v>347</v>
      </c>
      <c r="B176" s="1" t="s">
        <v>454</v>
      </c>
      <c r="C176" s="1" t="s">
        <v>366</v>
      </c>
    </row>
    <row r="177" spans="1:3" x14ac:dyDescent="0.25">
      <c r="A177" s="1" t="s">
        <v>166</v>
      </c>
      <c r="B177" t="s">
        <v>468</v>
      </c>
      <c r="C177" t="s">
        <v>733</v>
      </c>
    </row>
    <row r="178" spans="1:3" x14ac:dyDescent="0.25">
      <c r="A178" t="s">
        <v>207</v>
      </c>
      <c r="B178" s="1" t="s">
        <v>464</v>
      </c>
      <c r="C178" t="s">
        <v>736</v>
      </c>
    </row>
    <row r="179" spans="1:3" x14ac:dyDescent="0.25">
      <c r="A179" s="1" t="s">
        <v>299</v>
      </c>
      <c r="B179" s="1" t="s">
        <v>467</v>
      </c>
      <c r="C179" s="1" t="s">
        <v>731</v>
      </c>
    </row>
    <row r="180" spans="1:3" x14ac:dyDescent="0.25">
      <c r="A180" s="1" t="s">
        <v>260</v>
      </c>
      <c r="B180" t="s">
        <v>472</v>
      </c>
      <c r="C180" s="1" t="s">
        <v>372</v>
      </c>
    </row>
    <row r="181" spans="1:3" x14ac:dyDescent="0.25">
      <c r="A181" t="s">
        <v>346</v>
      </c>
      <c r="B181" s="1" t="s">
        <v>456</v>
      </c>
      <c r="C181" s="1" t="s">
        <v>364</v>
      </c>
    </row>
    <row r="182" spans="1:3" x14ac:dyDescent="0.25">
      <c r="A182" t="s">
        <v>217</v>
      </c>
      <c r="B182" t="s">
        <v>468</v>
      </c>
      <c r="C182" t="s">
        <v>733</v>
      </c>
    </row>
    <row r="183" spans="1:3" x14ac:dyDescent="0.25">
      <c r="A183" t="s">
        <v>211</v>
      </c>
      <c r="B183" s="1" t="s">
        <v>467</v>
      </c>
      <c r="C183" s="1" t="s">
        <v>731</v>
      </c>
    </row>
    <row r="184" spans="1:3" x14ac:dyDescent="0.25">
      <c r="A184" s="1" t="s">
        <v>298</v>
      </c>
      <c r="B184" t="s">
        <v>471</v>
      </c>
      <c r="C184" s="1" t="s">
        <v>371</v>
      </c>
    </row>
    <row r="185" spans="1:3" x14ac:dyDescent="0.25">
      <c r="A185" t="s">
        <v>350</v>
      </c>
      <c r="B185" s="1" t="s">
        <v>471</v>
      </c>
      <c r="C185" s="1" t="s">
        <v>371</v>
      </c>
    </row>
    <row r="186" spans="1:3" x14ac:dyDescent="0.25">
      <c r="A186" s="1" t="s">
        <v>272</v>
      </c>
      <c r="B186" t="s">
        <v>454</v>
      </c>
      <c r="C186" s="1" t="s">
        <v>366</v>
      </c>
    </row>
    <row r="187" spans="1:3" x14ac:dyDescent="0.25">
      <c r="A187" s="1" t="s">
        <v>278</v>
      </c>
      <c r="B187" s="1" t="s">
        <v>458</v>
      </c>
      <c r="C187" s="1" t="s">
        <v>362</v>
      </c>
    </row>
    <row r="188" spans="1:3" x14ac:dyDescent="0.25">
      <c r="A188" t="s">
        <v>194</v>
      </c>
      <c r="B188" s="1" t="s">
        <v>466</v>
      </c>
      <c r="C188" t="s">
        <v>738</v>
      </c>
    </row>
    <row r="189" spans="1:3" x14ac:dyDescent="0.25">
      <c r="A189" s="1" t="s">
        <v>275</v>
      </c>
      <c r="B189" s="1" t="s">
        <v>471</v>
      </c>
      <c r="C189" s="1" t="s">
        <v>371</v>
      </c>
    </row>
    <row r="190" spans="1:3" x14ac:dyDescent="0.25">
      <c r="A190" s="1" t="s">
        <v>323</v>
      </c>
      <c r="B190" s="1" t="s">
        <v>459</v>
      </c>
      <c r="C190" s="1" t="s">
        <v>365</v>
      </c>
    </row>
    <row r="191" spans="1:3" x14ac:dyDescent="0.25">
      <c r="A191" s="1" t="s">
        <v>361</v>
      </c>
      <c r="B191" s="1" t="s">
        <v>454</v>
      </c>
      <c r="C191" s="1" t="s">
        <v>366</v>
      </c>
    </row>
    <row r="192" spans="1:3" x14ac:dyDescent="0.25">
      <c r="A192" s="1" t="s">
        <v>189</v>
      </c>
      <c r="B192" s="1" t="s">
        <v>454</v>
      </c>
      <c r="C192" s="1" t="s">
        <v>366</v>
      </c>
    </row>
    <row r="193" spans="1:3" x14ac:dyDescent="0.25">
      <c r="A193" s="1" t="s">
        <v>283</v>
      </c>
      <c r="B193" s="1" t="s">
        <v>457</v>
      </c>
      <c r="C193" s="1" t="s">
        <v>734</v>
      </c>
    </row>
    <row r="194" spans="1:3" x14ac:dyDescent="0.25">
      <c r="A194" s="1" t="s">
        <v>159</v>
      </c>
      <c r="B194" s="1" t="s">
        <v>471</v>
      </c>
      <c r="C194" s="1" t="s">
        <v>371</v>
      </c>
    </row>
    <row r="195" spans="1:3" x14ac:dyDescent="0.25">
      <c r="A195" t="s">
        <v>355</v>
      </c>
      <c r="B195" s="1" t="s">
        <v>453</v>
      </c>
      <c r="C195" t="s">
        <v>370</v>
      </c>
    </row>
    <row r="196" spans="1:3" x14ac:dyDescent="0.25">
      <c r="A196" s="1" t="s">
        <v>261</v>
      </c>
      <c r="B196" t="s">
        <v>452</v>
      </c>
      <c r="C196" t="s">
        <v>732</v>
      </c>
    </row>
    <row r="197" spans="1:3" x14ac:dyDescent="0.25">
      <c r="A197" s="1" t="s">
        <v>173</v>
      </c>
      <c r="B197" s="1" t="s">
        <v>456</v>
      </c>
      <c r="C197" s="1" t="s">
        <v>364</v>
      </c>
    </row>
    <row r="198" spans="1:3" x14ac:dyDescent="0.25">
      <c r="A198" t="s">
        <v>224</v>
      </c>
      <c r="B198" s="1" t="s">
        <v>470</v>
      </c>
      <c r="C198" s="1" t="s">
        <v>730</v>
      </c>
    </row>
    <row r="199" spans="1:3" x14ac:dyDescent="0.25">
      <c r="A199" s="1" t="s">
        <v>160</v>
      </c>
      <c r="B199" t="s">
        <v>456</v>
      </c>
      <c r="C199" s="1" t="s">
        <v>364</v>
      </c>
    </row>
    <row r="200" spans="1:3" x14ac:dyDescent="0.25">
      <c r="A200" t="s">
        <v>233</v>
      </c>
      <c r="B200" t="s">
        <v>456</v>
      </c>
      <c r="C200" s="1" t="s">
        <v>364</v>
      </c>
    </row>
    <row r="201" spans="1:3" x14ac:dyDescent="0.25">
      <c r="A201" s="1" t="s">
        <v>142</v>
      </c>
      <c r="B201" t="s">
        <v>470</v>
      </c>
      <c r="C201" s="1" t="s">
        <v>730</v>
      </c>
    </row>
    <row r="202" spans="1:3" x14ac:dyDescent="0.25">
      <c r="A202" t="s">
        <v>234</v>
      </c>
      <c r="B202" s="1" t="s">
        <v>470</v>
      </c>
      <c r="C202" s="1" t="s">
        <v>730</v>
      </c>
    </row>
    <row r="203" spans="1:3" x14ac:dyDescent="0.25">
      <c r="A203" t="s">
        <v>357</v>
      </c>
      <c r="B203" s="1" t="s">
        <v>466</v>
      </c>
      <c r="C203" t="s">
        <v>738</v>
      </c>
    </row>
    <row r="204" spans="1:3" x14ac:dyDescent="0.25">
      <c r="A204" s="1" t="s">
        <v>340</v>
      </c>
      <c r="B204" t="s">
        <v>465</v>
      </c>
      <c r="C204" t="s">
        <v>737</v>
      </c>
    </row>
    <row r="205" spans="1:3" x14ac:dyDescent="0.25">
      <c r="A205" t="s">
        <v>193</v>
      </c>
      <c r="B205" s="1" t="s">
        <v>461</v>
      </c>
      <c r="C205" t="s">
        <v>369</v>
      </c>
    </row>
    <row r="206" spans="1:3" x14ac:dyDescent="0.25">
      <c r="A206" t="s">
        <v>209</v>
      </c>
      <c r="B206" t="s">
        <v>470</v>
      </c>
      <c r="C206" s="1" t="s">
        <v>730</v>
      </c>
    </row>
    <row r="207" spans="1:3" x14ac:dyDescent="0.25">
      <c r="A207" s="1" t="s">
        <v>338</v>
      </c>
      <c r="B207" t="s">
        <v>464</v>
      </c>
      <c r="C207" t="s">
        <v>736</v>
      </c>
    </row>
    <row r="208" spans="1:3" x14ac:dyDescent="0.25">
      <c r="A208" s="1" t="s">
        <v>172</v>
      </c>
      <c r="B208" s="1" t="s">
        <v>465</v>
      </c>
      <c r="C208" t="s">
        <v>737</v>
      </c>
    </row>
    <row r="209" spans="1:3" x14ac:dyDescent="0.25">
      <c r="A209" s="1" t="s">
        <v>179</v>
      </c>
      <c r="B209" s="1" t="s">
        <v>459</v>
      </c>
      <c r="C209" s="1" t="s">
        <v>365</v>
      </c>
    </row>
    <row r="210" spans="1:3" x14ac:dyDescent="0.25">
      <c r="A210" s="1" t="s">
        <v>312</v>
      </c>
      <c r="B210" s="1" t="s">
        <v>459</v>
      </c>
      <c r="C210" s="1" t="s">
        <v>365</v>
      </c>
    </row>
    <row r="211" spans="1:3" x14ac:dyDescent="0.25">
      <c r="A211" s="1" t="s">
        <v>316</v>
      </c>
      <c r="B211" s="1" t="s">
        <v>465</v>
      </c>
      <c r="C211" t="s">
        <v>737</v>
      </c>
    </row>
    <row r="212" spans="1:3" x14ac:dyDescent="0.25">
      <c r="A212" s="1" t="s">
        <v>257</v>
      </c>
      <c r="B212" t="s">
        <v>472</v>
      </c>
      <c r="C212" s="1" t="s">
        <v>372</v>
      </c>
    </row>
    <row r="213" spans="1:3" x14ac:dyDescent="0.25">
      <c r="A213" t="s">
        <v>196</v>
      </c>
      <c r="B213" s="1" t="s">
        <v>464</v>
      </c>
      <c r="C213" t="s">
        <v>736</v>
      </c>
    </row>
    <row r="214" spans="1:3" x14ac:dyDescent="0.25">
      <c r="A214" t="s">
        <v>353</v>
      </c>
      <c r="B214" t="s">
        <v>456</v>
      </c>
      <c r="C214" s="1" t="s">
        <v>364</v>
      </c>
    </row>
    <row r="215" spans="1:3" x14ac:dyDescent="0.25">
      <c r="A215" s="1" t="s">
        <v>177</v>
      </c>
      <c r="B215" t="s">
        <v>459</v>
      </c>
      <c r="C215" s="1" t="s">
        <v>365</v>
      </c>
    </row>
    <row r="216" spans="1:3" x14ac:dyDescent="0.25">
      <c r="A216" t="s">
        <v>351</v>
      </c>
      <c r="B216" s="1" t="s">
        <v>467</v>
      </c>
      <c r="C216" s="1" t="s">
        <v>731</v>
      </c>
    </row>
    <row r="217" spans="1:3" x14ac:dyDescent="0.25">
      <c r="A217" s="1" t="s">
        <v>185</v>
      </c>
      <c r="B217" s="1" t="s">
        <v>459</v>
      </c>
      <c r="C217" s="1" t="s">
        <v>365</v>
      </c>
    </row>
    <row r="218" spans="1:3" x14ac:dyDescent="0.25">
      <c r="A218" t="s">
        <v>220</v>
      </c>
      <c r="B218" s="1" t="s">
        <v>466</v>
      </c>
      <c r="C218" t="s">
        <v>738</v>
      </c>
    </row>
    <row r="219" spans="1:3" x14ac:dyDescent="0.25">
      <c r="A219" s="29" t="s">
        <v>484</v>
      </c>
      <c r="C219" s="29">
        <f>SUBTOTAL(103,Table2[Sub Groups])</f>
        <v>213</v>
      </c>
    </row>
  </sheetData>
  <mergeCells count="2">
    <mergeCell ref="A3:C3"/>
    <mergeCell ref="G4:H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Glossary_CheckUniqueFactorGlossary">
                <anchor moveWithCells="1" sizeWithCells="1">
                  <from>
                    <xdr:col>4</xdr:col>
                    <xdr:colOff>76200</xdr:colOff>
                    <xdr:row>1</xdr:row>
                    <xdr:rowOff>95250</xdr:rowOff>
                  </from>
                  <to>
                    <xdr:col>4</xdr:col>
                    <xdr:colOff>1704975</xdr:colOff>
                    <xdr:row>1</xdr:row>
                    <xdr:rowOff>485775</xdr:rowOff>
                  </to>
                </anchor>
              </controlPr>
            </control>
          </mc:Choice>
        </mc:AlternateContent>
        <mc:AlternateContent xmlns:mc="http://schemas.openxmlformats.org/markup-compatibility/2006">
          <mc:Choice Requires="x14">
            <control shapeId="12290" r:id="rId5" name="Button 2">
              <controlPr defaultSize="0" print="0" autoFill="0" autoPict="0" macro="[0]!ExtractUniqueGroups">
                <anchor moveWithCells="1" sizeWithCells="1">
                  <from>
                    <xdr:col>6</xdr:col>
                    <xdr:colOff>400050</xdr:colOff>
                    <xdr:row>1</xdr:row>
                    <xdr:rowOff>47625</xdr:rowOff>
                  </from>
                  <to>
                    <xdr:col>7</xdr:col>
                    <xdr:colOff>1123950</xdr:colOff>
                    <xdr:row>1</xdr:row>
                    <xdr:rowOff>485775</xdr:rowOff>
                  </to>
                </anchor>
              </controlPr>
            </control>
          </mc:Choice>
        </mc:AlternateContent>
      </controls>
    </mc:Choice>
  </mc:AlternateContent>
  <tableParts count="3">
    <tablePart r:id="rId6"/>
    <tablePart r:id="rId7"/>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506C4-B258-4223-B296-678F97DB7880}">
  <sheetPr codeName="Sheet7"/>
  <dimension ref="A1:E218"/>
  <sheetViews>
    <sheetView workbookViewId="0">
      <pane ySplit="4" topLeftCell="A5" activePane="bottomLeft" state="frozen"/>
      <selection pane="bottomLeft" activeCell="A3" sqref="A3"/>
    </sheetView>
  </sheetViews>
  <sheetFormatPr defaultRowHeight="15" x14ac:dyDescent="0.25"/>
  <cols>
    <col min="1" max="1" width="34.28515625" bestFit="1" customWidth="1"/>
    <col min="2" max="2" width="51" customWidth="1"/>
    <col min="3" max="3" width="52.140625" customWidth="1"/>
    <col min="5" max="6" width="14.140625" bestFit="1" customWidth="1"/>
  </cols>
  <sheetData>
    <row r="1" spans="1:5" ht="15.75" thickBot="1" x14ac:dyDescent="0.3"/>
    <row r="2" spans="1:5" ht="15.75" thickBot="1" x14ac:dyDescent="0.3">
      <c r="A2" s="50" t="s">
        <v>1099</v>
      </c>
      <c r="B2" s="50"/>
      <c r="C2" s="50"/>
      <c r="E2" s="17" t="s">
        <v>480</v>
      </c>
    </row>
    <row r="3" spans="1:5" x14ac:dyDescent="0.25">
      <c r="A3" s="34" t="str">
        <f>'Thematic Analysis'!E6</f>
        <v>Concern</v>
      </c>
      <c r="B3" s="35" t="s">
        <v>474</v>
      </c>
      <c r="C3" s="36" t="s">
        <v>475</v>
      </c>
    </row>
    <row r="4" spans="1:5" x14ac:dyDescent="0.25">
      <c r="A4" s="11" t="s">
        <v>499</v>
      </c>
      <c r="B4" s="11" t="s">
        <v>492</v>
      </c>
      <c r="C4" s="11" t="s">
        <v>493</v>
      </c>
    </row>
    <row r="5" spans="1:5" ht="30" x14ac:dyDescent="0.25">
      <c r="A5" s="1" t="str">
        <f>Glossary!A6</f>
        <v>Access to information</v>
      </c>
      <c r="B5" s="38" t="s">
        <v>500</v>
      </c>
      <c r="C5" s="38" t="s">
        <v>858</v>
      </c>
    </row>
    <row r="6" spans="1:5" ht="30" x14ac:dyDescent="0.25">
      <c r="A6" s="1" t="str">
        <f>Glossary!A7</f>
        <v>Accuracy of data</v>
      </c>
      <c r="B6" s="38" t="s">
        <v>502</v>
      </c>
      <c r="C6" s="38" t="s">
        <v>859</v>
      </c>
    </row>
    <row r="7" spans="1:5" ht="30" x14ac:dyDescent="0.25">
      <c r="A7" s="1" t="str">
        <f>Glossary!A8</f>
        <v>Accuracy of Reporting</v>
      </c>
      <c r="B7" s="38" t="s">
        <v>503</v>
      </c>
      <c r="C7" s="38" t="s">
        <v>953</v>
      </c>
    </row>
    <row r="8" spans="1:5" ht="30" x14ac:dyDescent="0.25">
      <c r="A8" s="1" t="str">
        <f>Glossary!A9</f>
        <v>Achieving business priorities</v>
      </c>
      <c r="B8" s="38" t="s">
        <v>504</v>
      </c>
      <c r="C8" s="38" t="s">
        <v>984</v>
      </c>
    </row>
    <row r="9" spans="1:5" ht="30" x14ac:dyDescent="0.25">
      <c r="A9" s="1" t="str">
        <f>Glossary!A10</f>
        <v>Achieving outcomes</v>
      </c>
      <c r="B9" s="38" t="s">
        <v>505</v>
      </c>
      <c r="C9" s="38" t="s">
        <v>926</v>
      </c>
    </row>
    <row r="10" spans="1:5" ht="30" x14ac:dyDescent="0.25">
      <c r="A10" s="1" t="str">
        <f>Glossary!A11</f>
        <v>Alignment</v>
      </c>
      <c r="B10" s="38" t="s">
        <v>506</v>
      </c>
      <c r="C10" s="38" t="s">
        <v>986</v>
      </c>
    </row>
    <row r="11" spans="1:5" ht="30" x14ac:dyDescent="0.25">
      <c r="A11" s="1" t="str">
        <f>Glossary!A12</f>
        <v>Alignment with business benefits</v>
      </c>
      <c r="B11" s="38" t="s">
        <v>830</v>
      </c>
      <c r="C11" s="38" t="s">
        <v>831</v>
      </c>
    </row>
    <row r="12" spans="1:5" ht="30" x14ac:dyDescent="0.25">
      <c r="A12" s="1" t="str">
        <f>Glossary!A13</f>
        <v>Alignment with initiatives</v>
      </c>
      <c r="B12" s="38" t="s">
        <v>507</v>
      </c>
      <c r="C12" s="38" t="s">
        <v>946</v>
      </c>
    </row>
    <row r="13" spans="1:5" ht="30" x14ac:dyDescent="0.25">
      <c r="A13" s="1" t="str">
        <f>Glossary!A14</f>
        <v>Alignment with national initiatives</v>
      </c>
      <c r="B13" s="38" t="s">
        <v>508</v>
      </c>
      <c r="C13" s="38" t="s">
        <v>932</v>
      </c>
    </row>
    <row r="14" spans="1:5" ht="30" x14ac:dyDescent="0.25">
      <c r="A14" s="1" t="str">
        <f>Glossary!A15</f>
        <v>Alignment with reform programs</v>
      </c>
      <c r="B14" s="38" t="s">
        <v>509</v>
      </c>
      <c r="C14" s="38" t="s">
        <v>841</v>
      </c>
    </row>
    <row r="15" spans="1:5" ht="30" x14ac:dyDescent="0.25">
      <c r="A15" s="1" t="str">
        <f>Glossary!A16</f>
        <v>Alignment with Results and Services Plan</v>
      </c>
      <c r="B15" s="38" t="s">
        <v>510</v>
      </c>
      <c r="C15" s="38" t="s">
        <v>960</v>
      </c>
    </row>
    <row r="16" spans="1:5" ht="30" x14ac:dyDescent="0.25">
      <c r="A16" s="1" t="str">
        <f>Glossary!A17</f>
        <v>Allocation of resources</v>
      </c>
      <c r="B16" s="38" t="s">
        <v>511</v>
      </c>
      <c r="C16" s="38" t="s">
        <v>956</v>
      </c>
    </row>
    <row r="17" spans="1:3" ht="30" x14ac:dyDescent="0.25">
      <c r="A17" s="1" t="str">
        <f>Glossary!A18</f>
        <v>Appropriate consumer delivery</v>
      </c>
      <c r="B17" s="38" t="s">
        <v>512</v>
      </c>
      <c r="C17" s="38" t="s">
        <v>974</v>
      </c>
    </row>
    <row r="18" spans="1:3" ht="30" x14ac:dyDescent="0.25">
      <c r="A18" s="1" t="str">
        <f>Glossary!A19</f>
        <v>Appropriate resource utilization</v>
      </c>
      <c r="B18" s="38" t="s">
        <v>513</v>
      </c>
      <c r="C18" s="38" t="s">
        <v>957</v>
      </c>
    </row>
    <row r="19" spans="1:3" ht="30" x14ac:dyDescent="0.25">
      <c r="A19" s="1" t="str">
        <f>Glossary!A20</f>
        <v>Availability of services</v>
      </c>
      <c r="B19" s="38" t="s">
        <v>514</v>
      </c>
      <c r="C19" s="38" t="s">
        <v>971</v>
      </c>
    </row>
    <row r="20" spans="1:3" ht="30" x14ac:dyDescent="0.25">
      <c r="A20" s="1" t="str">
        <f>Glossary!A21</f>
        <v>Benefit to the organization</v>
      </c>
      <c r="B20" s="38" t="s">
        <v>515</v>
      </c>
      <c r="C20" s="38" t="s">
        <v>924</v>
      </c>
    </row>
    <row r="21" spans="1:3" ht="30" x14ac:dyDescent="0.25">
      <c r="A21" s="1" t="str">
        <f>Glossary!A22</f>
        <v>Benefits realization</v>
      </c>
      <c r="B21" s="38" t="s">
        <v>821</v>
      </c>
      <c r="C21" s="38" t="s">
        <v>822</v>
      </c>
    </row>
    <row r="22" spans="1:3" ht="30" x14ac:dyDescent="0.25">
      <c r="A22" s="1" t="str">
        <f>Glossary!A23</f>
        <v>Budget negotiation</v>
      </c>
      <c r="B22" s="38" t="s">
        <v>516</v>
      </c>
      <c r="C22" s="38" t="s">
        <v>878</v>
      </c>
    </row>
    <row r="23" spans="1:3" ht="30" x14ac:dyDescent="0.25">
      <c r="A23" s="1" t="str">
        <f>Glossary!A24</f>
        <v>Business reform</v>
      </c>
      <c r="B23" s="38" t="s">
        <v>517</v>
      </c>
      <c r="C23" s="38" t="s">
        <v>840</v>
      </c>
    </row>
    <row r="24" spans="1:3" ht="30" x14ac:dyDescent="0.25">
      <c r="A24" s="1" t="str">
        <f>Glossary!A25</f>
        <v>Business strategy</v>
      </c>
      <c r="B24" s="38" t="s">
        <v>506</v>
      </c>
      <c r="C24" s="38" t="s">
        <v>986</v>
      </c>
    </row>
    <row r="25" spans="1:3" ht="30" x14ac:dyDescent="0.25">
      <c r="A25" s="1" t="str">
        <f>Glossary!A26</f>
        <v>Capacity for large-scale change</v>
      </c>
      <c r="B25" s="38" t="s">
        <v>518</v>
      </c>
      <c r="C25" s="38" t="s">
        <v>842</v>
      </c>
    </row>
    <row r="26" spans="1:3" ht="30" x14ac:dyDescent="0.25">
      <c r="A26" s="1" t="str">
        <f>Glossary!A27</f>
        <v>Capacity optimization</v>
      </c>
      <c r="B26" s="38" t="s">
        <v>519</v>
      </c>
      <c r="C26" s="38" t="s">
        <v>927</v>
      </c>
    </row>
    <row r="27" spans="1:3" ht="30" x14ac:dyDescent="0.25">
      <c r="A27" s="1" t="str">
        <f>Glossary!A28</f>
        <v>Change control process</v>
      </c>
      <c r="B27" s="38" t="s">
        <v>157</v>
      </c>
      <c r="C27" s="38" t="s">
        <v>882</v>
      </c>
    </row>
    <row r="28" spans="1:3" ht="30" x14ac:dyDescent="0.25">
      <c r="A28" s="1" t="str">
        <f>Glossary!A29</f>
        <v>Change management</v>
      </c>
      <c r="B28" s="38" t="s">
        <v>520</v>
      </c>
      <c r="C28" s="38" t="s">
        <v>1005</v>
      </c>
    </row>
    <row r="29" spans="1:3" ht="30" x14ac:dyDescent="0.25">
      <c r="A29" s="1" t="str">
        <f>Glossary!A30</f>
        <v>Classification of applications</v>
      </c>
      <c r="B29" s="38" t="s">
        <v>813</v>
      </c>
      <c r="C29" s="38" t="s">
        <v>814</v>
      </c>
    </row>
    <row r="30" spans="1:3" ht="30" x14ac:dyDescent="0.25">
      <c r="A30" s="1" t="str">
        <f>Glossary!A31</f>
        <v>Collaboration</v>
      </c>
      <c r="B30" s="38" t="s">
        <v>521</v>
      </c>
      <c r="C30" s="38" t="s">
        <v>981</v>
      </c>
    </row>
    <row r="31" spans="1:3" ht="30" x14ac:dyDescent="0.25">
      <c r="A31" s="1" t="str">
        <f>Glossary!A32</f>
        <v>Collaboration across jurisdictions</v>
      </c>
      <c r="B31" s="38" t="s">
        <v>522</v>
      </c>
      <c r="C31" s="38" t="s">
        <v>900</v>
      </c>
    </row>
    <row r="32" spans="1:3" ht="30" x14ac:dyDescent="0.25">
      <c r="A32" s="1" t="str">
        <f>Glossary!A33</f>
        <v>Collaborative framework</v>
      </c>
      <c r="B32" s="38" t="s">
        <v>523</v>
      </c>
      <c r="C32" s="38" t="s">
        <v>884</v>
      </c>
    </row>
    <row r="33" spans="1:3" ht="30" x14ac:dyDescent="0.25">
      <c r="A33" s="1" t="str">
        <f>Glossary!A34</f>
        <v>Collaborative implementation</v>
      </c>
      <c r="B33" s="38" t="s">
        <v>524</v>
      </c>
      <c r="C33" s="38" t="s">
        <v>903</v>
      </c>
    </row>
    <row r="34" spans="1:3" ht="30" x14ac:dyDescent="0.25">
      <c r="A34" s="1" t="str">
        <f>Glossary!A35</f>
        <v>Common processes across ICT</v>
      </c>
      <c r="B34" s="38" t="s">
        <v>525</v>
      </c>
      <c r="C34" s="38" t="s">
        <v>943</v>
      </c>
    </row>
    <row r="35" spans="1:3" ht="30" x14ac:dyDescent="0.25">
      <c r="A35" s="1" t="str">
        <f>Glossary!A36</f>
        <v>Communication</v>
      </c>
      <c r="B35" s="38" t="s">
        <v>497</v>
      </c>
      <c r="C35" s="38" t="s">
        <v>845</v>
      </c>
    </row>
    <row r="36" spans="1:3" ht="30" x14ac:dyDescent="0.25">
      <c r="A36" s="1" t="str">
        <f>Glossary!A37</f>
        <v>Compatibility</v>
      </c>
      <c r="B36" s="38" t="s">
        <v>526</v>
      </c>
      <c r="C36" s="38" t="s">
        <v>993</v>
      </c>
    </row>
    <row r="37" spans="1:3" ht="30" x14ac:dyDescent="0.25">
      <c r="A37" s="1" t="str">
        <f>Glossary!A38</f>
        <v>Compatibility between systems</v>
      </c>
      <c r="B37" s="38" t="s">
        <v>527</v>
      </c>
      <c r="C37" s="38" t="s">
        <v>899</v>
      </c>
    </row>
    <row r="38" spans="1:3" ht="30" x14ac:dyDescent="0.25">
      <c r="A38" s="1" t="str">
        <f>Glossary!A39</f>
        <v>Competing demands for ICT funds</v>
      </c>
      <c r="B38" s="38" t="s">
        <v>827</v>
      </c>
      <c r="C38" s="38" t="s">
        <v>828</v>
      </c>
    </row>
    <row r="39" spans="1:3" ht="30" x14ac:dyDescent="0.25">
      <c r="A39" s="1" t="str">
        <f>Glossary!A40</f>
        <v>Complex needs problems</v>
      </c>
      <c r="B39" s="38" t="s">
        <v>539</v>
      </c>
      <c r="C39" s="38" t="s">
        <v>838</v>
      </c>
    </row>
    <row r="40" spans="1:3" ht="30" x14ac:dyDescent="0.25">
      <c r="A40" s="1" t="str">
        <f>Glossary!A41</f>
        <v>Complexity and duplication in service delivery</v>
      </c>
      <c r="B40" s="38" t="s">
        <v>529</v>
      </c>
      <c r="C40" s="38" t="s">
        <v>942</v>
      </c>
    </row>
    <row r="41" spans="1:3" ht="30" x14ac:dyDescent="0.25">
      <c r="A41" s="1" t="str">
        <f>Glossary!A42</f>
        <v>Compliance</v>
      </c>
      <c r="B41" s="38" t="s">
        <v>530</v>
      </c>
      <c r="C41" s="38" t="s">
        <v>930</v>
      </c>
    </row>
    <row r="42" spans="1:3" ht="30" x14ac:dyDescent="0.25">
      <c r="A42" s="1" t="str">
        <f>Glossary!A43</f>
        <v>Consideration of whole-of-government strategies</v>
      </c>
      <c r="B42" s="38" t="s">
        <v>531</v>
      </c>
      <c r="C42" s="38" t="s">
        <v>931</v>
      </c>
    </row>
    <row r="43" spans="1:3" ht="30" x14ac:dyDescent="0.25">
      <c r="A43" s="1" t="str">
        <f>Glossary!A44</f>
        <v>Consistency</v>
      </c>
      <c r="B43" s="38" t="s">
        <v>532</v>
      </c>
      <c r="C43" s="38" t="s">
        <v>982</v>
      </c>
    </row>
    <row r="44" spans="1:3" ht="30" x14ac:dyDescent="0.25">
      <c r="A44" s="1" t="str">
        <f>Glossary!A45</f>
        <v>Consistency in application development</v>
      </c>
      <c r="B44" s="38" t="s">
        <v>533</v>
      </c>
      <c r="C44" s="38" t="s">
        <v>867</v>
      </c>
    </row>
    <row r="45" spans="1:3" ht="30" x14ac:dyDescent="0.25">
      <c r="A45" s="1" t="str">
        <f>Glossary!A46</f>
        <v>Consistency in systems approaches</v>
      </c>
      <c r="B45" s="38" t="s">
        <v>534</v>
      </c>
      <c r="C45" s="38" t="s">
        <v>989</v>
      </c>
    </row>
    <row r="46" spans="1:3" ht="30" x14ac:dyDescent="0.25">
      <c r="A46" s="1" t="str">
        <f>Glossary!A47</f>
        <v>Constraints and opportunities</v>
      </c>
      <c r="B46" s="38" t="s">
        <v>535</v>
      </c>
      <c r="C46" s="38" t="s">
        <v>961</v>
      </c>
    </row>
    <row r="47" spans="1:3" ht="30" x14ac:dyDescent="0.25">
      <c r="A47" s="1" t="str">
        <f>Glossary!A48</f>
        <v>Constraints in funding</v>
      </c>
      <c r="B47" s="38" t="s">
        <v>825</v>
      </c>
      <c r="C47" s="38" t="s">
        <v>826</v>
      </c>
    </row>
    <row r="48" spans="1:3" ht="30" x14ac:dyDescent="0.25">
      <c r="A48" s="1" t="str">
        <f>Glossary!A49</f>
        <v>Consumer experience improvement</v>
      </c>
      <c r="B48" s="38" t="s">
        <v>536</v>
      </c>
      <c r="C48" s="38" t="s">
        <v>1010</v>
      </c>
    </row>
    <row r="49" spans="1:3" ht="30" x14ac:dyDescent="0.25">
      <c r="A49" s="1" t="str">
        <f>Glossary!A50</f>
        <v>Consumer support</v>
      </c>
      <c r="B49" s="38" t="s">
        <v>537</v>
      </c>
      <c r="C49" s="38" t="s">
        <v>886</v>
      </c>
    </row>
    <row r="50" spans="1:3" ht="30" x14ac:dyDescent="0.25">
      <c r="A50" s="1" t="str">
        <f>Glossary!A51</f>
        <v>Convergence of issues</v>
      </c>
      <c r="B50" s="38" t="s">
        <v>538</v>
      </c>
      <c r="C50" s="38" t="s">
        <v>898</v>
      </c>
    </row>
    <row r="51" spans="1:3" ht="30" x14ac:dyDescent="0.25">
      <c r="A51" s="1" t="str">
        <f>Glossary!A52</f>
        <v>Coordination of care</v>
      </c>
      <c r="B51" s="38" t="s">
        <v>599</v>
      </c>
      <c r="C51" s="38" t="s">
        <v>837</v>
      </c>
    </row>
    <row r="52" spans="1:3" ht="30" x14ac:dyDescent="0.25">
      <c r="A52" s="1" t="str">
        <f>Glossary!A53</f>
        <v>Core function delivery &amp; Urgent issue resolution</v>
      </c>
      <c r="B52" s="38" t="s">
        <v>540</v>
      </c>
      <c r="C52" s="38" t="s">
        <v>851</v>
      </c>
    </row>
    <row r="53" spans="1:3" ht="30" x14ac:dyDescent="0.25">
      <c r="A53" s="1" t="str">
        <f>Glossary!A54</f>
        <v>Core functionality vs area-specific needs</v>
      </c>
      <c r="B53" s="38" t="s">
        <v>815</v>
      </c>
      <c r="C53" s="38" t="s">
        <v>816</v>
      </c>
    </row>
    <row r="54" spans="1:3" ht="30" x14ac:dyDescent="0.25">
      <c r="A54" s="1" t="str">
        <f>Glossary!A55</f>
        <v>Corporate reform program</v>
      </c>
      <c r="B54" s="38" t="s">
        <v>541</v>
      </c>
      <c r="C54" s="38" t="s">
        <v>923</v>
      </c>
    </row>
    <row r="55" spans="1:3" ht="30" x14ac:dyDescent="0.25">
      <c r="A55" s="1" t="str">
        <f>Glossary!A56</f>
        <v>Cost savings</v>
      </c>
      <c r="B55" s="38" t="s">
        <v>542</v>
      </c>
      <c r="C55" s="38" t="s">
        <v>853</v>
      </c>
    </row>
    <row r="56" spans="1:3" ht="30" x14ac:dyDescent="0.25">
      <c r="A56" s="1" t="str">
        <f>Glossary!A57</f>
        <v>Costly materials</v>
      </c>
      <c r="B56" s="38" t="s">
        <v>543</v>
      </c>
      <c r="C56" s="38" t="s">
        <v>944</v>
      </c>
    </row>
    <row r="57" spans="1:3" ht="30" x14ac:dyDescent="0.25">
      <c r="A57" s="1" t="str">
        <f>Glossary!A58</f>
        <v>Costs of services</v>
      </c>
      <c r="B57" s="38" t="s">
        <v>544</v>
      </c>
      <c r="C57" s="38" t="s">
        <v>973</v>
      </c>
    </row>
    <row r="58" spans="1:3" ht="30" x14ac:dyDescent="0.25">
      <c r="A58" s="1" t="str">
        <f>Glossary!A59</f>
        <v>Critical areas</v>
      </c>
      <c r="B58" s="38" t="s">
        <v>545</v>
      </c>
      <c r="C58" s="38" t="s">
        <v>939</v>
      </c>
    </row>
    <row r="59" spans="1:3" x14ac:dyDescent="0.25">
      <c r="A59" s="1" t="str">
        <f>Glossary!A60</f>
        <v>Data accessibility</v>
      </c>
      <c r="B59" s="38" t="s">
        <v>546</v>
      </c>
      <c r="C59" s="38" t="s">
        <v>921</v>
      </c>
    </row>
    <row r="60" spans="1:3" ht="30" x14ac:dyDescent="0.25">
      <c r="A60" s="1" t="str">
        <f>Glossary!A61</f>
        <v>Data privacy</v>
      </c>
      <c r="B60" s="38" t="s">
        <v>547</v>
      </c>
      <c r="C60" s="38" t="s">
        <v>941</v>
      </c>
    </row>
    <row r="61" spans="1:3" ht="30" x14ac:dyDescent="0.25">
      <c r="A61" s="1" t="str">
        <f>Glossary!A62</f>
        <v>Data quality</v>
      </c>
      <c r="B61" s="38" t="s">
        <v>548</v>
      </c>
      <c r="C61" s="38" t="s">
        <v>856</v>
      </c>
    </row>
    <row r="62" spans="1:3" ht="30" x14ac:dyDescent="0.25">
      <c r="A62" s="1" t="str">
        <f>Glossary!A63</f>
        <v>Data security</v>
      </c>
      <c r="B62" s="38" t="s">
        <v>549</v>
      </c>
      <c r="C62" s="38" t="s">
        <v>854</v>
      </c>
    </row>
    <row r="63" spans="1:3" ht="30" x14ac:dyDescent="0.25">
      <c r="A63" s="1" t="str">
        <f>Glossary!A64</f>
        <v>Data sharing</v>
      </c>
      <c r="B63" s="38" t="s">
        <v>550</v>
      </c>
      <c r="C63" s="38" t="s">
        <v>895</v>
      </c>
    </row>
    <row r="64" spans="1:3" ht="30" x14ac:dyDescent="0.25">
      <c r="A64" s="1" t="str">
        <f>Glossary!A65</f>
        <v>Decision support</v>
      </c>
      <c r="B64" s="38" t="s">
        <v>551</v>
      </c>
      <c r="C64" s="38" t="s">
        <v>862</v>
      </c>
    </row>
    <row r="65" spans="1:3" ht="30" x14ac:dyDescent="0.25">
      <c r="A65" s="1" t="str">
        <f>Glossary!A66</f>
        <v>Demand for services</v>
      </c>
      <c r="B65" s="38" t="s">
        <v>552</v>
      </c>
      <c r="C65" s="38" t="s">
        <v>978</v>
      </c>
    </row>
    <row r="66" spans="1:3" ht="30" x14ac:dyDescent="0.25">
      <c r="A66" s="1" t="str">
        <f>Glossary!A67</f>
        <v>Dependency</v>
      </c>
      <c r="B66" s="38" t="s">
        <v>553</v>
      </c>
      <c r="C66" s="38" t="s">
        <v>991</v>
      </c>
    </row>
    <row r="67" spans="1:3" ht="30" x14ac:dyDescent="0.25">
      <c r="A67" s="1" t="str">
        <f>Glossary!A68</f>
        <v>Development of ICT strategy</v>
      </c>
      <c r="B67" s="38" t="s">
        <v>554</v>
      </c>
      <c r="C67" s="38" t="s">
        <v>890</v>
      </c>
    </row>
    <row r="68" spans="1:3" ht="30" x14ac:dyDescent="0.25">
      <c r="A68" s="1" t="str">
        <f>Glossary!A69</f>
        <v>Development process</v>
      </c>
      <c r="B68" s="38" t="s">
        <v>555</v>
      </c>
      <c r="C68" s="38" t="s">
        <v>980</v>
      </c>
    </row>
    <row r="69" spans="1:3" ht="30" x14ac:dyDescent="0.25">
      <c r="A69" s="1" t="str">
        <f>Glossary!A70</f>
        <v>Disconnect of strategy and implementation</v>
      </c>
      <c r="B69" s="38" t="s">
        <v>556</v>
      </c>
      <c r="C69" s="38" t="s">
        <v>876</v>
      </c>
    </row>
    <row r="70" spans="1:3" ht="30" x14ac:dyDescent="0.25">
      <c r="A70" s="1" t="str">
        <f>Glossary!A71</f>
        <v>Disparate systems</v>
      </c>
      <c r="B70" s="38" t="s">
        <v>557</v>
      </c>
      <c r="C70" s="38" t="s">
        <v>909</v>
      </c>
    </row>
    <row r="71" spans="1:3" ht="30" x14ac:dyDescent="0.25">
      <c r="A71" s="1" t="str">
        <f>Glossary!A72</f>
        <v>Disruption to processes</v>
      </c>
      <c r="B71" s="38" t="s">
        <v>832</v>
      </c>
      <c r="C71" s="38" t="s">
        <v>833</v>
      </c>
    </row>
    <row r="72" spans="1:3" ht="30" x14ac:dyDescent="0.25">
      <c r="A72" s="1" t="str">
        <f>Glossary!A73</f>
        <v>Duplication</v>
      </c>
      <c r="B72" s="38" t="s">
        <v>558</v>
      </c>
      <c r="C72" s="38" t="s">
        <v>952</v>
      </c>
    </row>
    <row r="73" spans="1:3" ht="30" x14ac:dyDescent="0.25">
      <c r="A73" s="1" t="str">
        <f>Glossary!A74</f>
        <v>Effectiveness</v>
      </c>
      <c r="B73" s="38" t="s">
        <v>619</v>
      </c>
      <c r="C73" s="38" t="s">
        <v>906</v>
      </c>
    </row>
    <row r="74" spans="1:3" ht="30" x14ac:dyDescent="0.25">
      <c r="A74" s="1" t="str">
        <f>Glossary!A75</f>
        <v>Effectiveness of services</v>
      </c>
      <c r="B74" s="38" t="s">
        <v>559</v>
      </c>
      <c r="C74" s="38" t="s">
        <v>976</v>
      </c>
    </row>
    <row r="75" spans="1:3" ht="30" x14ac:dyDescent="0.25">
      <c r="A75" s="1" t="str">
        <f>Glossary!A76</f>
        <v>Efficient structures</v>
      </c>
      <c r="B75" s="38" t="s">
        <v>560</v>
      </c>
      <c r="C75" s="38" t="s">
        <v>907</v>
      </c>
    </row>
    <row r="76" spans="1:3" ht="30" x14ac:dyDescent="0.25">
      <c r="A76" s="1" t="str">
        <f>Glossary!A77</f>
        <v>Employee management</v>
      </c>
      <c r="B76" s="38" t="s">
        <v>561</v>
      </c>
      <c r="C76" s="38" t="s">
        <v>888</v>
      </c>
    </row>
    <row r="77" spans="1:3" ht="30" x14ac:dyDescent="0.25">
      <c r="A77" s="1" t="str">
        <f>Glossary!A78</f>
        <v>Enhancement of coordination</v>
      </c>
      <c r="B77" s="38" t="s">
        <v>562</v>
      </c>
      <c r="C77" s="38" t="s">
        <v>1014</v>
      </c>
    </row>
    <row r="78" spans="1:3" ht="30" x14ac:dyDescent="0.25">
      <c r="A78" s="1" t="str">
        <f>Glossary!A79</f>
        <v>Equal system participation</v>
      </c>
      <c r="B78" s="38" t="s">
        <v>805</v>
      </c>
      <c r="C78" s="38" t="s">
        <v>806</v>
      </c>
    </row>
    <row r="79" spans="1:3" x14ac:dyDescent="0.25">
      <c r="A79" s="1" t="str">
        <f>Glossary!A80</f>
        <v>Evaluation criteria</v>
      </c>
      <c r="B79" s="38" t="s">
        <v>563</v>
      </c>
      <c r="C79" s="38" t="s">
        <v>951</v>
      </c>
    </row>
    <row r="80" spans="1:3" ht="30" x14ac:dyDescent="0.25">
      <c r="A80" s="1" t="str">
        <f>Glossary!A81</f>
        <v>Expensive technologies</v>
      </c>
      <c r="B80" s="38" t="s">
        <v>564</v>
      </c>
      <c r="C80" s="38" t="s">
        <v>852</v>
      </c>
    </row>
    <row r="81" spans="1:3" ht="30" x14ac:dyDescent="0.25">
      <c r="A81" s="1" t="str">
        <f>Glossary!A82</f>
        <v>Financial management</v>
      </c>
      <c r="B81" s="38" t="s">
        <v>565</v>
      </c>
      <c r="C81" s="38" t="s">
        <v>829</v>
      </c>
    </row>
    <row r="82" spans="1:3" ht="30" x14ac:dyDescent="0.25">
      <c r="A82" s="1" t="str">
        <f>Glossary!A83</f>
        <v>Fragmentation</v>
      </c>
      <c r="B82" s="38" t="s">
        <v>566</v>
      </c>
      <c r="C82" s="38" t="s">
        <v>998</v>
      </c>
    </row>
    <row r="83" spans="1:3" ht="30" x14ac:dyDescent="0.25">
      <c r="A83" s="1" t="str">
        <f>Glossary!A84</f>
        <v>Funding availability</v>
      </c>
      <c r="B83" s="38" t="s">
        <v>567</v>
      </c>
      <c r="C83" s="38" t="s">
        <v>880</v>
      </c>
    </row>
    <row r="84" spans="1:3" ht="30" x14ac:dyDescent="0.25">
      <c r="A84" s="1" t="str">
        <f>Glossary!A85</f>
        <v>Future benefits</v>
      </c>
      <c r="B84" s="38" t="s">
        <v>367</v>
      </c>
      <c r="C84" s="38" t="s">
        <v>879</v>
      </c>
    </row>
    <row r="85" spans="1:3" ht="30" x14ac:dyDescent="0.25">
      <c r="A85" s="1" t="str">
        <f>Glossary!A86</f>
        <v>Future system demand</v>
      </c>
      <c r="B85" s="38" t="s">
        <v>680</v>
      </c>
      <c r="C85" s="38" t="s">
        <v>835</v>
      </c>
    </row>
    <row r="86" spans="1:3" ht="30" x14ac:dyDescent="0.25">
      <c r="A86" s="1" t="str">
        <f>Glossary!A87</f>
        <v>Governance</v>
      </c>
      <c r="B86" s="38" t="s">
        <v>569</v>
      </c>
      <c r="C86" s="38" t="s">
        <v>947</v>
      </c>
    </row>
    <row r="87" spans="1:3" ht="30" x14ac:dyDescent="0.25">
      <c r="A87" s="1" t="str">
        <f>Glossary!A88</f>
        <v>Government priorities</v>
      </c>
      <c r="B87" s="38" t="s">
        <v>570</v>
      </c>
      <c r="C87" s="38" t="s">
        <v>934</v>
      </c>
    </row>
    <row r="88" spans="1:3" ht="30" x14ac:dyDescent="0.25">
      <c r="A88" s="1" t="str">
        <f>Glossary!A89</f>
        <v>Guidelines application</v>
      </c>
      <c r="B88" s="38" t="s">
        <v>823</v>
      </c>
      <c r="C88" s="38" t="s">
        <v>824</v>
      </c>
    </row>
    <row r="89" spans="1:3" ht="30" x14ac:dyDescent="0.25">
      <c r="A89" s="1" t="str">
        <f>Glossary!A90</f>
        <v>Hardware management</v>
      </c>
      <c r="B89" s="38" t="s">
        <v>817</v>
      </c>
      <c r="C89" s="38" t="s">
        <v>818</v>
      </c>
    </row>
    <row r="90" spans="1:3" ht="30" x14ac:dyDescent="0.25">
      <c r="A90" s="1" t="str">
        <f>Glossary!A91</f>
        <v>High expectations</v>
      </c>
      <c r="B90" s="38" t="s">
        <v>521</v>
      </c>
      <c r="C90" s="38" t="s">
        <v>981</v>
      </c>
    </row>
    <row r="91" spans="1:3" ht="30" x14ac:dyDescent="0.25">
      <c r="A91" s="1" t="str">
        <f>Glossary!A92</f>
        <v>High user rates</v>
      </c>
      <c r="B91" s="38" t="s">
        <v>571</v>
      </c>
      <c r="C91" s="38" t="s">
        <v>997</v>
      </c>
    </row>
    <row r="92" spans="1:3" ht="30" x14ac:dyDescent="0.25">
      <c r="A92" s="1" t="str">
        <f>Glossary!A93</f>
        <v>ICT Alignment</v>
      </c>
      <c r="B92" s="38" t="s">
        <v>572</v>
      </c>
      <c r="C92" s="38" t="s">
        <v>901</v>
      </c>
    </row>
    <row r="93" spans="1:3" ht="30" x14ac:dyDescent="0.25">
      <c r="A93" s="1" t="str">
        <f>Glossary!A94</f>
        <v>ICT reform program</v>
      </c>
      <c r="B93" s="38" t="s">
        <v>573</v>
      </c>
      <c r="C93" s="38" t="s">
        <v>1004</v>
      </c>
    </row>
    <row r="94" spans="1:3" ht="30" x14ac:dyDescent="0.25">
      <c r="A94" s="1" t="str">
        <f>Glossary!A95</f>
        <v>ICT standards</v>
      </c>
      <c r="B94" s="38" t="s">
        <v>574</v>
      </c>
      <c r="C94" s="38" t="s">
        <v>846</v>
      </c>
    </row>
    <row r="95" spans="1:3" ht="30" x14ac:dyDescent="0.25">
      <c r="A95" s="1" t="str">
        <f>Glossary!A96</f>
        <v>ICT strategic plan</v>
      </c>
      <c r="B95" s="38" t="s">
        <v>575</v>
      </c>
      <c r="C95" s="38" t="s">
        <v>912</v>
      </c>
    </row>
    <row r="96" spans="1:3" ht="30" x14ac:dyDescent="0.25">
      <c r="A96" s="1" t="str">
        <f>Glossary!A97</f>
        <v>ICT strategies</v>
      </c>
      <c r="B96" s="38" t="s">
        <v>576</v>
      </c>
      <c r="C96" s="38" t="s">
        <v>893</v>
      </c>
    </row>
    <row r="97" spans="1:3" ht="30" x14ac:dyDescent="0.25">
      <c r="A97" s="1" t="str">
        <f>Glossary!A98</f>
        <v>Identity management standards</v>
      </c>
      <c r="B97" s="38" t="s">
        <v>577</v>
      </c>
      <c r="C97" s="38" t="s">
        <v>889</v>
      </c>
    </row>
    <row r="98" spans="1:3" ht="30" x14ac:dyDescent="0.25">
      <c r="A98" s="1" t="str">
        <f>Glossary!A99</f>
        <v>Implementation delays</v>
      </c>
      <c r="B98" s="38" t="s">
        <v>578</v>
      </c>
      <c r="C98" s="38" t="s">
        <v>1002</v>
      </c>
    </row>
    <row r="99" spans="1:3" ht="30" x14ac:dyDescent="0.25">
      <c r="A99" s="1" t="str">
        <f>Glossary!A100</f>
        <v>Implementation of IT solutions</v>
      </c>
      <c r="B99" s="38" t="s">
        <v>579</v>
      </c>
      <c r="C99" s="38" t="s">
        <v>967</v>
      </c>
    </row>
    <row r="100" spans="1:3" ht="30" x14ac:dyDescent="0.25">
      <c r="A100" s="1" t="str">
        <f>Glossary!A101</f>
        <v>Implementation of system</v>
      </c>
      <c r="B100" s="38" t="s">
        <v>580</v>
      </c>
      <c r="C100" s="38" t="s">
        <v>865</v>
      </c>
    </row>
    <row r="101" spans="1:3" ht="30" x14ac:dyDescent="0.25">
      <c r="A101" s="1" t="str">
        <f>Glossary!A102</f>
        <v>Implementation timeline</v>
      </c>
      <c r="B101" s="38" t="s">
        <v>581</v>
      </c>
      <c r="C101" s="38" t="s">
        <v>969</v>
      </c>
    </row>
    <row r="102" spans="1:3" ht="30" x14ac:dyDescent="0.25">
      <c r="A102" s="1" t="str">
        <f>Glossary!A103</f>
        <v>Improvements to Indigenous consumers</v>
      </c>
      <c r="B102" s="38" t="s">
        <v>582</v>
      </c>
      <c r="C102" s="38" t="s">
        <v>894</v>
      </c>
    </row>
    <row r="103" spans="1:3" ht="30" x14ac:dyDescent="0.25">
      <c r="A103" s="1" t="str">
        <f>Glossary!A104</f>
        <v>Inclusion</v>
      </c>
      <c r="B103" s="38" t="s">
        <v>583</v>
      </c>
      <c r="C103" s="38" t="s">
        <v>875</v>
      </c>
    </row>
    <row r="104" spans="1:3" ht="30" x14ac:dyDescent="0.25">
      <c r="A104" s="1" t="str">
        <f>Glossary!A105</f>
        <v>Increase database</v>
      </c>
      <c r="B104" s="38" t="s">
        <v>584</v>
      </c>
      <c r="C104" s="38" t="s">
        <v>855</v>
      </c>
    </row>
    <row r="105" spans="1:3" ht="30" x14ac:dyDescent="0.25">
      <c r="A105" s="1" t="str">
        <f>Glossary!A106</f>
        <v>Increased services demand</v>
      </c>
      <c r="B105" s="38" t="s">
        <v>368</v>
      </c>
      <c r="C105" s="38" t="s">
        <v>968</v>
      </c>
    </row>
    <row r="106" spans="1:3" ht="30" x14ac:dyDescent="0.25">
      <c r="A106" s="1" t="str">
        <f>Glossary!A107</f>
        <v>Individual Electronic Record</v>
      </c>
      <c r="B106" s="38" t="s">
        <v>585</v>
      </c>
      <c r="C106" s="38" t="s">
        <v>868</v>
      </c>
    </row>
    <row r="107" spans="1:3" ht="30" x14ac:dyDescent="0.25">
      <c r="A107" s="1" t="str">
        <f>Glossary!A108</f>
        <v>Information accessibility</v>
      </c>
      <c r="B107" s="38" t="s">
        <v>586</v>
      </c>
      <c r="C107" s="38" t="s">
        <v>920</v>
      </c>
    </row>
    <row r="108" spans="1:3" ht="30" x14ac:dyDescent="0.25">
      <c r="A108" s="1" t="str">
        <f>Glossary!A109</f>
        <v>Information flow</v>
      </c>
      <c r="B108" s="38" t="s">
        <v>587</v>
      </c>
      <c r="C108" s="38" t="s">
        <v>1013</v>
      </c>
    </row>
    <row r="109" spans="1:3" ht="30" x14ac:dyDescent="0.25">
      <c r="A109" s="1" t="str">
        <f>Glossary!A110</f>
        <v>Information flow along consumer journey</v>
      </c>
      <c r="B109" s="38" t="s">
        <v>588</v>
      </c>
      <c r="C109" s="38" t="s">
        <v>904</v>
      </c>
    </row>
    <row r="110" spans="1:3" ht="30" x14ac:dyDescent="0.25">
      <c r="A110" s="1" t="str">
        <f>Glossary!A111</f>
        <v>Informed consumers</v>
      </c>
      <c r="B110" s="38" t="s">
        <v>589</v>
      </c>
      <c r="C110" s="38" t="s">
        <v>885</v>
      </c>
    </row>
    <row r="111" spans="1:3" ht="30" x14ac:dyDescent="0.25">
      <c r="A111" s="1" t="str">
        <f>Glossary!A112</f>
        <v>Informed decision-making</v>
      </c>
      <c r="B111" s="38" t="s">
        <v>807</v>
      </c>
      <c r="C111" s="38" t="s">
        <v>808</v>
      </c>
    </row>
    <row r="112" spans="1:3" ht="30" x14ac:dyDescent="0.25">
      <c r="A112" s="1" t="str">
        <f>Glossary!A113</f>
        <v>Infrastructure coherence</v>
      </c>
      <c r="B112" s="38" t="s">
        <v>590</v>
      </c>
      <c r="C112" s="38" t="s">
        <v>992</v>
      </c>
    </row>
    <row r="113" spans="1:3" ht="30" x14ac:dyDescent="0.25">
      <c r="A113" s="1" t="str">
        <f>Glossary!A114</f>
        <v>Infrastructure efficiency</v>
      </c>
      <c r="B113" s="38" t="s">
        <v>591</v>
      </c>
      <c r="C113" s="38" t="s">
        <v>896</v>
      </c>
    </row>
    <row r="114" spans="1:3" ht="30" x14ac:dyDescent="0.25">
      <c r="A114" s="1" t="str">
        <f>Glossary!A115</f>
        <v>Integrated analysis &amp; System outcome indicators</v>
      </c>
      <c r="B114" s="38" t="s">
        <v>809</v>
      </c>
      <c r="C114" s="38" t="s">
        <v>810</v>
      </c>
    </row>
    <row r="115" spans="1:3" x14ac:dyDescent="0.25">
      <c r="A115" s="1" t="str">
        <f>Glossary!A116</f>
        <v>Integration</v>
      </c>
      <c r="B115" s="38" t="s">
        <v>592</v>
      </c>
      <c r="C115" s="38" t="s">
        <v>1000</v>
      </c>
    </row>
    <row r="116" spans="1:3" ht="30" x14ac:dyDescent="0.25">
      <c r="A116" s="1" t="str">
        <f>Glossary!A117</f>
        <v>Integration of core systems</v>
      </c>
      <c r="B116" s="38" t="s">
        <v>593</v>
      </c>
      <c r="C116" s="38" t="s">
        <v>850</v>
      </c>
    </row>
    <row r="117" spans="1:3" ht="30" x14ac:dyDescent="0.25">
      <c r="A117" s="1" t="str">
        <f>Glossary!A118</f>
        <v>Integration of data</v>
      </c>
      <c r="B117" s="38" t="s">
        <v>594</v>
      </c>
      <c r="C117" s="38" t="s">
        <v>857</v>
      </c>
    </row>
    <row r="118" spans="1:3" ht="30" x14ac:dyDescent="0.25">
      <c r="A118" s="1" t="str">
        <f>Glossary!A119</f>
        <v>Integration of governance models</v>
      </c>
      <c r="B118" s="38" t="s">
        <v>595</v>
      </c>
      <c r="C118" s="38" t="s">
        <v>883</v>
      </c>
    </row>
    <row r="119" spans="1:3" ht="30" x14ac:dyDescent="0.25">
      <c r="A119" s="1" t="str">
        <f>Glossary!A120</f>
        <v>Integration of systems</v>
      </c>
      <c r="B119" s="38" t="s">
        <v>596</v>
      </c>
      <c r="C119" s="38" t="s">
        <v>1006</v>
      </c>
    </row>
    <row r="120" spans="1:3" ht="30" x14ac:dyDescent="0.25">
      <c r="A120" s="1" t="str">
        <f>Glossary!A121</f>
        <v>Integration of unified systems</v>
      </c>
      <c r="B120" s="38" t="s">
        <v>528</v>
      </c>
      <c r="C120" s="38" t="s">
        <v>839</v>
      </c>
    </row>
    <row r="121" spans="1:3" ht="30" x14ac:dyDescent="0.25">
      <c r="A121" s="1" t="str">
        <f>Glossary!A122</f>
        <v>Integration with existing methodology</v>
      </c>
      <c r="B121" s="38" t="s">
        <v>597</v>
      </c>
      <c r="C121" s="38" t="s">
        <v>913</v>
      </c>
    </row>
    <row r="122" spans="1:3" ht="30" x14ac:dyDescent="0.25">
      <c r="A122" s="1" t="str">
        <f>Glossary!A123</f>
        <v>Interoperability</v>
      </c>
      <c r="B122" s="38" t="s">
        <v>598</v>
      </c>
      <c r="C122" s="38" t="s">
        <v>983</v>
      </c>
    </row>
    <row r="123" spans="1:3" ht="30" x14ac:dyDescent="0.25">
      <c r="A123" s="1" t="str">
        <f>Glossary!A124</f>
        <v>Interventions for high-risk consumers</v>
      </c>
      <c r="B123" s="38" t="s">
        <v>498</v>
      </c>
      <c r="C123" s="38" t="s">
        <v>936</v>
      </c>
    </row>
    <row r="124" spans="1:3" ht="30" x14ac:dyDescent="0.25">
      <c r="A124" s="1" t="str">
        <f>Glossary!A125</f>
        <v>Investment plans</v>
      </c>
      <c r="B124" s="38" t="s">
        <v>568</v>
      </c>
      <c r="C124" s="38" t="s">
        <v>836</v>
      </c>
    </row>
    <row r="125" spans="1:3" ht="30" x14ac:dyDescent="0.25">
      <c r="A125" s="1" t="str">
        <f>Glossary!A126</f>
        <v>Investment priorities</v>
      </c>
      <c r="B125" s="38" t="s">
        <v>600</v>
      </c>
      <c r="C125" s="38" t="s">
        <v>940</v>
      </c>
    </row>
    <row r="126" spans="1:3" ht="30" x14ac:dyDescent="0.25">
      <c r="A126" s="1" t="str">
        <f>Glossary!A127</f>
        <v>IT system advancement</v>
      </c>
      <c r="B126" s="38" t="s">
        <v>601</v>
      </c>
      <c r="C126" s="38" t="s">
        <v>869</v>
      </c>
    </row>
    <row r="127" spans="1:3" ht="30" x14ac:dyDescent="0.25">
      <c r="A127" s="1" t="str">
        <f>Glossary!A128</f>
        <v>Knowledge management</v>
      </c>
      <c r="B127" s="38" t="s">
        <v>602</v>
      </c>
      <c r="C127" s="38" t="s">
        <v>905</v>
      </c>
    </row>
    <row r="128" spans="1:3" ht="30" x14ac:dyDescent="0.25">
      <c r="A128" s="1" t="str">
        <f>Glossary!A129</f>
        <v>Lack of core ICT systems</v>
      </c>
      <c r="B128" s="38" t="s">
        <v>603</v>
      </c>
      <c r="C128" s="38" t="s">
        <v>990</v>
      </c>
    </row>
    <row r="129" spans="1:3" ht="30" x14ac:dyDescent="0.25">
      <c r="A129" s="1" t="str">
        <f>Glossary!A130</f>
        <v>Large content management</v>
      </c>
      <c r="B129" s="38" t="s">
        <v>604</v>
      </c>
      <c r="C129" s="38" t="s">
        <v>871</v>
      </c>
    </row>
    <row r="130" spans="1:3" ht="30" x14ac:dyDescent="0.25">
      <c r="A130" s="1" t="str">
        <f>Glossary!A131</f>
        <v>Local implementations</v>
      </c>
      <c r="B130" s="38" t="s">
        <v>605</v>
      </c>
      <c r="C130" s="38" t="s">
        <v>979</v>
      </c>
    </row>
    <row r="131" spans="1:3" ht="30" x14ac:dyDescent="0.25">
      <c r="A131" s="1" t="str">
        <f>Glossary!A132</f>
        <v>Maintenance costs</v>
      </c>
      <c r="B131" s="38" t="s">
        <v>606</v>
      </c>
      <c r="C131" s="38" t="s">
        <v>919</v>
      </c>
    </row>
    <row r="132" spans="1:3" ht="30" x14ac:dyDescent="0.25">
      <c r="A132" s="1" t="str">
        <f>Glossary!A133</f>
        <v>Maintenance of systems</v>
      </c>
      <c r="B132" s="38" t="s">
        <v>607</v>
      </c>
      <c r="C132" s="38" t="s">
        <v>996</v>
      </c>
    </row>
    <row r="133" spans="1:3" ht="30" x14ac:dyDescent="0.25">
      <c r="A133" s="1" t="str">
        <f>Glossary!A134</f>
        <v>Management information</v>
      </c>
      <c r="B133" s="38" t="s">
        <v>608</v>
      </c>
      <c r="C133" s="38" t="s">
        <v>914</v>
      </c>
    </row>
    <row r="134" spans="1:3" ht="30" x14ac:dyDescent="0.25">
      <c r="A134" s="1" t="str">
        <f>Glossary!A135</f>
        <v>Management of applications</v>
      </c>
      <c r="B134" s="38" t="s">
        <v>811</v>
      </c>
      <c r="C134" s="38" t="s">
        <v>812</v>
      </c>
    </row>
    <row r="135" spans="1:3" ht="30" x14ac:dyDescent="0.25">
      <c r="A135" s="1" t="str">
        <f>Glossary!A136</f>
        <v>Management of future demand</v>
      </c>
      <c r="B135" s="38" t="s">
        <v>609</v>
      </c>
      <c r="C135" s="38" t="s">
        <v>863</v>
      </c>
    </row>
    <row r="136" spans="1:3" ht="30" x14ac:dyDescent="0.25">
      <c r="A136" s="1" t="str">
        <f>Glossary!A137</f>
        <v>Management of programs</v>
      </c>
      <c r="B136" s="38" t="s">
        <v>569</v>
      </c>
      <c r="C136" s="38" t="s">
        <v>947</v>
      </c>
    </row>
    <row r="137" spans="1:3" ht="30" x14ac:dyDescent="0.25">
      <c r="A137" s="1" t="str">
        <f>Glossary!A138</f>
        <v>Minimizing impact</v>
      </c>
      <c r="B137" s="38" t="s">
        <v>610</v>
      </c>
      <c r="C137" s="38" t="s">
        <v>965</v>
      </c>
    </row>
    <row r="138" spans="1:3" ht="30" x14ac:dyDescent="0.25">
      <c r="A138" s="1" t="str">
        <f>Glossary!A139</f>
        <v>Monitoring</v>
      </c>
      <c r="B138" s="38" t="s">
        <v>611</v>
      </c>
      <c r="C138" s="38" t="s">
        <v>995</v>
      </c>
    </row>
    <row r="139" spans="1:3" ht="30" x14ac:dyDescent="0.25">
      <c r="A139" s="1" t="str">
        <f>Glossary!A140</f>
        <v>National information network</v>
      </c>
      <c r="B139" s="38" t="s">
        <v>612</v>
      </c>
      <c r="C139" s="38" t="s">
        <v>917</v>
      </c>
    </row>
    <row r="140" spans="1:3" ht="30" x14ac:dyDescent="0.25">
      <c r="A140" s="1" t="str">
        <f>Glossary!A141</f>
        <v>Need for improved collaboration</v>
      </c>
      <c r="B140" s="38" t="s">
        <v>613</v>
      </c>
      <c r="C140" s="38" t="s">
        <v>844</v>
      </c>
    </row>
    <row r="141" spans="1:3" ht="30" x14ac:dyDescent="0.25">
      <c r="A141" s="1" t="str">
        <f>Glossary!A142</f>
        <v>Need for service delivery change</v>
      </c>
      <c r="B141" s="38" t="s">
        <v>614</v>
      </c>
      <c r="C141" s="38" t="s">
        <v>977</v>
      </c>
    </row>
    <row r="142" spans="1:3" ht="30" x14ac:dyDescent="0.25">
      <c r="A142" s="1" t="str">
        <f>Glossary!A143</f>
        <v>New directions for IT</v>
      </c>
      <c r="B142" s="38" t="s">
        <v>615</v>
      </c>
      <c r="C142" s="38" t="s">
        <v>897</v>
      </c>
    </row>
    <row r="143" spans="1:3" ht="30" x14ac:dyDescent="0.25">
      <c r="A143" s="1" t="str">
        <f>Glossary!A144</f>
        <v>New risk potential</v>
      </c>
      <c r="B143" s="38" t="s">
        <v>616</v>
      </c>
      <c r="C143" s="38" t="s">
        <v>962</v>
      </c>
    </row>
    <row r="144" spans="1:3" ht="30" x14ac:dyDescent="0.25">
      <c r="A144" s="1" t="str">
        <f>Glossary!A145</f>
        <v>Outdated infrastructure</v>
      </c>
      <c r="B144" s="38" t="s">
        <v>617</v>
      </c>
      <c r="C144" s="38" t="s">
        <v>908</v>
      </c>
    </row>
    <row r="145" spans="1:3" ht="30" x14ac:dyDescent="0.25">
      <c r="A145" s="1" t="str">
        <f>Glossary!A146</f>
        <v>Outdated systems</v>
      </c>
      <c r="B145" s="38" t="s">
        <v>618</v>
      </c>
      <c r="C145" s="38" t="s">
        <v>994</v>
      </c>
    </row>
    <row r="146" spans="1:3" ht="30" x14ac:dyDescent="0.25">
      <c r="A146" s="1" t="str">
        <f>Glossary!A147</f>
        <v>Performance monitoring</v>
      </c>
      <c r="B146" s="38" t="s">
        <v>619</v>
      </c>
      <c r="C146" s="38" t="s">
        <v>906</v>
      </c>
    </row>
    <row r="147" spans="1:3" ht="30" x14ac:dyDescent="0.25">
      <c r="A147" s="1" t="str">
        <f>Glossary!A148</f>
        <v>Planning</v>
      </c>
      <c r="B147" s="38" t="s">
        <v>506</v>
      </c>
      <c r="C147" s="38" t="s">
        <v>986</v>
      </c>
    </row>
    <row r="148" spans="1:3" ht="30" x14ac:dyDescent="0.25">
      <c r="A148" s="1" t="str">
        <f>Glossary!A149</f>
        <v>Policies &amp; Procedures</v>
      </c>
      <c r="B148" s="38" t="s">
        <v>157</v>
      </c>
      <c r="C148" s="38" t="s">
        <v>882</v>
      </c>
    </row>
    <row r="149" spans="1:3" ht="30" x14ac:dyDescent="0.25">
      <c r="A149" s="1" t="str">
        <f>Glossary!A150</f>
        <v>Predictability</v>
      </c>
      <c r="B149" s="38" t="s">
        <v>620</v>
      </c>
      <c r="C149" s="38" t="s">
        <v>864</v>
      </c>
    </row>
    <row r="150" spans="1:3" ht="30" x14ac:dyDescent="0.25">
      <c r="A150" s="1" t="str">
        <f>Glossary!A151</f>
        <v>Preventative services</v>
      </c>
      <c r="B150" s="38" t="s">
        <v>621</v>
      </c>
      <c r="C150" s="38" t="s">
        <v>937</v>
      </c>
    </row>
    <row r="151" spans="1:3" ht="30" x14ac:dyDescent="0.25">
      <c r="A151" s="1" t="str">
        <f>Glossary!A152</f>
        <v>Preventative solutions</v>
      </c>
      <c r="B151" s="38" t="s">
        <v>622</v>
      </c>
      <c r="C151" s="38" t="s">
        <v>870</v>
      </c>
    </row>
    <row r="152" spans="1:3" ht="30" x14ac:dyDescent="0.25">
      <c r="A152" s="1" t="str">
        <f>Glossary!A153</f>
        <v>Preventing consumer issues</v>
      </c>
      <c r="B152" s="38" t="s">
        <v>623</v>
      </c>
      <c r="C152" s="38" t="s">
        <v>963</v>
      </c>
    </row>
    <row r="153" spans="1:3" ht="30" x14ac:dyDescent="0.25">
      <c r="A153" s="1" t="str">
        <f>Glossary!A154</f>
        <v>Primary goals of Executive Council</v>
      </c>
      <c r="B153" s="38" t="s">
        <v>624</v>
      </c>
      <c r="C153" s="38" t="s">
        <v>985</v>
      </c>
    </row>
    <row r="154" spans="1:3" ht="30" x14ac:dyDescent="0.25">
      <c r="A154" s="1" t="str">
        <f>Glossary!A155</f>
        <v>Prioritization</v>
      </c>
      <c r="B154" s="38" t="s">
        <v>625</v>
      </c>
      <c r="C154" s="38" t="s">
        <v>861</v>
      </c>
    </row>
    <row r="155" spans="1:3" ht="30" x14ac:dyDescent="0.25">
      <c r="A155" s="1" t="str">
        <f>Glossary!A156</f>
        <v>Prioritization of programs and projects</v>
      </c>
      <c r="B155" s="38" t="s">
        <v>626</v>
      </c>
      <c r="C155" s="38" t="s">
        <v>935</v>
      </c>
    </row>
    <row r="156" spans="1:3" ht="30" x14ac:dyDescent="0.25">
      <c r="A156" s="1" t="str">
        <f>Glossary!A157</f>
        <v>Priority areas &amp; Resource allocation</v>
      </c>
      <c r="B156" s="38" t="s">
        <v>627</v>
      </c>
      <c r="C156" s="38" t="s">
        <v>958</v>
      </c>
    </row>
    <row r="157" spans="1:3" ht="30" x14ac:dyDescent="0.25">
      <c r="A157" s="1" t="str">
        <f>Glossary!A158</f>
        <v>Priority determination</v>
      </c>
      <c r="B157" s="38" t="s">
        <v>628</v>
      </c>
      <c r="C157" s="38" t="s">
        <v>938</v>
      </c>
    </row>
    <row r="158" spans="1:3" ht="30" x14ac:dyDescent="0.25">
      <c r="A158" s="1" t="str">
        <f>Glossary!A159</f>
        <v>Procurement</v>
      </c>
      <c r="B158" s="38" t="s">
        <v>629</v>
      </c>
      <c r="C158" s="38" t="s">
        <v>1011</v>
      </c>
    </row>
    <row r="159" spans="1:3" ht="30" x14ac:dyDescent="0.25">
      <c r="A159" s="1" t="str">
        <f>Glossary!A160</f>
        <v>Program delivery</v>
      </c>
      <c r="B159" s="38" t="s">
        <v>630</v>
      </c>
      <c r="C159" s="38" t="s">
        <v>877</v>
      </c>
    </row>
    <row r="160" spans="1:3" ht="30" x14ac:dyDescent="0.25">
      <c r="A160" s="1" t="str">
        <f>Glossary!A161</f>
        <v>Program effectiveness</v>
      </c>
      <c r="B160" s="38" t="s">
        <v>631</v>
      </c>
      <c r="C160" s="38" t="s">
        <v>925</v>
      </c>
    </row>
    <row r="161" spans="1:3" ht="30" x14ac:dyDescent="0.25">
      <c r="A161" s="1" t="str">
        <f>Glossary!A162</f>
        <v>Project scheduling complexity</v>
      </c>
      <c r="B161" s="38" t="s">
        <v>632</v>
      </c>
      <c r="C161" s="38" t="s">
        <v>950</v>
      </c>
    </row>
    <row r="162" spans="1:3" ht="30" x14ac:dyDescent="0.25">
      <c r="A162" s="1" t="str">
        <f>Glossary!A163</f>
        <v>Quality &amp; Safety standards</v>
      </c>
      <c r="B162" s="38" t="s">
        <v>633</v>
      </c>
      <c r="C162" s="38" t="s">
        <v>847</v>
      </c>
    </row>
    <row r="163" spans="1:3" ht="30" x14ac:dyDescent="0.25">
      <c r="A163" s="1" t="str">
        <f>Glossary!A164</f>
        <v>Quality and safety improvement</v>
      </c>
      <c r="B163" s="38" t="s">
        <v>634</v>
      </c>
      <c r="C163" s="38" t="s">
        <v>849</v>
      </c>
    </row>
    <row r="164" spans="1:3" ht="30" x14ac:dyDescent="0.25">
      <c r="A164" s="1" t="str">
        <f>Glossary!A165</f>
        <v>Reducing risk factors</v>
      </c>
      <c r="B164" s="38" t="s">
        <v>610</v>
      </c>
      <c r="C164" s="38" t="s">
        <v>965</v>
      </c>
    </row>
    <row r="165" spans="1:3" ht="30" x14ac:dyDescent="0.25">
      <c r="A165" s="1" t="str">
        <f>Glossary!A166</f>
        <v>Reform agenda</v>
      </c>
      <c r="B165" s="38" t="s">
        <v>635</v>
      </c>
      <c r="C165" s="38" t="s">
        <v>843</v>
      </c>
    </row>
    <row r="166" spans="1:3" ht="30" x14ac:dyDescent="0.25">
      <c r="A166" s="1" t="str">
        <f>Glossary!A167</f>
        <v>Regulatory frameworks</v>
      </c>
      <c r="B166" s="38" t="s">
        <v>636</v>
      </c>
      <c r="C166" s="38" t="s">
        <v>933</v>
      </c>
    </row>
    <row r="167" spans="1:3" ht="30" x14ac:dyDescent="0.25">
      <c r="A167" s="1" t="str">
        <f>Glossary!A168</f>
        <v>Replacement</v>
      </c>
      <c r="B167" s="38" t="s">
        <v>637</v>
      </c>
      <c r="C167" s="38" t="s">
        <v>999</v>
      </c>
    </row>
    <row r="168" spans="1:3" ht="30" x14ac:dyDescent="0.25">
      <c r="A168" s="1" t="str">
        <f>Glossary!A169</f>
        <v>Resource availability</v>
      </c>
      <c r="B168" s="38" t="s">
        <v>638</v>
      </c>
      <c r="C168" s="38" t="s">
        <v>1015</v>
      </c>
    </row>
    <row r="169" spans="1:3" ht="30" x14ac:dyDescent="0.25">
      <c r="A169" s="1" t="str">
        <f>Glossary!A170</f>
        <v>Resource constraints</v>
      </c>
      <c r="B169" s="38" t="s">
        <v>639</v>
      </c>
      <c r="C169" s="38" t="s">
        <v>955</v>
      </c>
    </row>
    <row r="170" spans="1:3" ht="30" x14ac:dyDescent="0.25">
      <c r="A170" s="1" t="str">
        <f>Glossary!A171</f>
        <v>Resource management</v>
      </c>
      <c r="B170" s="38" t="s">
        <v>640</v>
      </c>
      <c r="C170" s="38" t="s">
        <v>954</v>
      </c>
    </row>
    <row r="171" spans="1:3" ht="30" x14ac:dyDescent="0.25">
      <c r="A171" s="1" t="str">
        <f>Glossary!A172</f>
        <v>Resource optimization</v>
      </c>
      <c r="B171" s="38" t="s">
        <v>641</v>
      </c>
      <c r="C171" s="38" t="s">
        <v>872</v>
      </c>
    </row>
    <row r="172" spans="1:3" ht="30" x14ac:dyDescent="0.25">
      <c r="A172" s="1" t="str">
        <f>Glossary!A173</f>
        <v>Resource utilization</v>
      </c>
      <c r="B172" s="38" t="s">
        <v>642</v>
      </c>
      <c r="C172" s="38" t="s">
        <v>1009</v>
      </c>
    </row>
    <row r="173" spans="1:3" ht="30" x14ac:dyDescent="0.25">
      <c r="A173" s="1" t="str">
        <f>Glossary!A174</f>
        <v>Responsibilities of Services</v>
      </c>
      <c r="B173" s="38" t="s">
        <v>643</v>
      </c>
      <c r="C173" s="38" t="s">
        <v>972</v>
      </c>
    </row>
    <row r="174" spans="1:3" ht="30" x14ac:dyDescent="0.25">
      <c r="A174" s="1" t="str">
        <f>Glossary!A175</f>
        <v>Responsibilities of Support Services</v>
      </c>
      <c r="B174" s="38" t="s">
        <v>644</v>
      </c>
      <c r="C174" s="38" t="s">
        <v>922</v>
      </c>
    </row>
    <row r="175" spans="1:3" ht="30" x14ac:dyDescent="0.25">
      <c r="A175" s="1" t="str">
        <f>Glossary!A176</f>
        <v>Rising system usage</v>
      </c>
      <c r="B175" s="38" t="s">
        <v>368</v>
      </c>
      <c r="C175" s="38" t="s">
        <v>968</v>
      </c>
    </row>
    <row r="176" spans="1:3" ht="30" x14ac:dyDescent="0.25">
      <c r="A176" s="1" t="str">
        <f>Glossary!A177</f>
        <v>Risk Identification</v>
      </c>
      <c r="B176" s="38" t="s">
        <v>645</v>
      </c>
      <c r="C176" s="38" t="s">
        <v>964</v>
      </c>
    </row>
    <row r="177" spans="1:3" ht="30" x14ac:dyDescent="0.25">
      <c r="A177" s="1" t="str">
        <f>Glossary!A178</f>
        <v>Safe working capacity</v>
      </c>
      <c r="B177" s="38" t="s">
        <v>646</v>
      </c>
      <c r="C177" s="38" t="s">
        <v>918</v>
      </c>
    </row>
    <row r="178" spans="1:3" ht="30" x14ac:dyDescent="0.25">
      <c r="A178" s="1" t="str">
        <f>Glossary!A179</f>
        <v>Scope creep</v>
      </c>
      <c r="B178" s="38" t="s">
        <v>647</v>
      </c>
      <c r="C178" s="38" t="s">
        <v>949</v>
      </c>
    </row>
    <row r="179" spans="1:3" ht="30" x14ac:dyDescent="0.25">
      <c r="A179" s="1" t="str">
        <f>Glossary!A180</f>
        <v>Secure messaging</v>
      </c>
      <c r="B179" s="38" t="s">
        <v>648</v>
      </c>
      <c r="C179" s="38" t="s">
        <v>873</v>
      </c>
    </row>
    <row r="180" spans="1:3" ht="30" x14ac:dyDescent="0.25">
      <c r="A180" s="1" t="str">
        <f>Glossary!A181</f>
        <v>Service delivery</v>
      </c>
      <c r="B180" s="38" t="s">
        <v>512</v>
      </c>
      <c r="C180" s="38" t="s">
        <v>974</v>
      </c>
    </row>
    <row r="181" spans="1:3" ht="30" x14ac:dyDescent="0.25">
      <c r="A181" s="1" t="str">
        <f>Glossary!A182</f>
        <v>Significant risk environment</v>
      </c>
      <c r="B181" s="38" t="s">
        <v>649</v>
      </c>
      <c r="C181" s="38" t="s">
        <v>1017</v>
      </c>
    </row>
    <row r="182" spans="1:3" ht="30" x14ac:dyDescent="0.25">
      <c r="A182" s="1" t="str">
        <f>Glossary!A183</f>
        <v>Skilled project management</v>
      </c>
      <c r="B182" s="38" t="s">
        <v>650</v>
      </c>
      <c r="C182" s="38" t="s">
        <v>948</v>
      </c>
    </row>
    <row r="183" spans="1:3" ht="30" x14ac:dyDescent="0.25">
      <c r="A183" s="1" t="str">
        <f>Glossary!A184</f>
        <v>Skills / Training</v>
      </c>
      <c r="B183" s="38" t="s">
        <v>651</v>
      </c>
      <c r="C183" s="38" t="s">
        <v>910</v>
      </c>
    </row>
    <row r="184" spans="1:3" x14ac:dyDescent="0.25">
      <c r="A184" s="1" t="str">
        <f>Glossary!A185</f>
        <v>Skills and competence</v>
      </c>
      <c r="B184" s="38" t="s">
        <v>652</v>
      </c>
      <c r="C184" s="38" t="s">
        <v>1016</v>
      </c>
    </row>
    <row r="185" spans="1:3" ht="30" x14ac:dyDescent="0.25">
      <c r="A185" s="1" t="str">
        <f>Glossary!A186</f>
        <v>Software management</v>
      </c>
      <c r="B185" s="38" t="s">
        <v>653</v>
      </c>
      <c r="C185" s="38" t="s">
        <v>1012</v>
      </c>
    </row>
    <row r="186" spans="1:3" ht="30" x14ac:dyDescent="0.25">
      <c r="A186" s="1" t="str">
        <f>Glossary!A187</f>
        <v>Sound investment decisions</v>
      </c>
      <c r="B186" s="38" t="s">
        <v>654</v>
      </c>
      <c r="C186" s="38" t="s">
        <v>966</v>
      </c>
    </row>
    <row r="187" spans="1:3" ht="30" x14ac:dyDescent="0.25">
      <c r="A187" s="1" t="str">
        <f>Glossary!A188</f>
        <v>Staff shortages</v>
      </c>
      <c r="B187" s="38" t="s">
        <v>655</v>
      </c>
      <c r="C187" s="38" t="s">
        <v>1018</v>
      </c>
    </row>
    <row r="188" spans="1:3" ht="30" x14ac:dyDescent="0.25">
      <c r="A188" s="1" t="str">
        <f>Glossary!A189</f>
        <v>Staff training</v>
      </c>
      <c r="B188" s="38" t="s">
        <v>656</v>
      </c>
      <c r="C188" s="38" t="s">
        <v>945</v>
      </c>
    </row>
    <row r="189" spans="1:3" ht="30" x14ac:dyDescent="0.25">
      <c r="A189" s="1" t="str">
        <f>Glossary!A190</f>
        <v>Standard adherence</v>
      </c>
      <c r="B189" s="38" t="s">
        <v>657</v>
      </c>
      <c r="C189" s="38" t="s">
        <v>848</v>
      </c>
    </row>
    <row r="190" spans="1:3" ht="30" x14ac:dyDescent="0.25">
      <c r="A190" s="1" t="str">
        <f>Glossary!A191</f>
        <v>Standardized information</v>
      </c>
      <c r="B190" s="38" t="s">
        <v>658</v>
      </c>
      <c r="C190" s="38" t="s">
        <v>860</v>
      </c>
    </row>
    <row r="191" spans="1:3" ht="30" x14ac:dyDescent="0.25">
      <c r="A191" s="1" t="str">
        <f>Glossary!A192</f>
        <v>Standardized information access</v>
      </c>
      <c r="B191" s="38" t="s">
        <v>659</v>
      </c>
      <c r="C191" s="38" t="s">
        <v>1007</v>
      </c>
    </row>
    <row r="192" spans="1:3" ht="30" x14ac:dyDescent="0.25">
      <c r="A192" s="1" t="str">
        <f>Glossary!A193</f>
        <v>Standardizing processes across ICT</v>
      </c>
      <c r="B192" s="38" t="s">
        <v>660</v>
      </c>
      <c r="C192" s="38" t="s">
        <v>902</v>
      </c>
    </row>
    <row r="193" spans="1:3" ht="30" x14ac:dyDescent="0.25">
      <c r="A193" s="1" t="str">
        <f>Glossary!A194</f>
        <v>Streamlined training processes</v>
      </c>
      <c r="B193" s="38" t="s">
        <v>661</v>
      </c>
      <c r="C193" s="38" t="s">
        <v>1003</v>
      </c>
    </row>
    <row r="194" spans="1:3" ht="30" x14ac:dyDescent="0.25">
      <c r="A194" s="1" t="str">
        <f>Glossary!A195</f>
        <v>Strengthening relationships</v>
      </c>
      <c r="B194" s="38" t="s">
        <v>521</v>
      </c>
      <c r="C194" s="38" t="s">
        <v>981</v>
      </c>
    </row>
    <row r="195" spans="1:3" ht="30" x14ac:dyDescent="0.25">
      <c r="A195" s="1" t="str">
        <f>Glossary!A196</f>
        <v>Supply chain management</v>
      </c>
      <c r="B195" s="38" t="s">
        <v>662</v>
      </c>
      <c r="C195" s="38" t="s">
        <v>911</v>
      </c>
    </row>
    <row r="196" spans="1:3" ht="30" x14ac:dyDescent="0.25">
      <c r="A196" s="1" t="str">
        <f>Glossary!A197</f>
        <v>Support for Consumers</v>
      </c>
      <c r="B196" s="38" t="s">
        <v>663</v>
      </c>
      <c r="C196" s="38" t="s">
        <v>975</v>
      </c>
    </row>
    <row r="197" spans="1:3" ht="30" x14ac:dyDescent="0.25">
      <c r="A197" s="1" t="str">
        <f>Glossary!A198</f>
        <v>Support for strategic programs</v>
      </c>
      <c r="B197" s="38" t="s">
        <v>664</v>
      </c>
      <c r="C197" s="38" t="s">
        <v>987</v>
      </c>
    </row>
    <row r="198" spans="1:3" ht="30" x14ac:dyDescent="0.25">
      <c r="A198" s="1" t="str">
        <f>Glossary!A199</f>
        <v>Support for users</v>
      </c>
      <c r="B198" s="38" t="s">
        <v>665</v>
      </c>
      <c r="C198" s="38" t="s">
        <v>874</v>
      </c>
    </row>
    <row r="199" spans="1:3" ht="30" x14ac:dyDescent="0.25">
      <c r="A199" s="1" t="str">
        <f>Glossary!A200</f>
        <v>Supporting new care models</v>
      </c>
      <c r="B199" s="38" t="s">
        <v>666</v>
      </c>
      <c r="C199" s="38" t="s">
        <v>915</v>
      </c>
    </row>
    <row r="200" spans="1:3" ht="30" x14ac:dyDescent="0.25">
      <c r="A200" s="1" t="str">
        <f>Glossary!A201</f>
        <v>Sustainability</v>
      </c>
      <c r="B200" s="38" t="s">
        <v>667</v>
      </c>
      <c r="C200" s="38" t="s">
        <v>988</v>
      </c>
    </row>
    <row r="201" spans="1:3" ht="30" x14ac:dyDescent="0.25">
      <c r="A201" s="1" t="str">
        <f>Glossary!A202</f>
        <v>Sustainability of reform</v>
      </c>
      <c r="B201" s="38" t="s">
        <v>575</v>
      </c>
      <c r="C201" s="38" t="s">
        <v>912</v>
      </c>
    </row>
    <row r="202" spans="1:3" ht="30" x14ac:dyDescent="0.25">
      <c r="A202" s="1" t="str">
        <f>Glossary!A203</f>
        <v>Sustainable Workforce</v>
      </c>
      <c r="B202" s="38" t="s">
        <v>668</v>
      </c>
      <c r="C202" s="38" t="s">
        <v>887</v>
      </c>
    </row>
    <row r="203" spans="1:3" ht="30" x14ac:dyDescent="0.25">
      <c r="A203" s="1" t="str">
        <f>Glossary!A204</f>
        <v>System deployment &amp; Integration</v>
      </c>
      <c r="B203" s="38" t="s">
        <v>669</v>
      </c>
      <c r="C203" s="38" t="s">
        <v>866</v>
      </c>
    </row>
    <row r="204" spans="1:3" ht="30" x14ac:dyDescent="0.25">
      <c r="A204" s="1" t="str">
        <f>Glossary!A205</f>
        <v>System projections</v>
      </c>
      <c r="B204" s="38" t="s">
        <v>670</v>
      </c>
      <c r="C204" s="38" t="s">
        <v>881</v>
      </c>
    </row>
    <row r="205" spans="1:3" ht="30" x14ac:dyDescent="0.25">
      <c r="A205" s="1" t="str">
        <f>Glossary!A206</f>
        <v>System reform</v>
      </c>
      <c r="B205" s="38" t="s">
        <v>671</v>
      </c>
      <c r="C205" s="38" t="s">
        <v>916</v>
      </c>
    </row>
    <row r="206" spans="1:3" ht="30" x14ac:dyDescent="0.25">
      <c r="A206" s="1" t="str">
        <f>Glossary!A207</f>
        <v>System Support</v>
      </c>
      <c r="B206" s="38" t="s">
        <v>672</v>
      </c>
      <c r="C206" s="38" t="s">
        <v>1001</v>
      </c>
    </row>
    <row r="207" spans="1:3" ht="30" x14ac:dyDescent="0.25">
      <c r="A207" s="1" t="str">
        <f>Glossary!A208</f>
        <v>Systems implementation</v>
      </c>
      <c r="B207" s="38" t="s">
        <v>673</v>
      </c>
      <c r="C207" s="38" t="s">
        <v>892</v>
      </c>
    </row>
    <row r="208" spans="1:3" ht="30" x14ac:dyDescent="0.25">
      <c r="A208" s="1" t="str">
        <f>Glossary!A209</f>
        <v>Time efficiency</v>
      </c>
      <c r="B208" s="38" t="s">
        <v>819</v>
      </c>
      <c r="C208" s="38" t="s">
        <v>820</v>
      </c>
    </row>
    <row r="209" spans="1:3" ht="30" x14ac:dyDescent="0.25">
      <c r="A209" s="1" t="str">
        <f>Glossary!A210</f>
        <v>Timeliness</v>
      </c>
      <c r="B209" s="38" t="s">
        <v>674</v>
      </c>
      <c r="C209" s="38" t="s">
        <v>959</v>
      </c>
    </row>
    <row r="210" spans="1:3" ht="30" x14ac:dyDescent="0.25">
      <c r="A210" s="1" t="str">
        <f>Glossary!A211</f>
        <v>Unified platform</v>
      </c>
      <c r="B210" s="38" t="s">
        <v>675</v>
      </c>
      <c r="C210" s="38" t="s">
        <v>929</v>
      </c>
    </row>
    <row r="211" spans="1:3" ht="30" x14ac:dyDescent="0.25">
      <c r="A211" s="1" t="str">
        <f>Glossary!A212</f>
        <v>Unique Identifiers</v>
      </c>
      <c r="B211" s="38" t="s">
        <v>676</v>
      </c>
      <c r="C211" s="38" t="s">
        <v>891</v>
      </c>
    </row>
    <row r="212" spans="1:3" ht="30" x14ac:dyDescent="0.25">
      <c r="A212" s="1" t="str">
        <f>Glossary!A213</f>
        <v>User capacity</v>
      </c>
      <c r="B212" s="38" t="s">
        <v>677</v>
      </c>
      <c r="C212" s="38" t="s">
        <v>1008</v>
      </c>
    </row>
    <row r="213" spans="1:3" ht="30" x14ac:dyDescent="0.25">
      <c r="A213" s="1" t="str">
        <f>Glossary!A214</f>
        <v>User experience</v>
      </c>
      <c r="B213" s="38" t="s">
        <v>536</v>
      </c>
      <c r="C213" s="38" t="s">
        <v>1010</v>
      </c>
    </row>
    <row r="214" spans="1:3" ht="30" x14ac:dyDescent="0.25">
      <c r="A214" s="1" t="str">
        <f>Glossary!A215</f>
        <v>User optimization</v>
      </c>
      <c r="B214" s="38" t="s">
        <v>678</v>
      </c>
      <c r="C214" s="38" t="s">
        <v>928</v>
      </c>
    </row>
    <row r="215" spans="1:3" ht="30" x14ac:dyDescent="0.25">
      <c r="A215" s="1" t="str">
        <f>Glossary!A216</f>
        <v>Work scheduling</v>
      </c>
      <c r="B215" s="38" t="s">
        <v>679</v>
      </c>
      <c r="C215" s="38" t="s">
        <v>970</v>
      </c>
    </row>
    <row r="216" spans="1:3" ht="30" x14ac:dyDescent="0.25">
      <c r="A216" s="1" t="str">
        <f>Glossary!A217</f>
        <v>Workflow improvement</v>
      </c>
      <c r="B216" s="38" t="s">
        <v>680</v>
      </c>
      <c r="C216" s="38" t="s">
        <v>834</v>
      </c>
    </row>
    <row r="217" spans="1:3" x14ac:dyDescent="0.25">
      <c r="A217" s="1" t="str">
        <f>Glossary!A218</f>
        <v>Workforce shortages</v>
      </c>
      <c r="B217" s="38" t="s">
        <v>680</v>
      </c>
      <c r="C217" s="38" t="s">
        <v>501</v>
      </c>
    </row>
    <row r="218" spans="1:3" x14ac:dyDescent="0.25">
      <c r="A218" s="29" t="s">
        <v>484</v>
      </c>
      <c r="C218" s="41">
        <f>SUBTOTAL(103,table5[Sub Catergories])</f>
        <v>213</v>
      </c>
    </row>
  </sheetData>
  <mergeCells count="1">
    <mergeCell ref="A2:C2"/>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BFDC-B1AA-41C4-868F-3E378901E5D6}">
  <sheetPr codeName="Sheet8"/>
  <dimension ref="A1:G70"/>
  <sheetViews>
    <sheetView zoomScaleNormal="100" workbookViewId="0">
      <pane ySplit="4" topLeftCell="A5" activePane="bottomLeft" state="frozen"/>
      <selection pane="bottomLeft" activeCell="C5" sqref="C5"/>
    </sheetView>
  </sheetViews>
  <sheetFormatPr defaultRowHeight="15" x14ac:dyDescent="0.25"/>
  <cols>
    <col min="1" max="1" width="11" style="11" customWidth="1"/>
    <col min="2" max="2" width="34.7109375" customWidth="1"/>
    <col min="3" max="3" width="36.7109375" customWidth="1"/>
    <col min="4" max="4" width="39.5703125" customWidth="1"/>
    <col min="5" max="5" width="31.5703125" customWidth="1"/>
    <col min="6" max="6" width="88.5703125" bestFit="1" customWidth="1"/>
    <col min="7" max="7" width="30.85546875" customWidth="1"/>
  </cols>
  <sheetData>
    <row r="1" spans="1:7" ht="48" customHeight="1" x14ac:dyDescent="0.25"/>
    <row r="2" spans="1:7" x14ac:dyDescent="0.25">
      <c r="A2" s="51" t="s">
        <v>483</v>
      </c>
      <c r="B2" s="52"/>
      <c r="C2" s="52"/>
      <c r="D2" s="52"/>
      <c r="E2" s="52"/>
      <c r="F2" s="52"/>
      <c r="G2" s="52"/>
    </row>
    <row r="3" spans="1:7" x14ac:dyDescent="0.25">
      <c r="A3" s="27"/>
      <c r="B3" s="33" t="str">
        <f>'Thematic Analysis'!E6</f>
        <v>Concern</v>
      </c>
      <c r="C3" s="33" t="str">
        <f>'Thematic Analysis'!F6</f>
        <v>Possible Solutions</v>
      </c>
      <c r="D3" s="33" t="str">
        <f>'Thematic Analysis'!G6</f>
        <v>Organizational Values</v>
      </c>
      <c r="E3" s="34" t="str">
        <f>'Search Data'!B3</f>
        <v>Tech Concept</v>
      </c>
      <c r="F3" s="34" t="str">
        <f>'Search Data'!C3</f>
        <v>Tech Layers</v>
      </c>
      <c r="G3" s="28"/>
    </row>
    <row r="4" spans="1:7" s="11" customFormat="1" x14ac:dyDescent="0.25">
      <c r="A4" s="11" t="s">
        <v>476</v>
      </c>
      <c r="B4" s="37" t="s">
        <v>485</v>
      </c>
      <c r="C4" s="37" t="s">
        <v>486</v>
      </c>
      <c r="D4" s="11" t="s">
        <v>487</v>
      </c>
      <c r="E4" s="11" t="s">
        <v>492</v>
      </c>
      <c r="F4" s="11" t="s">
        <v>493</v>
      </c>
      <c r="G4" s="11" t="s">
        <v>494</v>
      </c>
    </row>
    <row r="5" spans="1:7" s="6" customFormat="1" ht="174" customHeight="1" x14ac:dyDescent="0.25">
      <c r="A5" s="2">
        <v>1</v>
      </c>
      <c r="B5" s="1" t="str">
        <f>'Thematic Analysis'!E8</f>
        <v>Accuracy of Reporting
Duplication</v>
      </c>
      <c r="C5" s="1" t="str">
        <f>'Thematic Analysis'!F8</f>
        <v>Data Security, Quality and Privacy
Resource Management and Utilization</v>
      </c>
      <c r="D5" s="1" t="str">
        <f>'Thematic Analysis'!G8</f>
        <v>Data integrity
Sustainable Efficiency</v>
      </c>
      <c r="E5" s="1" t="s">
        <v>681</v>
      </c>
      <c r="F5" s="1" t="s">
        <v>1036</v>
      </c>
      <c r="G5" s="1" t="str">
        <f>'Thematic Analysis'!$D8</f>
        <v>NSW Health is changing how it does things to meet challenges. They're putting in a big program to fix clinical, corporate, and tech stuff. Getting the right IT tools is key to making sure these changes last. Before, they had a mess of different systems which made things harder and more expensive. Plus, some of their systems are ancient and hard to support</v>
      </c>
    </row>
    <row r="6" spans="1:7" s="6" customFormat="1" ht="120" x14ac:dyDescent="0.25">
      <c r="A6" s="2">
        <f t="shared" ref="A6:A37" si="0">A5+1</f>
        <v>2</v>
      </c>
      <c r="B6" s="1" t="str">
        <f>'Thematic Analysis'!E9</f>
        <v>Disparate systems</v>
      </c>
      <c r="C6" s="1" t="str">
        <f>'Thematic Analysis'!F9</f>
        <v>Operational Effectiveness and Efficiency</v>
      </c>
      <c r="D6" s="1" t="str">
        <f>'Thematic Analysis'!G9</f>
        <v>Process optimization</v>
      </c>
      <c r="E6" s="1" t="s">
        <v>557</v>
      </c>
      <c r="F6" s="1" t="s">
        <v>909</v>
      </c>
      <c r="G6" s="1" t="str">
        <f>'Thematic Analysis'!$D9</f>
        <v>Because of all this, it's hard to share patient info and coordinate care properly. Managers struggle to get accurate info on how well the systems are doing. And keeping them running costs a lot of money.</v>
      </c>
    </row>
    <row r="7" spans="1:7" s="6" customFormat="1" ht="150" x14ac:dyDescent="0.25">
      <c r="A7" s="2">
        <f t="shared" si="0"/>
        <v>3</v>
      </c>
      <c r="B7" s="1" t="str">
        <f>'Thematic Analysis'!E10</f>
        <v>Outdated infrastructure</v>
      </c>
      <c r="C7" s="1" t="str">
        <f>'Thematic Analysis'!F10</f>
        <v>Infrastructure and Hardware Management</v>
      </c>
      <c r="D7" s="1" t="str">
        <f>'Thematic Analysis'!G10</f>
        <v>Sustainable Systems</v>
      </c>
      <c r="E7" s="1" t="s">
        <v>617</v>
      </c>
      <c r="F7" s="1" t="s">
        <v>908</v>
      </c>
      <c r="G7" s="1" t="str">
        <f>'Thematic Analysis'!$D10</f>
        <v>This setup could harm the long-term success of the Clinical Services Redesign and Corporate Shared Services. So, they're reshaping the ICT program to fit these reforms better. They're aiming to connect scattered information and tech and quickly support both clinical and corporate changes.</v>
      </c>
    </row>
    <row r="8" spans="1:7" s="6" customFormat="1" ht="165" x14ac:dyDescent="0.25">
      <c r="A8" s="2">
        <f t="shared" si="0"/>
        <v>4</v>
      </c>
      <c r="B8" s="1" t="str">
        <f>'Thematic Analysis'!E11</f>
        <v>Fragmentation
Outdated systems
Compatibility</v>
      </c>
      <c r="C8" s="1" t="str">
        <f>'Thematic Analysis'!F11</f>
        <v>Compliance and Governance
System and Technology Improvement
Standardization and Streamlining Processes</v>
      </c>
      <c r="D8" s="1" t="str">
        <f>'Thematic Analysis'!G11</f>
        <v>Regulatory adherence
Innovative Evolution
Consistent Excellence</v>
      </c>
      <c r="E8" s="1" t="s">
        <v>682</v>
      </c>
      <c r="F8" s="1" t="s">
        <v>1037</v>
      </c>
      <c r="G8" s="1" t="str">
        <f>'Thematic Analysis'!$D11</f>
        <v>Back in 2000, the Integrated Clinical Information Program (ICIP) started based on advice from the NSW Health Council. Its goal is to fix the problems with a clear plan. The idea is to give essential clinical features to all of NSW. They've already made big strides in setting up patient administration, clinical, and corporate systems</v>
      </c>
    </row>
    <row r="9" spans="1:7" s="6" customFormat="1" ht="105" x14ac:dyDescent="0.25">
      <c r="A9" s="2">
        <f t="shared" si="0"/>
        <v>5</v>
      </c>
      <c r="B9" s="1" t="str">
        <f>'Thematic Analysis'!E12</f>
        <v>Alignment
Effectiveness
Integration
Sustainability
Compliance</v>
      </c>
      <c r="C9" s="1" t="str">
        <f>'Thematic Analysis'!F12</f>
        <v>Business Alignment
Consumer Experience and Support
System Deployment and Integration
Policy and Organizational Reform
Compliance and Governance</v>
      </c>
      <c r="D9" s="1" t="str">
        <f>'Thematic Analysis'!G12</f>
        <v>Strategic Cohesion
Customer service
Reliable Implementation
Governance with Integrity
Regulatory adherence</v>
      </c>
      <c r="E9" s="1" t="s">
        <v>1019</v>
      </c>
      <c r="F9" s="1" t="s">
        <v>1038</v>
      </c>
      <c r="G9" s="1" t="str">
        <f>'Thematic Analysis'!$D12</f>
        <v>Clinical Systems Strategy
Corporate Systems Strategy
Business Information Strategy
Sustainable Infrastructure Strategy
Whole of Government ICT Strategic Directions</v>
      </c>
    </row>
    <row r="10" spans="1:7" s="6" customFormat="1" ht="90" x14ac:dyDescent="0.25">
      <c r="A10" s="2">
        <f t="shared" si="0"/>
        <v>6</v>
      </c>
      <c r="B10" s="1" t="str">
        <f>'Thematic Analysis'!E13</f>
        <v>Access to information
Consistency
Predictability</v>
      </c>
      <c r="C10" s="1" t="str">
        <f>'Thematic Analysis'!F13</f>
        <v>Data and Information Management
Standardization and Streamlining Processes
Strategic Planning and Development</v>
      </c>
      <c r="D10" s="1" t="str">
        <f>'Thematic Analysis'!G13</f>
        <v>Data governance
Consistent Excellence
Forward-Thinking Leadership</v>
      </c>
      <c r="E10" s="1" t="s">
        <v>683</v>
      </c>
      <c r="F10" s="1" t="s">
        <v>1039</v>
      </c>
      <c r="G10" s="1" t="str">
        <f>'Thematic Analysis'!$D13</f>
        <v>They're making care safer and better by giving clinicians the info they need and setting up systems for consistent, predictable processes across the state.</v>
      </c>
    </row>
    <row r="11" spans="1:7" s="6" customFormat="1" ht="135" x14ac:dyDescent="0.25">
      <c r="A11" s="2">
        <f t="shared" si="0"/>
        <v>7</v>
      </c>
      <c r="B11" s="1" t="str">
        <f>'Thematic Analysis'!E14</f>
        <v>Collaboration
Interoperability
Information flow</v>
      </c>
      <c r="C11" s="1" t="str">
        <f>'Thematic Analysis'!F14</f>
        <v>Collaboration and Communication
System Deployment and Integration
Infrastructure and Hardware Management</v>
      </c>
      <c r="D11" s="1" t="str">
        <f>'Thematic Analysis'!G14</f>
        <v>Teamwork enhancement
Reliable Implementation
Sustainable Systems</v>
      </c>
      <c r="E11" s="1" t="s">
        <v>684</v>
      </c>
      <c r="F11" s="1" t="s">
        <v>1040</v>
      </c>
      <c r="G11" s="1" t="str">
        <f>'Thematic Analysis'!$D14</f>
        <v>They're improving teamwork among health agencies in NSW, as well as with private companies and nationally, so everyone can work together better. This means info flows more smoothly, helping patients and making things more efficient.</v>
      </c>
    </row>
    <row r="12" spans="1:7" s="6" customFormat="1" ht="165" x14ac:dyDescent="0.25">
      <c r="A12" s="2">
        <f t="shared" si="0"/>
        <v>8</v>
      </c>
      <c r="B12" s="1" t="str">
        <f>'Thematic Analysis'!E15</f>
        <v>Efficient structures
System deployment &amp; Integration
Sustainability
Minimizing impact
Streamlined training processes</v>
      </c>
      <c r="C12" s="1" t="str">
        <f>'Thematic Analysis'!F15</f>
        <v>Program and Project Management
System Deployment and Integration
Policy and Organizational Reform
Operational Effectiveness and Efficiency
Employee Training and Development</v>
      </c>
      <c r="D12" s="1" t="str">
        <f>'Thematic Analysis'!G15</f>
        <v>Strategic Project Leadership
Reliable Implementation
Governance with Integrity
Process optimization
Employee development</v>
      </c>
      <c r="E12" s="1" t="s">
        <v>685</v>
      </c>
      <c r="F12" s="1" t="s">
        <v>1041</v>
      </c>
      <c r="G12" s="1" t="str">
        <f>'Thematic Analysis'!$D15</f>
        <v>They're expecting to save a lot of money by setting up new structures and ways of doing things. By rolling out key programs quickly, they'll spend less on managing projects, and they can piggyback on existing changes to save even more. This also means less disruption for clinicians and patients and less money spent on training.</v>
      </c>
    </row>
    <row r="13" spans="1:7" s="6" customFormat="1" ht="330" x14ac:dyDescent="0.25">
      <c r="A13" s="2">
        <f t="shared" si="0"/>
        <v>9</v>
      </c>
      <c r="B13" s="1" t="str">
        <f>'Thematic Analysis'!E16</f>
        <v>Support for users
Alignment with initiatives
Cost savings</v>
      </c>
      <c r="C13" s="1" t="str">
        <f>'Thematic Analysis'!F16</f>
        <v>Consumer Experience and Support
Business Alignment
Financial Management and Budgeting</v>
      </c>
      <c r="D13" s="1" t="str">
        <f>'Thematic Analysis'!G16</f>
        <v>Customer service
Strategic Cohesion
Budget control</v>
      </c>
      <c r="E13" s="1" t="s">
        <v>686</v>
      </c>
      <c r="F13" s="1" t="s">
        <v>1042</v>
      </c>
      <c r="G13" s="1" t="str">
        <f>'Thematic Analysis'!$D16</f>
        <v>The ICT Strategy is built on three main ideas:
Better support for clinicians and patient care.
Aligning with big NSW Health plans.
Saving a lot of money.
These ideas guide five key objectives:
Using ICT to drive big changes in clinical care.
Cutting down on duplicated admin systems and costs.
Providing top-notch info to everyone in the organization.
Setting up a flexible ICT system that supports both clinical and corporate reforms.
Managing ICT in a smart, coordinated way to get the most out of the investment.</v>
      </c>
    </row>
    <row r="14" spans="1:7" s="6" customFormat="1" ht="210" x14ac:dyDescent="0.25">
      <c r="A14" s="2">
        <f t="shared" si="0"/>
        <v>10</v>
      </c>
      <c r="B14" s="1" t="str">
        <f>'Thematic Analysis'!E17</f>
        <v>ICT Alignment
Governance
Investment plans
Business strategy</v>
      </c>
      <c r="C14" s="1" t="str">
        <f>'Thematic Analysis'!F17</f>
        <v>Business Alignment
Consumer Experience and Support
Financial Management and Budgeting
Compliance and Governance</v>
      </c>
      <c r="D14" s="1" t="str">
        <f>'Thematic Analysis'!G17</f>
        <v>Strategic Cohesion
Customer service
Budget control
Regulatory adherence</v>
      </c>
      <c r="E14" s="1" t="s">
        <v>1020</v>
      </c>
      <c r="F14" s="1" t="s">
        <v>1043</v>
      </c>
      <c r="G14" s="1" t="str">
        <f>'Thematic Analysis'!$D17</f>
        <v>ICT Asset Management Strategy
NSW Health's Enterprise Architecture, which covers:
Clinical Systems Architecture
Corporate Systems Architecture and Strategy
Business Information Strategy
Infrastructure Strategy
Integration Architecture Strategy
ICT Governance Framework
ICT Portfolio Management and Program of Work
ICT Investment Plan for 2006-2017.</v>
      </c>
    </row>
    <row r="15" spans="1:7" s="6" customFormat="1" ht="390" x14ac:dyDescent="0.25">
      <c r="A15" s="2">
        <f t="shared" si="0"/>
        <v>11</v>
      </c>
      <c r="B15" s="1" t="str">
        <f>'Thematic Analysis'!E18</f>
        <v>ICT Alignment
Risk Identification
Dependency</v>
      </c>
      <c r="C15" s="1" t="str">
        <f>'Thematic Analysis'!F18</f>
        <v>Business Alignment
Risk Identification and Management
System Deployment and Integration</v>
      </c>
      <c r="D15" s="1" t="str">
        <f>'Thematic Analysis'!G18</f>
        <v>Strategic Cohesion
Accountable Risk Management
Reliable Implementation</v>
      </c>
      <c r="E15" s="1" t="s">
        <v>687</v>
      </c>
      <c r="F15" s="1" t="s">
        <v>1044</v>
      </c>
      <c r="G15" s="1" t="str">
        <f>'Thematic Analysis'!$D18</f>
        <v>From the RSP:
They've picked out results and services that rely on ICT assets.
They've identified risks related to ICT assets that could affect service delivery.
They've pinpointed services and measures that hinge on ICT assets working properly.
From the NSW Health Corporate Plan:
They've considered the overall vision for the community.
They've outlined how NSW Health will contribute to this vision.
They've focused on strategies to achieve goals, along with potential risks.
They've set up ways to measure performance and ensure targets are met.
They've looked at the costs involved in reaching the vision and meeting targets.</v>
      </c>
    </row>
    <row r="16" spans="1:7" s="6" customFormat="1" ht="255" x14ac:dyDescent="0.25">
      <c r="A16" s="2">
        <f t="shared" si="0"/>
        <v>12</v>
      </c>
      <c r="B16" s="1" t="str">
        <f>'Thematic Analysis'!E19</f>
        <v>Evaluation criteria</v>
      </c>
      <c r="C16" s="1" t="str">
        <f>'Thematic Analysis'!F19</f>
        <v>Financial Management and Budgeting</v>
      </c>
      <c r="D16" s="1" t="str">
        <f>'Thematic Analysis'!G19</f>
        <v>Budget control</v>
      </c>
      <c r="E16" s="6" t="s">
        <v>563</v>
      </c>
      <c r="F16" s="6" t="s">
        <v>951</v>
      </c>
      <c r="G16" s="1" t="str">
        <f>'Thematic Analysis'!$D19</f>
        <v xml:space="preserve">    Contribution to major service reform agendas and alignment with planned NSW Health priorities and plans.
    Support for the patient journey across different care settings and improvement of healthcare quality and safety for a large number of people.
    Ability to enhance efficiency and effectiveness in healthcare delivery and workforce utilization.
    Adherence to state ICT strategic planning requirements.
    Potential to generate a positive return on investment.</v>
      </c>
    </row>
    <row r="17" spans="1:7" s="6" customFormat="1" ht="75" x14ac:dyDescent="0.25">
      <c r="A17" s="2">
        <f t="shared" si="0"/>
        <v>13</v>
      </c>
      <c r="B17" s="1" t="str">
        <f>'Thematic Analysis'!E20</f>
        <v>Inclusion
Replacement
Procurement</v>
      </c>
      <c r="C17" s="1" t="str">
        <f>'Thematic Analysis'!F20</f>
        <v>Data and Information Management
Resource Management and Utilization
Policy and Organizational Reform</v>
      </c>
      <c r="D17" s="1" t="str">
        <f>'Thematic Analysis'!G20</f>
        <v>Data governance
Sustainable Efficiency
Governance with Integrity</v>
      </c>
      <c r="E17" s="1" t="s">
        <v>688</v>
      </c>
      <c r="F17" s="1" t="s">
        <v>1045</v>
      </c>
      <c r="G17" s="1" t="str">
        <f>'Thematic Analysis'!$D20</f>
        <v>They should only add new projects to their investment plan. When it's time to replace old systems, they can handle it through contracts with vendors.</v>
      </c>
    </row>
    <row r="18" spans="1:7" s="6" customFormat="1" ht="165" x14ac:dyDescent="0.25">
      <c r="A18" s="2">
        <f t="shared" si="0"/>
        <v>14</v>
      </c>
      <c r="B18" s="1" t="str">
        <f>'Thematic Analysis'!E21</f>
        <v>Implementation timeline
Systems implementation
Support for Consumers
Management information</v>
      </c>
      <c r="C18" s="1" t="str">
        <f>'Thematic Analysis'!F21</f>
        <v>Future Planning and System Demand
System Deployment and Integration
Consumer Experience and Support
Data and Information Management</v>
      </c>
      <c r="D18" s="1" t="str">
        <f>'Thematic Analysis'!G21</f>
        <v>Futureproofing
Reliable Implementation
Customer service
Data governance</v>
      </c>
      <c r="E18" s="1" t="s">
        <v>689</v>
      </c>
      <c r="F18" s="1" t="s">
        <v>1046</v>
      </c>
      <c r="G18" s="1" t="str">
        <f>'Thematic Analysis'!$D21</f>
        <v>By 2011, they plan to have core clinical and corporate systems set up across NSW. This will help patients move through the healthcare system smoothly and ensure efficient management. Implementing the ICT Strategy will bring benefits to patients, clinicians, departments, hospitals, areas, and the whole state.</v>
      </c>
    </row>
    <row r="19" spans="1:7" s="6" customFormat="1" ht="165" x14ac:dyDescent="0.25">
      <c r="A19" s="2">
        <f t="shared" si="0"/>
        <v>15</v>
      </c>
      <c r="B19" s="1" t="str">
        <f>'Thematic Analysis'!E22</f>
        <v>Collaboration
Consumer support
Employee management</v>
      </c>
      <c r="C19" s="1" t="str">
        <f>'Thematic Analysis'!F22</f>
        <v>Collaboration and Communication
Collaboration and Communication
Program and Project Management</v>
      </c>
      <c r="D19" s="1" t="str">
        <f>'Thematic Analysis'!G22</f>
        <v>Teamwork enhancement
Teamwork enhancement
Strategic Project Leadership</v>
      </c>
      <c r="E19" s="1" t="s">
        <v>690</v>
      </c>
      <c r="F19" s="1" t="s">
        <v>1047</v>
      </c>
      <c r="G19" s="1" t="str">
        <f>'Thematic Analysis'!$D22</f>
        <v>For patients and clinicians, the goal is to have a complete picture of the patient's health history. This way, all healthcare providers can work together effectively, knowing each other's roles and contributions. Corporate systems also support this by giving a clear view of employees, making sure care is delivered smoothly</v>
      </c>
    </row>
    <row r="20" spans="1:7" s="6" customFormat="1" ht="165" x14ac:dyDescent="0.25">
      <c r="A20" s="2">
        <f t="shared" si="0"/>
        <v>16</v>
      </c>
      <c r="B20" s="1" t="str">
        <f>'Thematic Analysis'!E23</f>
        <v>User optimization
Information accessibility
Time efficiency</v>
      </c>
      <c r="C20" s="1" t="str">
        <f>'Thematic Analysis'!F23</f>
        <v>Operational Effectiveness and Efficiency
Data and Information Management
Operational Effectiveness and Efficiency</v>
      </c>
      <c r="D20" s="1" t="str">
        <f>'Thematic Analysis'!G23</f>
        <v>Process optimization
Data governance
Process optimization</v>
      </c>
      <c r="E20" s="1" t="s">
        <v>1021</v>
      </c>
      <c r="F20" s="1" t="s">
        <v>1048</v>
      </c>
      <c r="G20" s="1" t="str">
        <f>'Thematic Analysis'!$D23</f>
        <v>The strategy benefits patients by ensuring clinicians have all the information they need for optimal care, easily accessible whenever and wherever it's needed. This saves clinicians time by reducing the need to search for information or repeat tests unnecessarily, giving them more time for direct patient care.</v>
      </c>
    </row>
    <row r="21" spans="1:7" s="6" customFormat="1" ht="105" x14ac:dyDescent="0.25">
      <c r="A21" s="2">
        <f t="shared" si="0"/>
        <v>17</v>
      </c>
      <c r="B21" s="1" t="str">
        <f>'Thematic Analysis'!E24</f>
        <v>Resource management
Capacity optimization
Planning</v>
      </c>
      <c r="C21" s="1" t="str">
        <f>'Thematic Analysis'!F24</f>
        <v>Resource Management and Utilization
Compliance and Governance
Strategic Planning and Development</v>
      </c>
      <c r="D21" s="1" t="str">
        <f>'Thematic Analysis'!G24</f>
        <v>Sustainable Efficiency
Regulatory adherence
Forward-Thinking Leadership</v>
      </c>
      <c r="E21" s="1" t="s">
        <v>691</v>
      </c>
      <c r="F21" s="1" t="s">
        <v>1049</v>
      </c>
      <c r="G21" s="1" t="str">
        <f>'Thematic Analysis'!$D24</f>
        <v>Nursing Unit Manager (NUM) can plan patient care better when they know all the demands and resources. This includes patients from the emergency room, post-surgery, and transfers, as well as available beds and staff skills.</v>
      </c>
    </row>
    <row r="22" spans="1:7" s="6" customFormat="1" ht="105" x14ac:dyDescent="0.25">
      <c r="A22" s="2">
        <f t="shared" si="0"/>
        <v>18</v>
      </c>
      <c r="B22" s="1" t="str">
        <f>'Thematic Analysis'!E25</f>
        <v>Integrated analysis &amp; System outcome indicators
Resource availability
Financial management</v>
      </c>
      <c r="C22" s="1" t="str">
        <f>'Thematic Analysis'!F25</f>
        <v>Compliance and Governance
Resource Management and Utilization
Future Planning and System Demand</v>
      </c>
      <c r="D22" s="1" t="str">
        <f>'Thematic Analysis'!G25</f>
        <v>Regulatory adherence
Sustainable Efficiency
Futureproofing</v>
      </c>
      <c r="E22" s="1" t="s">
        <v>1022</v>
      </c>
      <c r="F22" s="1" t="s">
        <v>1050</v>
      </c>
      <c r="G22" s="1" t="str">
        <f>'Thematic Analysis'!$D25</f>
        <v>At hospital, area, and department executive levels, having a complete portfolio lets them look at health outcomes, service demand, resources, performance, and finances all together.</v>
      </c>
    </row>
    <row r="23" spans="1:7" s="6" customFormat="1" ht="105" x14ac:dyDescent="0.25">
      <c r="A23" s="2">
        <f t="shared" si="0"/>
        <v>19</v>
      </c>
      <c r="B23" s="1" t="str">
        <f>'Thematic Analysis'!E26</f>
        <v>Priority areas &amp; Resource allocation
Funding availability
Core function delivery &amp; Urgent issue resolution</v>
      </c>
      <c r="C23" s="1" t="str">
        <f>'Thematic Analysis'!F26</f>
        <v>Risk Identification and Management
Compliance and Governance
Collaboration and Communication</v>
      </c>
      <c r="D23" s="1" t="str">
        <f>'Thematic Analysis'!G26</f>
        <v>Accountable Risk Management
Regulatory adherence
Teamwork enhancement</v>
      </c>
      <c r="E23" s="1" t="s">
        <v>692</v>
      </c>
      <c r="F23" s="1" t="s">
        <v>1051</v>
      </c>
      <c r="G23" s="1" t="str">
        <f>'Thematic Analysis'!$D26</f>
        <v>The ICT Strategy focuses on key areas and will address them as resources allow. Other initiatives will only be added if they don't affect these core functions or if there's an urgent need.</v>
      </c>
    </row>
    <row r="24" spans="1:7" s="6" customFormat="1" ht="105" x14ac:dyDescent="0.25">
      <c r="A24" s="2">
        <f t="shared" si="0"/>
        <v>20</v>
      </c>
      <c r="B24" s="1" t="str">
        <f>'Thematic Analysis'!E27</f>
        <v>Workflow improvement
Decision support
Resource management
Information accessibility</v>
      </c>
      <c r="C24" s="1" t="str">
        <f>'Thematic Analysis'!F27</f>
        <v>Operational Effectiveness and Efficiency
Resource Management and Utilization
Resource Management and Utilization
Data and Information Management</v>
      </c>
      <c r="D24" s="1" t="str">
        <f>'Thematic Analysis'!G27</f>
        <v>Process optimization
Sustainable Efficiency
Sustainable Efficiency
Data governance</v>
      </c>
      <c r="E24" s="1" t="s">
        <v>693</v>
      </c>
      <c r="F24" s="1" t="s">
        <v>1052</v>
      </c>
      <c r="G24" s="1" t="str">
        <f>'Thematic Analysis'!$D27</f>
        <v>By 2011, clinical departments will have improved systems for workflow, decision-making support, and accessing necessary information. This helps clinicians make better decisions for patients, leading to safer care</v>
      </c>
    </row>
    <row r="25" spans="1:7" s="6" customFormat="1" ht="105" x14ac:dyDescent="0.25">
      <c r="A25" s="2">
        <f t="shared" si="0"/>
        <v>21</v>
      </c>
      <c r="B25" s="1" t="str">
        <f>'Thematic Analysis'!E28</f>
        <v>Integration of core systems
Information accessibility
Resource management</v>
      </c>
      <c r="C25" s="1" t="str">
        <f>'Thematic Analysis'!F28</f>
        <v>System Deployment and Integration
Data and Information Management
Resource Management and Utilization</v>
      </c>
      <c r="D25" s="1" t="str">
        <f>'Thematic Analysis'!G28</f>
        <v>Reliable Implementation
Data governance
Sustainable Efficiency</v>
      </c>
      <c r="E25" s="1" t="s">
        <v>694</v>
      </c>
      <c r="F25" s="1" t="s">
        <v>1053</v>
      </c>
      <c r="G25" s="1" t="str">
        <f>'Thematic Analysis'!$D28</f>
        <v>Integrated hospital systems mean information is collected once and available to all, reducing handover issues and improving resource management for smoother patient care.</v>
      </c>
    </row>
    <row r="26" spans="1:7" s="6" customFormat="1" ht="240" x14ac:dyDescent="0.25">
      <c r="A26" s="2">
        <f t="shared" si="0"/>
        <v>22</v>
      </c>
      <c r="B26" s="1" t="str">
        <f>'Thematic Analysis'!E29</f>
        <v>Integration of systems
Information accessibility
Resource management
Standardized information
Collaboration</v>
      </c>
      <c r="C26" s="1" t="str">
        <f>'Thematic Analysis'!F29</f>
        <v>System Deployment and Integration
Data and Information Management
Resource Management and Utilization
Data and Information Management
Collaboration and Communication</v>
      </c>
      <c r="D26" s="1" t="str">
        <f>'Thematic Analysis'!G29</f>
        <v>Reliable Implementation
Data governance
Sustainable Efficiency
Data governance
Teamwork enhancement</v>
      </c>
      <c r="E26" s="1" t="s">
        <v>695</v>
      </c>
      <c r="F26" s="1" t="s">
        <v>1054</v>
      </c>
      <c r="G26" s="1" t="str">
        <f>'Thematic Analysis'!$D29</f>
        <v>The ICT Strategy aims to improve patient care by giving Nursing Unit Managers better information to plan and care for patients, helping hospital executives manage resources and performance, making it easier for departments to access important info and make decisions, integrating key systems across hospitals for smoother patient care, and standardizing information across regions to manage resources and patient transfers more effectively</v>
      </c>
    </row>
    <row r="27" spans="1:7" s="6" customFormat="1" ht="180" x14ac:dyDescent="0.25">
      <c r="A27" s="2">
        <f t="shared" si="0"/>
        <v>23</v>
      </c>
      <c r="B27" s="1" t="str">
        <f>'Thematic Analysis'!E30</f>
        <v>Systems implementation
Standardized information access
Resource utilization
Management of future demand</v>
      </c>
      <c r="C27" s="1" t="str">
        <f>'Thematic Analysis'!F30</f>
        <v>System Deployment and Integration
Data and Information Management
Resource Management and Utilization
Future Planning and System Demand</v>
      </c>
      <c r="D27" s="1" t="str">
        <f>'Thematic Analysis'!G30</f>
        <v>Reliable Implementation
Data governance
Sustainable Efficiency
Futureproofing</v>
      </c>
      <c r="E27" s="1" t="s">
        <v>696</v>
      </c>
      <c r="F27" s="1" t="s">
        <v>1055</v>
      </c>
      <c r="G27" s="1" t="str">
        <f>'Thematic Analysis'!$D30</f>
        <v>Rolling out core systems across NSW will have big benefits. Everyone gains, but it's best when the whole state uses them. Standardized info will help NSW Health meet goals by improving patient care, ensuring timely access to services, and better coordination in the health system. Accurate data will help use resources better and manage future needs.</v>
      </c>
    </row>
    <row r="28" spans="1:7" s="6" customFormat="1" ht="150" x14ac:dyDescent="0.25">
      <c r="A28" s="2">
        <f t="shared" si="0"/>
        <v>24</v>
      </c>
      <c r="B28" s="1" t="str">
        <f>'Thematic Analysis'!E31</f>
        <v>Increased services demand
Service delivery
System projections</v>
      </c>
      <c r="C28" s="1" t="str">
        <f>'Thematic Analysis'!F31</f>
        <v>Data and Information Management
Consumer Experience and Support
Future Planning and System Demand</v>
      </c>
      <c r="D28" s="1" t="str">
        <f>'Thematic Analysis'!G31</f>
        <v>Data governance
Customer service
Futureproofing</v>
      </c>
      <c r="E28" s="1" t="s">
        <v>697</v>
      </c>
      <c r="F28" s="1" t="s">
        <v>1056</v>
      </c>
      <c r="G28" s="1" t="str">
        <f>'Thematic Analysis'!$D31</f>
        <v>A steady increase in demand for services is expected due to an aging population. In NSW, the number of people over 65 is growing quickly. Each year from 2012 to 2028, the percentage of older Australians is projected to rise by over 0.35 points annually, which is about four times the long-term average increase.</v>
      </c>
    </row>
    <row r="29" spans="1:7" s="6" customFormat="1" ht="60" x14ac:dyDescent="0.25">
      <c r="A29" s="2">
        <f t="shared" si="0"/>
        <v>25</v>
      </c>
      <c r="B29" s="1" t="str">
        <f>'Thematic Analysis'!E32</f>
        <v>Staff shortages
Critical areas
User capacity</v>
      </c>
      <c r="C29" s="1" t="str">
        <f>'Thematic Analysis'!F32</f>
        <v>System Maintenance and Support
Data and Information Management
System and Technology Improvement</v>
      </c>
      <c r="D29" s="1" t="str">
        <f>'Thematic Analysis'!G32</f>
        <v>Responsive Support
Data governance
Innovative Evolution</v>
      </c>
      <c r="E29" s="1" t="s">
        <v>698</v>
      </c>
      <c r="F29" s="1" t="s">
        <v>1057</v>
      </c>
      <c r="G29" s="1" t="str">
        <f>'Thematic Analysis'!$D32</f>
        <v>Staff shortages in critical areas such as nursing and medicine Hospitals running at maximum capacity</v>
      </c>
    </row>
    <row r="30" spans="1:7" s="6" customFormat="1" ht="120" x14ac:dyDescent="0.25">
      <c r="A30" s="2">
        <f t="shared" si="0"/>
        <v>26</v>
      </c>
      <c r="B30" s="1" t="str">
        <f>'Thematic Analysis'!E33</f>
        <v>Increase database
Rising system usage
Future system demand</v>
      </c>
      <c r="C30" s="1" t="str">
        <f>'Thematic Analysis'!F33</f>
        <v>Data and Information Management
Data and Information Management
Infrastructure and Hardware Management</v>
      </c>
      <c r="D30" s="1" t="str">
        <f>'Thematic Analysis'!G33</f>
        <v>Data governance
Data governance
Sustainable Systems</v>
      </c>
      <c r="E30" s="1" t="s">
        <v>1023</v>
      </c>
      <c r="F30" s="1" t="s">
        <v>1058</v>
      </c>
      <c r="G30" s="1" t="str">
        <f>'Thematic Analysis'!$D33</f>
        <v>The rate of chronic diseases like heart disease, lung disease, diabetes, and cancer is rising. Obesity is becoming more common among young people, and our increasingly globalized society raises the risk of pandemics.</v>
      </c>
    </row>
    <row r="31" spans="1:7" s="6" customFormat="1" ht="60" x14ac:dyDescent="0.25">
      <c r="A31" s="2">
        <f t="shared" si="0"/>
        <v>27</v>
      </c>
      <c r="B31" s="1" t="str">
        <f>'Thematic Analysis'!E34</f>
        <v>Knowledge management
IT system advancement</v>
      </c>
      <c r="C31" s="1" t="str">
        <f>'Thematic Analysis'!F34</f>
        <v>Data and Information Management
System and Technology Improvement</v>
      </c>
      <c r="D31" s="1" t="str">
        <f>'Thematic Analysis'!G34</f>
        <v>Data governance
Innovative Evolution</v>
      </c>
      <c r="E31" s="1" t="s">
        <v>699</v>
      </c>
      <c r="F31" s="1" t="s">
        <v>1059</v>
      </c>
      <c r="G31" s="1" t="str">
        <f>'Thematic Analysis'!$D34</f>
        <v>An increasing body of medical knowledge that staff cannot manage and
use without advanced IT systems</v>
      </c>
    </row>
    <row r="32" spans="1:7" s="6" customFormat="1" ht="60" x14ac:dyDescent="0.25">
      <c r="A32" s="2">
        <f t="shared" si="0"/>
        <v>28</v>
      </c>
      <c r="B32" s="1" t="str">
        <f>'Thematic Analysis'!E35</f>
        <v>Expensive technologies
Costly materials</v>
      </c>
      <c r="C32" s="1" t="str">
        <f>'Thematic Analysis'!F35</f>
        <v>Future Planning and System Demand
Financial Management and Budgeting</v>
      </c>
      <c r="D32" s="1" t="str">
        <f>'Thematic Analysis'!G35</f>
        <v>Futureproofing
Budget control</v>
      </c>
      <c r="E32" s="1" t="s">
        <v>700</v>
      </c>
      <c r="F32" s="1" t="s">
        <v>1060</v>
      </c>
      <c r="G32" s="1" t="str">
        <f>'Thematic Analysis'!$D35</f>
        <v>Health services are increasingly challenged by more expensive medical technologies and pharmaceuticals</v>
      </c>
    </row>
    <row r="33" spans="1:7" s="6" customFormat="1" ht="60" x14ac:dyDescent="0.25">
      <c r="A33" s="2">
        <f t="shared" si="0"/>
        <v>29</v>
      </c>
      <c r="B33" s="1" t="str">
        <f>'Thematic Analysis'!E36</f>
        <v>Informed consumers
High expectations
Complex needs problems</v>
      </c>
      <c r="C33" s="1" t="str">
        <f>'Thematic Analysis'!F36</f>
        <v>System Deployment and Integration
Business Alignment
Operational Effectiveness and Efficiency</v>
      </c>
      <c r="D33" s="1" t="str">
        <f>'Thematic Analysis'!G36</f>
        <v>Reliable Implementation
Strategic Cohesion
Process optimization</v>
      </c>
      <c r="E33" s="1" t="s">
        <v>1024</v>
      </c>
      <c r="F33" s="1" t="s">
        <v>1061</v>
      </c>
      <c r="G33" s="1" t="str">
        <f>'Thematic Analysis'!$D36</f>
        <v>Consumers are becoming more informed, have higher expectations and more complex problems</v>
      </c>
    </row>
    <row r="34" spans="1:7" s="6" customFormat="1" ht="165" x14ac:dyDescent="0.25">
      <c r="A34" s="2">
        <f t="shared" si="0"/>
        <v>30</v>
      </c>
      <c r="B34" s="1" t="str">
        <f>'Thematic Analysis'!E37</f>
        <v>Quality &amp; Safety standards
High user rates
Safe working capacity</v>
      </c>
      <c r="C34" s="1" t="str">
        <f>'Thematic Analysis'!F37</f>
        <v>Operational Effectiveness and Efficiency
Business Alignment
System and Technology Improvement</v>
      </c>
      <c r="D34" s="1" t="str">
        <f>'Thematic Analysis'!G37</f>
        <v>Process optimization
Strategic Cohesion
Innovative Evolution</v>
      </c>
      <c r="E34" s="1" t="s">
        <v>701</v>
      </c>
      <c r="F34" s="1" t="s">
        <v>1062</v>
      </c>
      <c r="G34" s="1" t="str">
        <f>'Thematic Analysis'!$D37</f>
        <v>Quality and safety standards are being challenged as demand increases and staff numbers decrease. For instance, from 2000 to 2005, NSW hospitals had an average occupancy of 93%. Some metropolitan hospitals had surgical and medical wards with 95-98% occupancy, while 85% is considered a much safer level.</v>
      </c>
    </row>
    <row r="35" spans="1:7" s="6" customFormat="1" ht="105" x14ac:dyDescent="0.25">
      <c r="A35" s="2">
        <f t="shared" si="0"/>
        <v>31</v>
      </c>
      <c r="B35" s="1" t="str">
        <f>'Thematic Analysis'!E38</f>
        <v>Communication
Policies &amp; Procedures
Skills and competence
Work scheduling</v>
      </c>
      <c r="C35" s="1" t="str">
        <f>'Thematic Analysis'!F38</f>
        <v>Standardization and Streamlining Processes
Strategic Planning and Development
Employee Training and Development
Program and Project Management</v>
      </c>
      <c r="D35" s="1" t="str">
        <f>'Thematic Analysis'!G38</f>
        <v>Consistent Excellence
Forward-Thinking Leadership
Employee development
Strategic Project Leadership</v>
      </c>
      <c r="E35" s="1" t="s">
        <v>702</v>
      </c>
      <c r="F35" s="1" t="s">
        <v>1063</v>
      </c>
      <c r="G35" s="1" t="str">
        <f>'Thematic Analysis'!$D38</f>
        <v>The key factors that cause these adverse events are:
_x0001_ Communication
_x0001_ Policies and procedures
_x0001_ Knowledge, skills and competence issues
_x0001_ Work scheduling</v>
      </c>
    </row>
    <row r="36" spans="1:7" s="6" customFormat="1" ht="105" x14ac:dyDescent="0.25">
      <c r="A36" s="2">
        <f t="shared" si="0"/>
        <v>32</v>
      </c>
      <c r="B36" s="1" t="str">
        <f>'Thematic Analysis'!E39</f>
        <v>Lack of core ICT systems
System reform</v>
      </c>
      <c r="C36" s="1" t="str">
        <f>'Thematic Analysis'!F39</f>
        <v>System and Technology Improvement
Policy and Organizational Reform</v>
      </c>
      <c r="D36" s="1" t="str">
        <f>'Thematic Analysis'!G39</f>
        <v>Innovative Evolution
Governance with Integrity</v>
      </c>
      <c r="E36" s="1" t="s">
        <v>703</v>
      </c>
      <c r="F36" s="1" t="s">
        <v>1064</v>
      </c>
      <c r="G36" s="1" t="str">
        <f>'Thematic Analysis'!$D39</f>
        <v>Clinical ICT is becoming an increasingly important enabler of health
system reform, yet the core systems to underpin reform are not
currently in place.</v>
      </c>
    </row>
    <row r="37" spans="1:7" s="6" customFormat="1" ht="150" x14ac:dyDescent="0.25">
      <c r="A37" s="2">
        <f t="shared" si="0"/>
        <v>33</v>
      </c>
      <c r="B37" s="1" t="str">
        <f>'Thematic Analysis'!E40</f>
        <v>Constraints in funding
Skilled project management
Capacity for large-scale change</v>
      </c>
      <c r="C37" s="1" t="str">
        <f>'Thematic Analysis'!F40</f>
        <v>Consumer Experience and Support
Program and Project Management
Resource Management and Utilization</v>
      </c>
      <c r="D37" s="1" t="str">
        <f>'Thematic Analysis'!G40</f>
        <v>Customer service
Strategic Project Leadership
Sustainable Efficiency</v>
      </c>
      <c r="E37" s="1" t="s">
        <v>1025</v>
      </c>
      <c r="F37" s="1" t="s">
        <v>1065</v>
      </c>
      <c r="G37" s="1" t="str">
        <f>'Thematic Analysis'!$D40</f>
        <v>Constraints in capital and recurrent funding, skilled project
management and implementation resources and capacity of the health
systems to accommodate large scale change all restrict the potential
speed of implementation of core systems.</v>
      </c>
    </row>
    <row r="38" spans="1:7" s="6" customFormat="1" ht="105" x14ac:dyDescent="0.25">
      <c r="A38" s="2">
        <f t="shared" ref="A38:A70" si="1">A37+1</f>
        <v>34</v>
      </c>
      <c r="B38" s="1" t="str">
        <f>'Thematic Analysis'!E41</f>
        <v>Competing demands for ICT funds
Priority determination
Project scheduling complexity</v>
      </c>
      <c r="C38" s="1" t="str">
        <f>'Thematic Analysis'!F41</f>
        <v>Consumer Experience and Support
Risk Identification and Management
Operational Effectiveness and Efficiency</v>
      </c>
      <c r="D38" s="1" t="str">
        <f>'Thematic Analysis'!G41</f>
        <v>Customer service
Accountable Risk Management
Process optimization</v>
      </c>
      <c r="E38" s="1" t="s">
        <v>1026</v>
      </c>
      <c r="F38" s="1" t="s">
        <v>1066</v>
      </c>
      <c r="G38" s="1" t="str">
        <f>'Thematic Analysis'!$D41</f>
        <v>There are many competing demands for ICT funds. Deciding which projects to prioritize and schedule is complex and needs ongoing review to ensure funds are allocated where they will be most beneficial.</v>
      </c>
    </row>
    <row r="39" spans="1:7" s="6" customFormat="1" ht="105" x14ac:dyDescent="0.25">
      <c r="A39" s="2">
        <f t="shared" si="1"/>
        <v>35</v>
      </c>
      <c r="B39" s="1" t="str">
        <f>'Thematic Analysis'!E42</f>
        <v>Convergence of issues
Significant risk environment
Need for service delivery change</v>
      </c>
      <c r="C39" s="1" t="str">
        <f>'Thematic Analysis'!F42</f>
        <v>Consumer Experience and Support
Risk Identification and Management
Operational Effectiveness and Efficiency</v>
      </c>
      <c r="D39" s="1" t="str">
        <f>'Thematic Analysis'!G42</f>
        <v>Customer service
Accountable Risk Management
Process optimization</v>
      </c>
      <c r="E39" s="1" t="s">
        <v>704</v>
      </c>
      <c r="F39" s="1" t="s">
        <v>1067</v>
      </c>
      <c r="G39" s="1" t="str">
        <f>'Thematic Analysis'!$D42</f>
        <v>NSW Health needs to change how it delivers services to meet these challenges. They've started a big reform program and need the right IT solutions to support staff and make these changes last</v>
      </c>
    </row>
    <row r="40" spans="1:7" s="6" customFormat="1" ht="135" x14ac:dyDescent="0.25">
      <c r="A40" s="2">
        <f t="shared" si="1"/>
        <v>36</v>
      </c>
      <c r="B40" s="1" t="str">
        <f>'Thematic Analysis'!E43</f>
        <v>Demand for services
Workforce shortages
Government priorities
ICT strategies</v>
      </c>
      <c r="C40" s="1" t="str">
        <f>'Thematic Analysis'!F43</f>
        <v>System Deployment and Integration
System Maintenance and Support
Consumer Experience and Support
Implementation Challenges and Delays</v>
      </c>
      <c r="D40" s="1" t="str">
        <f>'Thematic Analysis'!G43</f>
        <v>Reliable Implementation
Responsive Support
Customer service
Resilient Execution</v>
      </c>
      <c r="E40" s="1" t="s">
        <v>705</v>
      </c>
      <c r="F40" s="1" t="s">
        <v>1068</v>
      </c>
      <c r="G40" s="1" t="str">
        <f>'Thematic Analysis'!$D43</f>
        <v>NSW Health is responding to big challenges like more people needing healthcare and not enough staff. They're looking at what the government wants, like improving mental health and using better technology. That helps them decide what to do next and where to spend money.</v>
      </c>
    </row>
    <row r="41" spans="1:7" s="6" customFormat="1" ht="135" x14ac:dyDescent="0.25">
      <c r="A41" s="2">
        <f t="shared" si="1"/>
        <v>37</v>
      </c>
      <c r="B41" s="1" t="str">
        <f>'Thematic Analysis'!E44</f>
        <v>Alignment with Results and Services Plan
Support for strategic programs
Alignment with reform programs
Consideration of whole-of-government strategies</v>
      </c>
      <c r="C41" s="1" t="str">
        <f>'Thematic Analysis'!F44</f>
        <v>Resource Management and Utilization
Policy and Organizational Reform
Business Alignment
Standardization and Streamlining Processes</v>
      </c>
      <c r="D41" s="1" t="str">
        <f>'Thematic Analysis'!G44</f>
        <v>Sustainable Efficiency
Governance with Integrity
Strategic Cohesion
Consistent Excellence</v>
      </c>
      <c r="E41" s="1" t="s">
        <v>706</v>
      </c>
      <c r="F41" s="1" t="s">
        <v>1069</v>
      </c>
      <c r="G41" s="1" t="str">
        <f>'Thematic Analysis'!$D44</f>
        <v>The Results and Services Plan guides everything in NSW Health. There are other plans helping out too. The ICT Strategic Plan is one of them, making sure it works well with the main plan. They also look at what the whole government and the country are doing.</v>
      </c>
    </row>
    <row r="42" spans="1:7" s="6" customFormat="1" ht="345" x14ac:dyDescent="0.25">
      <c r="A42" s="2">
        <f t="shared" si="1"/>
        <v>38</v>
      </c>
      <c r="B42" s="1" t="str">
        <f>'Thematic Analysis'!E45</f>
        <v>Preventative solutions
User experience
Future benefits
Strengthening relationships
Costs of services
Sustainable Workforce
New risk potential</v>
      </c>
      <c r="C42" s="1" t="str">
        <f>'Thematic Analysis'!F45</f>
        <v>Financial Management and Budgeting
Consumer Experience and Support
Compliance and Governance
Collaboration and Communication
Collaboration and Communication
System Maintenance and Support
Risk Identification and Management</v>
      </c>
      <c r="D42" s="1" t="str">
        <f>'Thematic Analysis'!G45</f>
        <v>Budget control
Customer service
Regulatory adherence
Teamwork enhancement
Teamwork enhancement
Responsive Support
Accountable Risk Management</v>
      </c>
      <c r="E42" s="1" t="s">
        <v>707</v>
      </c>
      <c r="F42" s="1" t="s">
        <v>1070</v>
      </c>
      <c r="G42" s="1" t="str">
        <f>'Thematic Analysis'!$D45</f>
        <v>The RSP is NSW Health's main plan to tackle challenges. They have four main goals:
Keep people healthy
Provide needed healthcare
Deliver top-quality services
Manage health services well
To achieve these, they focus on seven key directions:
Get everyone involved in prevention
Improve people's healthcare experiences
Strengthen community care
Work with others for better health
Make wise choices about healthcare costs
Build a strong healthcare workforce
Stay prepared for new challenges and chances</v>
      </c>
    </row>
    <row r="43" spans="1:7" s="6" customFormat="1" ht="150" x14ac:dyDescent="0.25">
      <c r="A43" s="2">
        <f t="shared" si="1"/>
        <v>39</v>
      </c>
      <c r="B43" s="1" t="str">
        <f>'Thematic Analysis'!E46</f>
        <v>Reducing risk factors
Preventing consumer issues
Interventions for high-risk consumers</v>
      </c>
      <c r="C43" s="1" t="str">
        <f>'Thematic Analysis'!F46</f>
        <v>Risk Identification and Management
Operational Effectiveness and Efficiency
Consumer Experience and Support</v>
      </c>
      <c r="D43" s="1" t="str">
        <f>'Thematic Analysis'!G46</f>
        <v>Accountable Risk Management
Process optimization
Customer service</v>
      </c>
      <c r="E43" s="1" t="s">
        <v>708</v>
      </c>
      <c r="F43" s="1" t="s">
        <v>1071</v>
      </c>
      <c r="G43" s="1" t="str">
        <f>'Thematic Analysis'!$D46</f>
        <v>NSW Health wants to prevent sickness and promote good health habits. They're focusing on getting more people vaccinated and helping those at risk for diseases like diabetes. ICT can help by sending alerts about things like missed vaccinations or overdue check-ups</v>
      </c>
    </row>
    <row r="44" spans="1:7" s="6" customFormat="1" ht="150" x14ac:dyDescent="0.25">
      <c r="A44" s="2">
        <f t="shared" si="1"/>
        <v>40</v>
      </c>
      <c r="B44" s="1" t="str">
        <f>'Thematic Analysis'!E47</f>
        <v>Availability of services
Effectiveness of services
Coordination of care
Supporting new care models
Sustainability of reform
Information flow along consumer journey
Consumer experience improvement
Appropriate consumer delivery</v>
      </c>
      <c r="C44" s="1" t="str">
        <f>'Thematic Analysis'!F47</f>
        <v>Business Alignment
Consumer Experience and Support
Collaboration and Communication
Consumer Experience and Support
Policy and Organizational Reform
Infrastructure and Hardware Management
Consumer Experience and Support
Resource Management and Utilization</v>
      </c>
      <c r="D44" s="1" t="str">
        <f>'Thematic Analysis'!G47</f>
        <v>Strategic Cohesion
Customer service
Teamwork enhancement
Customer service
Governance with Integrity
Sustainable Systems
Customer service
Sustainable Efficiency</v>
      </c>
      <c r="E44" s="1" t="s">
        <v>1027</v>
      </c>
      <c r="F44" s="1" t="s">
        <v>1072</v>
      </c>
      <c r="G44" s="1" t="str">
        <f>'Thematic Analysis'!$D47</f>
        <v>NSW Health wants to make sure everyone gets the care they need, when they need it. They're using tech to support new ways of caring for people and making sure changes stick. Better info during your care journey means a better experience and getting the right care.</v>
      </c>
    </row>
    <row r="45" spans="1:7" s="6" customFormat="1" ht="120" x14ac:dyDescent="0.25">
      <c r="A45" s="2">
        <f t="shared" si="1"/>
        <v>41</v>
      </c>
      <c r="B45" s="1" t="str">
        <f>'Thematic Analysis'!E48</f>
        <v>Complexity and duplication in service delivery
Need for improved collaboration
Enhancement of coordination
Quality and safety improvement
Appropriate resource utilization</v>
      </c>
      <c r="C45" s="1" t="str">
        <f>'Thematic Analysis'!F48</f>
        <v>Compliance and Governance
Collaboration and Communication
Financial Management and Budgeting
Operational Effectiveness and Efficiency
Consumer Experience and Support</v>
      </c>
      <c r="D45" s="1" t="str">
        <f>'Thematic Analysis'!G48</f>
        <v>Regulatory adherence
Teamwork enhancement
Budget control
Process optimization
Customer service</v>
      </c>
      <c r="E45" s="1" t="s">
        <v>709</v>
      </c>
      <c r="F45" s="1" t="s">
        <v>1073</v>
      </c>
      <c r="G45" s="1" t="str">
        <f>'Thematic Analysis'!$D48</f>
        <v>NSW Health aims to improve healthcare by working better together. They're using tech to help everyone collaborate and use resources wisely. That means better tools for healthcare workers and making sure everyone gets great care.</v>
      </c>
    </row>
    <row r="46" spans="1:7" s="6" customFormat="1" ht="90" x14ac:dyDescent="0.25">
      <c r="A46" s="2">
        <f t="shared" si="1"/>
        <v>42</v>
      </c>
      <c r="B46" s="1" t="str">
        <f>'Thematic Analysis'!E49</f>
        <v>Constraints and opportunities
Alignment with national initiatives</v>
      </c>
      <c r="C46" s="1" t="str">
        <f>'Thematic Analysis'!F49</f>
        <v>Financial Management and Budgeting
Business Alignment</v>
      </c>
      <c r="D46" s="1" t="str">
        <f>'Thematic Analysis'!G49</f>
        <v>Budget control
Strategic Cohesion</v>
      </c>
      <c r="E46" s="1" t="s">
        <v>710</v>
      </c>
      <c r="F46" s="1" t="s">
        <v>1074</v>
      </c>
      <c r="G46" s="1" t="str">
        <f>'Thematic Analysis'!$D49</f>
        <v>The NSW Government's IT setup influences NSW Health's ICT plan. They aim to make sure NSW initiatives match up with and sometimes even help shape national and statewide plans</v>
      </c>
    </row>
    <row r="47" spans="1:7" s="6" customFormat="1" ht="240" x14ac:dyDescent="0.25">
      <c r="A47" s="2">
        <f t="shared" si="1"/>
        <v>43</v>
      </c>
      <c r="B47" s="1" t="str">
        <f>'Thematic Analysis'!E50</f>
        <v>New directions for IT
Primary goals of Executive Council</v>
      </c>
      <c r="C47" s="1" t="str">
        <f>'Thematic Analysis'!F50</f>
        <v>System and Technology Improvement
Operational Effectiveness and Efficiency</v>
      </c>
      <c r="D47" s="1" t="str">
        <f>'Thematic Analysis'!G50</f>
        <v>Innovative Evolution
Process optimization</v>
      </c>
      <c r="E47" s="1" t="s">
        <v>711</v>
      </c>
      <c r="F47" s="1" t="s">
        <v>1075</v>
      </c>
      <c r="G47" s="1" t="str">
        <f>'Thematic Analysis'!$D50</f>
        <v>The NSW Government is changing how they use computers and stuff. They want to save money on the boring tech stuff while keeping important services running smoothly. They're spending more on technology for important services and finding ways to save money with computers. This means using one fund for all tech needs, having a plan for the whole state, using fewer computer programs, sharing tech, and buying things together.</v>
      </c>
    </row>
    <row r="48" spans="1:7" s="6" customFormat="1" ht="180" x14ac:dyDescent="0.25">
      <c r="A48" s="2">
        <f t="shared" si="1"/>
        <v>44</v>
      </c>
      <c r="B48" s="1" t="str">
        <f>'Thematic Analysis'!E51</f>
        <v>Government priorities
Reform agenda
Business reform
Improvements to Indigenous consumers
Preventative services</v>
      </c>
      <c r="C48" s="1" t="str">
        <f>'Thematic Analysis'!F51</f>
        <v>Consumer Experience and Support
Policy and Organizational Reform
Business Alignment
Data and Information Management
Strategic Planning and Development</v>
      </c>
      <c r="D48" s="1" t="str">
        <f>'Thematic Analysis'!G51</f>
        <v>Customer service
Governance with Integrity
Strategic Cohesion
Data governance
Forward-Thinking Leadership</v>
      </c>
      <c r="E48" s="1" t="s">
        <v>712</v>
      </c>
      <c r="F48" s="1" t="s">
        <v>1076</v>
      </c>
      <c r="G48" s="1" t="str">
        <f>'Thematic Analysis'!$D51</f>
        <v>COAG is a group working on important national stuff like mental health, healthcare workers, flu plans, and electronic health records. They're making big plans for healthcare, like making hospitals better and helping people stay healthy. This ICT plan is part of making those plans work by improving healthcare in hospitals and communities</v>
      </c>
    </row>
    <row r="49" spans="1:7" s="6" customFormat="1" ht="255" x14ac:dyDescent="0.25">
      <c r="A49" s="2">
        <f t="shared" si="1"/>
        <v>45</v>
      </c>
      <c r="B49" s="1" t="str">
        <f>'Thematic Analysis'!E52</f>
        <v>Collaboration across jurisdictions
Consistency in systems approaches
National information network
Regulatory frameworks</v>
      </c>
      <c r="C49" s="1" t="str">
        <f>'Thematic Analysis'!F52</f>
        <v>Collaboration and Communication
Standardization and Streamlining Processes
Data and Information Management
Compliance and Governance</v>
      </c>
      <c r="D49" s="1" t="str">
        <f>'Thematic Analysis'!G52</f>
        <v>Teamwork enhancement
Consistent Excellence
Data governance
Regulatory adherence</v>
      </c>
      <c r="E49" s="1" t="s">
        <v>713</v>
      </c>
      <c r="F49" s="1" t="s">
        <v>1077</v>
      </c>
      <c r="G49" s="1" t="str">
        <f>'Thematic Analysis'!$D52</f>
        <v>The eHealth initiative involves all states, territories, and the Australian Government. It began in 2000 to set up e-health across Australia. The Australian Government has invested $128 million in e-health projects across the country, plus an extra $10 million in 2005 for managed health network grants. The aim is to make sure everyone works together, with consistent approaches to eHealth, creating a national health information network. The program also helps make the right rules for eHealth initiatives.</v>
      </c>
    </row>
    <row r="50" spans="1:7" s="6" customFormat="1" ht="210" x14ac:dyDescent="0.25">
      <c r="A50" s="2">
        <f t="shared" si="1"/>
        <v>46</v>
      </c>
      <c r="B50" s="1" t="str">
        <f>'Thematic Analysis'!E53</f>
        <v>ICT standards
ICT strategic plan
Interoperability
Standardized information
Unique Identifiers
Individual Electronic Record
Identity management standards
Secure messaging
Supply chain management</v>
      </c>
      <c r="C50" s="1" t="str">
        <f>'Thematic Analysis'!F53</f>
        <v>Implementation Challenges and Delays
Implementation Challenges and Delays
System Deployment and Integration
Data and Information Management
Data Security, Quality and Privacy
Consumer Experience and Support
Implementation Challenges and Delays
Data Security, Quality and Privacy
Resource Management and Utilization</v>
      </c>
      <c r="D50" s="1" t="str">
        <f>'Thematic Analysis'!G53</f>
        <v>Resilient Execution
Resilient Execution
Reliable Implementation
Data governance
Data integrity
Customer service
Resilient Execution
Data integrity
Sustainable Efficiency</v>
      </c>
      <c r="E50" s="1" t="s">
        <v>714</v>
      </c>
      <c r="F50" s="1" t="s">
        <v>1078</v>
      </c>
      <c r="G50" s="1" t="str">
        <f>'Thematic Analysis'!$D53</f>
        <v>focuses on developing national health information management and communication technology standards. Its work includes creating frameworks for interoperability, standardizing clinical communications, establishing unique healthcare identifiers, and preparing standards for individual electronic health records, identity management, secure messaging, and supply chain management.</v>
      </c>
    </row>
    <row r="51" spans="1:7" s="6" customFormat="1" ht="120" x14ac:dyDescent="0.25">
      <c r="A51" s="2">
        <f t="shared" si="1"/>
        <v>47</v>
      </c>
      <c r="B51" s="1" t="str">
        <f>'Thematic Analysis'!E54</f>
        <v>Corporate reform program
ICT reform program
Implementation of IT solutions</v>
      </c>
      <c r="C51" s="1" t="str">
        <f>'Thematic Analysis'!F54</f>
        <v>Financial Management and Budgeting
Data Security, Quality and Privacy
Consumer Experience and Support</v>
      </c>
      <c r="D51" s="1" t="str">
        <f>'Thematic Analysis'!G54</f>
        <v>Budget control
Data integrity
Customer service</v>
      </c>
      <c r="E51" s="1" t="s">
        <v>715</v>
      </c>
      <c r="F51" s="1" t="s">
        <v>1079</v>
      </c>
      <c r="G51" s="1" t="str">
        <f>'Thematic Analysis'!$D54</f>
        <v>To tackle challenges and prepare for the future, NSW Health is changing how it delivers services. Implementing IT solutions to support staff and integrate business processes is key for sustainable service delivery changes.</v>
      </c>
    </row>
    <row r="52" spans="1:7" s="6" customFormat="1" ht="195" x14ac:dyDescent="0.25">
      <c r="A52" s="2">
        <f t="shared" si="1"/>
        <v>48</v>
      </c>
      <c r="B52" s="1" t="str">
        <f>'Thematic Analysis'!E55</f>
        <v>Development of ICT strategy
Investment priorities
Budget negotiation
Program delivery</v>
      </c>
      <c r="C52" s="1" t="str">
        <f>'Thematic Analysis'!F55</f>
        <v>Collaboration and Communication
Financial Management and Budgeting
Business Alignment
Compliance and Governance</v>
      </c>
      <c r="D52" s="1" t="str">
        <f>'Thematic Analysis'!G55</f>
        <v>Teamwork enhancement
Budget control
Strategic Cohesion
Regulatory adherence</v>
      </c>
      <c r="E52" s="1" t="s">
        <v>716</v>
      </c>
      <c r="F52" s="1" t="s">
        <v>1080</v>
      </c>
      <c r="G52" s="1" t="str">
        <f>'Thematic Analysis'!$D55</f>
        <v>NEHTA makes sure health info works the same way everywhere in Australia. They're working on stuff like making sure doctors' notes and patient info look the same everywhere. They're also setting up a single ID for healthcare and getting ready for a national health record system. Plus, they're making sure the stuff doctors send each other is safe, and helping with buying healthcare stuff</v>
      </c>
    </row>
    <row r="53" spans="1:7" s="6" customFormat="1" ht="120" x14ac:dyDescent="0.25">
      <c r="A53" s="2">
        <f t="shared" si="1"/>
        <v>49</v>
      </c>
      <c r="B53" s="1" t="str">
        <f>'Thematic Analysis'!E56</f>
        <v>Responsibilities of Support Services
Implementation of system
Maintenance of systems
Support for Consumers
Hardware management
Software management</v>
      </c>
      <c r="C53" s="1" t="str">
        <f>'Thematic Analysis'!F56</f>
        <v>Policy and Organizational Reform
Data and Information Management
System Maintenance and Support
Consumer Experience and Support
Business Alignment
Data and Information Management</v>
      </c>
      <c r="D53" s="1" t="str">
        <f>'Thematic Analysis'!G56</f>
        <v>Governance with Integrity
Data governance
Responsive Support
Customer service
Strategic Cohesion
Data governance</v>
      </c>
      <c r="E53" s="1" t="s">
        <v>1028</v>
      </c>
      <c r="F53" s="1" t="s">
        <v>1081</v>
      </c>
      <c r="G53" s="1" t="str">
        <f>'Thematic Analysis'!$D56</f>
        <v>Health Support Services sets up and maintains key computer systems for healthcare. They give specific IT help to Area Health Services as defined by the law. This includes managing computers, software, and helping with setting up systems.</v>
      </c>
    </row>
    <row r="54" spans="1:7" s="6" customFormat="1" ht="105" x14ac:dyDescent="0.25">
      <c r="A54" s="2">
        <f t="shared" si="1"/>
        <v>50</v>
      </c>
      <c r="B54" s="1" t="str">
        <f>'Thematic Analysis'!E57</f>
        <v>Responsibilities of Services
Local implementations
Change management
Staff training
Benefits realization</v>
      </c>
      <c r="C54" s="1" t="str">
        <f>'Thematic Analysis'!F57</f>
        <v>Policy and Organizational Reform
System Deployment and Integration
Collaboration and Communication
Employee Training and Development
Resource Management and Utilization</v>
      </c>
      <c r="D54" s="1" t="str">
        <f>'Thematic Analysis'!G57</f>
        <v>Governance with Integrity
Reliable Implementation
Teamwork enhancement
Employee development
Sustainable Efficiency</v>
      </c>
      <c r="E54" s="1" t="s">
        <v>1029</v>
      </c>
      <c r="F54" s="1" t="s">
        <v>1082</v>
      </c>
      <c r="G54" s="1" t="str">
        <f>'Thematic Analysis'!$D57</f>
        <v>Area Health Services are responsible for the management of local
implementations, change management and training of staff and benefits
realisation.</v>
      </c>
    </row>
    <row r="55" spans="1:7" s="6" customFormat="1" ht="105" x14ac:dyDescent="0.25">
      <c r="A55" s="2">
        <f t="shared" si="1"/>
        <v>51</v>
      </c>
      <c r="B55" s="1" t="str">
        <f>'Thematic Analysis'!E58</f>
        <v>Prioritization of programs and projects
Sound investment decisions
Benefit to the organization
Common processes across ICT
Collaborative framework</v>
      </c>
      <c r="C55" s="1" t="str">
        <f>'Thematic Analysis'!F58</f>
        <v>Risk Identification and Management
Financial Management and Budgeting
Business Alignment
Collaboration and Communication
Collaboration and Communication</v>
      </c>
      <c r="D55" s="1" t="str">
        <f>'Thematic Analysis'!G58</f>
        <v>Accountable Risk Management
Budget control
Strategic Cohesion
Teamwork enhancement
Teamwork enhancement</v>
      </c>
      <c r="E55" s="1" t="s">
        <v>717</v>
      </c>
      <c r="F55" s="1" t="s">
        <v>1083</v>
      </c>
      <c r="G55" s="1" t="str">
        <f>'Thematic Analysis'!$D58</f>
        <v>They pick the most important projects and invest wisely for the health system. We work together on ICT stuff and have clear rules. This helps us decide what to build and how to run things</v>
      </c>
    </row>
    <row r="56" spans="1:7" s="6" customFormat="1" ht="105" x14ac:dyDescent="0.25">
      <c r="A56" s="2">
        <f t="shared" si="1"/>
        <v>52</v>
      </c>
      <c r="B56" s="1" t="str">
        <f>'Thematic Analysis'!E59</f>
        <v>Evaluation criteria
Prioritization
Monitoring
Achieving business priorities</v>
      </c>
      <c r="C56" s="1" t="str">
        <f>'Thematic Analysis'!F59</f>
        <v>Financial Management and Budgeting
Program and Project Management
System Maintenance and Support
Business Alignment</v>
      </c>
      <c r="D56" s="1" t="str">
        <f>'Thematic Analysis'!G59</f>
        <v>Budget control
Strategic Project Leadership
Responsive Support
Strategic Cohesion</v>
      </c>
      <c r="E56" s="1" t="s">
        <v>718</v>
      </c>
      <c r="F56" s="1" t="s">
        <v>1084</v>
      </c>
      <c r="G56" s="1" t="str">
        <f>'Thematic Analysis'!$D59</f>
        <v>NSW Health uses a coordinated approach to manage ICT projects. This helps us evaluate, prioritize, select, and monitor programs and projects. We adjust as needed to meet our business goals.</v>
      </c>
    </row>
    <row r="57" spans="1:7" s="6" customFormat="1" ht="60" x14ac:dyDescent="0.25">
      <c r="A57" s="2">
        <f t="shared" si="1"/>
        <v>53</v>
      </c>
      <c r="B57" s="1" t="str">
        <f>'Thematic Analysis'!E60</f>
        <v>Standardizing processes across ICT
Guidelines application</v>
      </c>
      <c r="C57" s="1" t="str">
        <f>'Thematic Analysis'!F60</f>
        <v>Standardization and Streamlining Processes
Business Alignment</v>
      </c>
      <c r="D57" s="1" t="str">
        <f>'Thematic Analysis'!G60</f>
        <v>Consistent Excellence
Strategic Cohesion</v>
      </c>
      <c r="E57" s="1" t="s">
        <v>1030</v>
      </c>
      <c r="F57" s="1" t="s">
        <v>1085</v>
      </c>
      <c r="G57" s="1" t="str">
        <f>'Thematic Analysis'!$D60</f>
        <v>They have set ways of doing things that support our ICT plan. These cover every step of a project's life.</v>
      </c>
    </row>
    <row r="58" spans="1:7" s="6" customFormat="1" ht="135" x14ac:dyDescent="0.25">
      <c r="A58" s="2">
        <f t="shared" si="1"/>
        <v>54</v>
      </c>
      <c r="B58" s="1" t="str">
        <f>'Thematic Analysis'!E61</f>
        <v>Collaborative implementation
Integration of governance models
Consistency in application development</v>
      </c>
      <c r="C58" s="1" t="str">
        <f>'Thematic Analysis'!F61</f>
        <v>Standardization and Streamlining Processes
Compliance and Governance
Standardization and Streamlining Processes</v>
      </c>
      <c r="D58" s="1" t="str">
        <f>'Thematic Analysis'!G61</f>
        <v>Consistent Excellence
Regulatory adherence
Consistent Excellence</v>
      </c>
      <c r="E58" s="1" t="s">
        <v>719</v>
      </c>
      <c r="F58" s="1" t="s">
        <v>1086</v>
      </c>
      <c r="G58" s="1" t="str">
        <f>'Thematic Analysis'!$D61</f>
        <v>To make the strategy work, NSW Health collaborates with the Department of Health, Area Health Services, Health Technology, and third-party providers, using shared decision-making processes and building core applications at the state level</v>
      </c>
    </row>
    <row r="59" spans="1:7" s="6" customFormat="1" ht="150" x14ac:dyDescent="0.25">
      <c r="A59" s="2">
        <f t="shared" si="1"/>
        <v>55</v>
      </c>
      <c r="B59" s="1" t="str">
        <f>'Thematic Analysis'!E62</f>
        <v>Classification of applications
Management of applications
Resource management
Achieving outcomes</v>
      </c>
      <c r="C59" s="1" t="str">
        <f>'Thematic Analysis'!F62</f>
        <v>Collaboration and Communication
System Maintenance and Support
Resource Management and Utilization
Operational Effectiveness and Efficiency</v>
      </c>
      <c r="D59" s="1" t="str">
        <f>'Thematic Analysis'!G62</f>
        <v>Teamwork enhancement
Responsive Support
Sustainable Efficiency
Process optimization</v>
      </c>
      <c r="E59" s="1" t="s">
        <v>1031</v>
      </c>
      <c r="F59" s="1" t="s">
        <v>1087</v>
      </c>
      <c r="G59" s="1" t="str">
        <f>'Thematic Analysis'!$D62</f>
        <v>Applications and projects are categorized as core, common, or divergent, influencing their prioritization, funding, and management, with core ones managed by the Department, common ones collaboratively, and divergent ones allowing for innovative solutions to local needs.</v>
      </c>
    </row>
    <row r="60" spans="1:7" s="6" customFormat="1" ht="150" x14ac:dyDescent="0.25">
      <c r="A60" s="2">
        <f t="shared" si="1"/>
        <v>56</v>
      </c>
      <c r="B60" s="1" t="str">
        <f>'Thematic Analysis'!E63</f>
        <v>Alignment with business benefits
Risk Identification
Disconnect of strategy and implementation</v>
      </c>
      <c r="C60" s="1" t="str">
        <f>'Thematic Analysis'!F63</f>
        <v>Business Alignment
Risk Identification and Management
Compliance and Governance</v>
      </c>
      <c r="D60" s="1" t="str">
        <f>'Thematic Analysis'!G63</f>
        <v>Strategic Cohesion
Accountable Risk Management
Regulatory adherence</v>
      </c>
      <c r="E60" s="1" t="s">
        <v>1032</v>
      </c>
      <c r="F60" s="1" t="s">
        <v>1088</v>
      </c>
      <c r="G60" s="1" t="str">
        <f>'Thematic Analysis'!$D63</f>
        <v>The Project Governance framework makes sure projects do what they're supposed to and deliver the benefits they promised. It helps NSW Health focus on the right projects and ensures they're done correctly. This way, strategy and delivery stay connected, reducing risks for the whole portfolio</v>
      </c>
    </row>
    <row r="61" spans="1:7" s="6" customFormat="1" ht="150" x14ac:dyDescent="0.25">
      <c r="A61" s="2">
        <f t="shared" si="1"/>
        <v>57</v>
      </c>
      <c r="B61" s="1" t="str">
        <f>'Thematic Analysis'!E64</f>
        <v>Development process
Integration with existing methodology
Informed decision-making</v>
      </c>
      <c r="C61" s="1" t="str">
        <f>'Thematic Analysis'!F64</f>
        <v>System Deployment and Integration
System Deployment and Integration
System Deployment and Integration</v>
      </c>
      <c r="D61" s="1" t="str">
        <f>'Thematic Analysis'!G64</f>
        <v>Reliable Implementation
Reliable Implementation
Reliable Implementation</v>
      </c>
      <c r="E61" s="1" t="s">
        <v>1033</v>
      </c>
      <c r="F61" s="1" t="s">
        <v>1089</v>
      </c>
      <c r="G61" s="1" t="str">
        <f>'Thematic Analysis'!$D64</f>
        <v>In the Content Development phase, they design and build a prototype, then review it with clinicians. We use a method called Fast Track, which makes the process quicker. The prototype helps clinicians understand the application better and decide if it works for them</v>
      </c>
    </row>
    <row r="62" spans="1:7" s="6" customFormat="1" ht="240" x14ac:dyDescent="0.25">
      <c r="A62" s="2">
        <f t="shared" si="1"/>
        <v>58</v>
      </c>
      <c r="B62" s="1" t="str">
        <f>'Thematic Analysis'!E65</f>
        <v>Large content management
Resource constraints
Skills / Training
Scope creep</v>
      </c>
      <c r="C62" s="1" t="str">
        <f>'Thematic Analysis'!F65</f>
        <v>Data and Information Management
Resource Management and Utilization
Employee Training and Development
Program and Project Management</v>
      </c>
      <c r="D62" s="1" t="str">
        <f>'Thematic Analysis'!G65</f>
        <v>Data governance
Sustainable Efficiency
Employee development
Strategic Project Leadership</v>
      </c>
      <c r="E62" s="1" t="s">
        <v>720</v>
      </c>
      <c r="F62" s="1" t="s">
        <v>1090</v>
      </c>
      <c r="G62" s="1" t="str">
        <f>'Thematic Analysis'!$D65</f>
        <v>In the Implementation phase, they're putting in the content decided by the state. Doing it all at once might seem like a lot, but it's the most efficient and cost-effective way. Using the Fast Track Method makes things quicker and cheaper, sticking to a standard design with state content. This means less hassle and less time spent learning for Area Health Services staff. Their team knows how to build the database, and doing things fast helps them stick to the plan without adding extra stuff.</v>
      </c>
    </row>
    <row r="63" spans="1:7" s="6" customFormat="1" ht="165" x14ac:dyDescent="0.25">
      <c r="A63" s="2">
        <f t="shared" si="1"/>
        <v>59</v>
      </c>
      <c r="B63" s="1" t="str">
        <f>'Thematic Analysis'!E66</f>
        <v>Equal system participation
Change control process
Core functionality vs area-specific needs</v>
      </c>
      <c r="C63" s="1" t="str">
        <f>'Thematic Analysis'!F66</f>
        <v>Standardization and Streamlining Processes
Compliance and Governance
Compliance and Governance</v>
      </c>
      <c r="D63" s="1" t="str">
        <f>'Thematic Analysis'!G66</f>
        <v>Consistent Excellence
Regulatory adherence
Regulatory adherence</v>
      </c>
      <c r="E63" s="1" t="s">
        <v>1034</v>
      </c>
      <c r="F63" s="1" t="s">
        <v>1091</v>
      </c>
      <c r="G63" s="1" t="str">
        <f>'Thematic Analysis'!$D66</f>
        <v>The SBB uses a maturity model to improve its features over time, with all Area Health Services contributing to each version, changes requiring approval from the majority of the Application Advisory Group, and new versions released annually, featuring required core functions, modifiable features, and local content.</v>
      </c>
    </row>
    <row r="64" spans="1:7" s="6" customFormat="1" ht="165" x14ac:dyDescent="0.25">
      <c r="A64" s="2">
        <f t="shared" si="1"/>
        <v>60</v>
      </c>
      <c r="B64" s="1" t="str">
        <f>'Thematic Analysis'!E67</f>
        <v>Alignment
Implementation delays
Allocation of resources</v>
      </c>
      <c r="C64" s="1" t="str">
        <f>'Thematic Analysis'!F67</f>
        <v>Business Alignment
Consumer Experience and Support
Consumer Experience and Support</v>
      </c>
      <c r="D64" s="1" t="str">
        <f>'Thematic Analysis'!G67</f>
        <v>Strategic Cohesion
Customer service
Customer service</v>
      </c>
      <c r="E64" s="1" t="s">
        <v>721</v>
      </c>
      <c r="F64" s="1" t="s">
        <v>1092</v>
      </c>
      <c r="G64" s="1" t="str">
        <f>'Thematic Analysis'!$D67</f>
        <v>The Clinical Systems Strategy aims to implement essential clinical systems supporting Clinical Services Redesign, Quality and Safety initiatives, and clinical programs. It focuses on improving communication, reducing delays, and supporting patient care, ensuring resources are allocated flexibly to meet patient needs</v>
      </c>
    </row>
    <row r="65" spans="1:7" s="6" customFormat="1" ht="165" x14ac:dyDescent="0.25">
      <c r="A65" s="2">
        <f t="shared" si="1"/>
        <v>61</v>
      </c>
      <c r="B65" s="1" t="str">
        <f>'Thematic Analysis'!E68</f>
        <v>Management of programs
Integration of systems
Compatibility between systems</v>
      </c>
      <c r="C65" s="1" t="str">
        <f>'Thematic Analysis'!F68</f>
        <v>Program and Project Management
System Deployment and Integration
Financial Management and Budgeting</v>
      </c>
      <c r="D65" s="1" t="str">
        <f>'Thematic Analysis'!G68</f>
        <v>Strategic Project Leadership
Reliable Implementation
Budget control</v>
      </c>
      <c r="E65" s="1" t="s">
        <v>722</v>
      </c>
      <c r="F65" s="1" t="s">
        <v>1093</v>
      </c>
      <c r="G65" s="1" t="str">
        <f>'Thematic Analysis'!$D68</f>
        <v>Three programs support the Clinical Systems Strategy: the Electronic Medical Record program for managing patients in hospitals, the Primary, Community, and Outpatient Care program for community care, and the Clinical Support program for essential support systems like Patient Administration and diagnostics.</v>
      </c>
    </row>
    <row r="66" spans="1:7" s="6" customFormat="1" ht="135" x14ac:dyDescent="0.25">
      <c r="A66" s="2">
        <f t="shared" si="1"/>
        <v>62</v>
      </c>
      <c r="B66" s="1" t="str">
        <f>'Thematic Analysis'!E69</f>
        <v>Integration of unified systems
Disruption to processes
Data security
Data privacy</v>
      </c>
      <c r="C66" s="1" t="str">
        <f>'Thematic Analysis'!F69</f>
        <v>System Deployment and Integration
Resource Management and Utilization
Data and Information Management
Data Security, Quality and Privacy</v>
      </c>
      <c r="D66" s="1" t="str">
        <f>'Thematic Analysis'!G69</f>
        <v>Reliable Implementation
Sustainable Efficiency
Data governance
Data integrity</v>
      </c>
      <c r="E66" s="1" t="s">
        <v>1035</v>
      </c>
      <c r="F66" s="1" t="s">
        <v>1094</v>
      </c>
      <c r="G66" s="1" t="str">
        <f>'Thematic Analysis'!$D69</f>
        <v>The Corporate Systems Strategy sets up essential systems to support the Corporate Shared Services reform program, cutting duplication and costs in administrative tasks to redirect funds to frontline care, with the Corporate Systems program as its backbone.</v>
      </c>
    </row>
    <row r="67" spans="1:7" s="6" customFormat="1" ht="180" x14ac:dyDescent="0.25">
      <c r="A67" s="2">
        <f t="shared" si="1"/>
        <v>63</v>
      </c>
      <c r="B67" s="1" t="str">
        <f>'Thematic Analysis'!E70</f>
        <v>Timeliness
Accuracy of data
Accuracy of Reporting
Integration of data
Unified platform
Data accessibility
Data privacy</v>
      </c>
      <c r="C67" s="1" t="str">
        <f>'Thematic Analysis'!F70</f>
        <v>Operational Effectiveness and Efficiency
Data Security, Quality and Privacy
Data Security, Quality and Privacy
System Deployment and Integration
System Deployment and Integration
Data and Information Management
Data Security, Quality and Privacy</v>
      </c>
      <c r="D67" s="1" t="str">
        <f>'Thematic Analysis'!G70</f>
        <v>Process optimization
Data integrity
Data integrity
Reliable Implementation
Reliable Implementation
Data governance
Data integrity</v>
      </c>
      <c r="E67" s="1" t="s">
        <v>723</v>
      </c>
      <c r="F67" s="1" t="s">
        <v>1095</v>
      </c>
      <c r="G67" s="1" t="str">
        <f>'Thematic Analysis'!$D70</f>
        <v>The Business Information Strategy aims to provide timely, high-quality information throughout the organization, fostering a performance-driven culture. It helps turn data into insights, supports decision-making, aligns with strategic goals, ensures accountability, and follows the overall program and change management approach.</v>
      </c>
    </row>
    <row r="68" spans="1:7" s="6" customFormat="1" ht="150" x14ac:dyDescent="0.25">
      <c r="A68" s="2">
        <f t="shared" si="1"/>
        <v>64</v>
      </c>
      <c r="B68" s="1" t="str">
        <f>'Thematic Analysis'!E71</f>
        <v>Prioritization
Alignment
Monitoring</v>
      </c>
      <c r="C68" s="1" t="str">
        <f>'Thematic Analysis'!F71</f>
        <v>Program and Project Management
Business Alignment
System Maintenance and Support</v>
      </c>
      <c r="D68" s="1" t="str">
        <f>'Thematic Analysis'!G71</f>
        <v>Strategic Project Leadership
Strategic Cohesion
Responsive Support</v>
      </c>
      <c r="E68" s="1" t="s">
        <v>724</v>
      </c>
      <c r="F68" s="1" t="s">
        <v>1096</v>
      </c>
      <c r="G68" s="1" t="str">
        <f>'Thematic Analysis'!$D71</f>
        <v>Three programs support the Business Information Strategy: one delivers useful information to front-line staff, another integrates strategic frameworks and develops performance measures, and the third ensures systems can provide consistent data and sets up technical infrastructure</v>
      </c>
    </row>
    <row r="69" spans="1:7" s="6" customFormat="1" ht="120" x14ac:dyDescent="0.25">
      <c r="A69" s="2">
        <f t="shared" si="1"/>
        <v>65</v>
      </c>
      <c r="B69" s="1" t="str">
        <f>'Thematic Analysis'!E72</f>
        <v>Infrastructure efficiency
Standardized information
Resource optimization</v>
      </c>
      <c r="C69" s="1" t="str">
        <f>'Thematic Analysis'!F72</f>
        <v>Data and Information Management
Data and Information Management
Resource Management and Utilization</v>
      </c>
      <c r="D69" s="1" t="str">
        <f>'Thematic Analysis'!G72</f>
        <v>Data governance
Data governance
Sustainable Efficiency</v>
      </c>
      <c r="E69" s="1" t="s">
        <v>725</v>
      </c>
      <c r="F69" s="1" t="s">
        <v>1097</v>
      </c>
      <c r="G69" s="1" t="str">
        <f>'Thematic Analysis'!$D72</f>
        <v>The Sustainable Infrastructure program aims to streamline technical infrastructure, establish and uphold standards and architecture for statewide ICT initiatives, and ensure maximum benefit from ICT investments.</v>
      </c>
    </row>
    <row r="70" spans="1:7" s="6" customFormat="1" ht="105" x14ac:dyDescent="0.25">
      <c r="A70" s="2">
        <f t="shared" si="1"/>
        <v>66</v>
      </c>
      <c r="B70" s="1" t="str">
        <f>'Thematic Analysis'!E73</f>
        <v>Infrastructure coherence
Standard adherence
Data quality</v>
      </c>
      <c r="C70" s="1" t="str">
        <f>'Thematic Analysis'!F73</f>
        <v>System Deployment and Integration
Operational Effectiveness and Efficiency
Data and Information Management</v>
      </c>
      <c r="D70" s="1" t="str">
        <f>'Thematic Analysis'!G73</f>
        <v>Reliable Implementation
Process optimization
Data governance</v>
      </c>
      <c r="E70" s="1" t="s">
        <v>726</v>
      </c>
      <c r="F70" s="1" t="s">
        <v>1098</v>
      </c>
      <c r="G70" s="1" t="str">
        <f>'Thematic Analysis'!$D73</f>
        <v>The Sustainable Infrastructure program includes three parts: setting up infrastructure, establishing technical standards, and ensuring uniform data standards across systems in NSW.</v>
      </c>
    </row>
  </sheetData>
  <mergeCells count="1">
    <mergeCell ref="A2:G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UpdateCatergories">
                <anchor moveWithCells="1" sizeWithCells="1">
                  <from>
                    <xdr:col>4</xdr:col>
                    <xdr:colOff>66675</xdr:colOff>
                    <xdr:row>0</xdr:row>
                    <xdr:rowOff>66675</xdr:rowOff>
                  </from>
                  <to>
                    <xdr:col>4</xdr:col>
                    <xdr:colOff>1543050</xdr:colOff>
                    <xdr:row>0</xdr:row>
                    <xdr:rowOff>542925</xdr:rowOff>
                  </to>
                </anchor>
              </controlPr>
            </control>
          </mc:Choice>
        </mc:AlternateContent>
        <mc:AlternateContent xmlns:mc="http://schemas.openxmlformats.org/markup-compatibility/2006">
          <mc:Choice Requires="x14">
            <control shapeId="11266" r:id="rId4" name="Button 2">
              <controlPr defaultSize="0" print="0" autoFill="0" autoPict="0" macro="[0]!UpdateSubCatergories">
                <anchor moveWithCells="1" sizeWithCells="1">
                  <from>
                    <xdr:col>5</xdr:col>
                    <xdr:colOff>66675</xdr:colOff>
                    <xdr:row>0</xdr:row>
                    <xdr:rowOff>66675</xdr:rowOff>
                  </from>
                  <to>
                    <xdr:col>6</xdr:col>
                    <xdr:colOff>9525</xdr:colOff>
                    <xdr:row>0</xdr:row>
                    <xdr:rowOff>542925</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Thematic Analysis</vt:lpstr>
      <vt:lpstr>Glossary</vt:lpstr>
      <vt:lpstr>Search Data</vt:lpstr>
      <vt:lpstr>Tool Data</vt:lpstr>
      <vt:lpstr>Catergories</vt:lpstr>
      <vt:lpstr>Concerns_List</vt:lpstr>
      <vt:lpstr>Factors</vt:lpstr>
      <vt:lpstr>Groups</vt:lpstr>
      <vt:lpstr>Search_Factors</vt:lpstr>
      <vt:lpstr>Sub_catergories</vt:lpstr>
      <vt:lpstr>Sub_Group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Nigel</dc:creator>
  <cp:lastModifiedBy>Nigel Galbraith [ncg33]</cp:lastModifiedBy>
  <dcterms:created xsi:type="dcterms:W3CDTF">2015-06-05T18:17:20Z</dcterms:created>
  <dcterms:modified xsi:type="dcterms:W3CDTF">2025-06-21T23:22:32Z</dcterms:modified>
</cp:coreProperties>
</file>