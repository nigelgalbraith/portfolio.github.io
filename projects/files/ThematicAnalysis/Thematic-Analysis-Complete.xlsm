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C:\Users\Nigel\Downloads\nigelgalbraith.github.io-main\projects\files\ThematicAnalysis\"/>
    </mc:Choice>
  </mc:AlternateContent>
  <xr:revisionPtr revIDLastSave="0" documentId="13_ncr:1_{98BB48FF-034D-4BB5-9754-78E31CD1B6D1}" xr6:coauthVersionLast="47" xr6:coauthVersionMax="47" xr10:uidLastSave="{00000000-0000-0000-0000-000000000000}"/>
  <bookViews>
    <workbookView xWindow="-120" yWindow="-120" windowWidth="19440" windowHeight="11640" activeTab="4" xr2:uid="{00000000-000D-0000-FFFF-FFFF00000000}"/>
  </bookViews>
  <sheets>
    <sheet name="Thematic Analysis" sheetId="1" r:id="rId1"/>
    <sheet name="Glossary" sheetId="2" r:id="rId2"/>
    <sheet name="Search Data" sheetId="8" r:id="rId3"/>
    <sheet name="Tool Data" sheetId="9" r:id="rId4"/>
    <sheet name="Risk Matrix" sheetId="10" r:id="rId5"/>
  </sheets>
  <functionGroups builtInGroupCount="19"/>
  <definedNames>
    <definedName name="Catergories">Table6[Catergories]</definedName>
    <definedName name="Concerns_List">Table2[Factors]</definedName>
    <definedName name="Factors">'Thematic Analysis'!$E$8:$E$73</definedName>
    <definedName name="Groups">'Thematic Analysis'!$F$8:$F$73</definedName>
    <definedName name="Search_Factors">Table6[Factors]</definedName>
    <definedName name="Sub_catergories">Table6[Sub Catergories]</definedName>
    <definedName name="Sub_Group">'Thematic Analysis'!$G$8:$G$73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D3" i="9"/>
  <c r="C3" i="9"/>
  <c r="A3" i="8"/>
  <c r="A78" i="8"/>
  <c r="A111" i="8"/>
  <c r="A114" i="8"/>
  <c r="A134" i="8"/>
  <c r="A29" i="8"/>
  <c r="A53" i="8"/>
  <c r="A89" i="8"/>
  <c r="A208" i="8"/>
  <c r="A21" i="8"/>
  <c r="A88" i="8"/>
  <c r="A47" i="8"/>
  <c r="A38" i="8"/>
  <c r="A81" i="8"/>
  <c r="A11" i="8"/>
  <c r="A71" i="8"/>
  <c r="A216" i="8"/>
  <c r="C218" i="8"/>
  <c r="C219" i="2"/>
  <c r="A215" i="8"/>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A6" i="8"/>
  <c r="A7" i="8"/>
  <c r="A8" i="8"/>
  <c r="A9" i="8"/>
  <c r="A10" i="8"/>
  <c r="A12" i="8"/>
  <c r="A13" i="8"/>
  <c r="A14" i="8"/>
  <c r="A15" i="8"/>
  <c r="A16" i="8"/>
  <c r="A17" i="8"/>
  <c r="A18" i="8"/>
  <c r="A19" i="8"/>
  <c r="A20" i="8"/>
  <c r="A22" i="8"/>
  <c r="A23" i="8"/>
  <c r="A24" i="8"/>
  <c r="A25" i="8"/>
  <c r="A26" i="8"/>
  <c r="A27" i="8"/>
  <c r="A28" i="8"/>
  <c r="A30" i="8"/>
  <c r="A31" i="8"/>
  <c r="A32" i="8"/>
  <c r="A33" i="8"/>
  <c r="A34" i="8"/>
  <c r="A35" i="8"/>
  <c r="A36" i="8"/>
  <c r="A37" i="8"/>
  <c r="A39" i="8"/>
  <c r="A40" i="8"/>
  <c r="A41" i="8"/>
  <c r="A42" i="8"/>
  <c r="A43" i="8"/>
  <c r="A44" i="8"/>
  <c r="A45" i="8"/>
  <c r="A46" i="8"/>
  <c r="A48" i="8"/>
  <c r="A49" i="8"/>
  <c r="A50" i="8"/>
  <c r="A51" i="8"/>
  <c r="A52" i="8"/>
  <c r="A54" i="8"/>
  <c r="A55" i="8"/>
  <c r="A56" i="8"/>
  <c r="A57" i="8"/>
  <c r="A58" i="8"/>
  <c r="A59" i="8"/>
  <c r="A60" i="8"/>
  <c r="A61" i="8"/>
  <c r="A62" i="8"/>
  <c r="A63" i="8"/>
  <c r="A64" i="8"/>
  <c r="A65" i="8"/>
  <c r="A66" i="8"/>
  <c r="A67" i="8"/>
  <c r="A68" i="8"/>
  <c r="A69" i="8"/>
  <c r="A70" i="8"/>
  <c r="A72" i="8"/>
  <c r="A73" i="8"/>
  <c r="A74" i="8"/>
  <c r="A75" i="8"/>
  <c r="A76" i="8"/>
  <c r="A77" i="8"/>
  <c r="A79" i="8"/>
  <c r="A80" i="8"/>
  <c r="A82" i="8"/>
  <c r="A83" i="8"/>
  <c r="A84" i="8"/>
  <c r="A85" i="8"/>
  <c r="A86" i="8"/>
  <c r="A87" i="8"/>
  <c r="A90" i="8"/>
  <c r="A91" i="8"/>
  <c r="A92" i="8"/>
  <c r="A93" i="8"/>
  <c r="A94" i="8"/>
  <c r="A95" i="8"/>
  <c r="A96" i="8"/>
  <c r="A97" i="8"/>
  <c r="A98" i="8"/>
  <c r="A99" i="8"/>
  <c r="A100" i="8"/>
  <c r="A101" i="8"/>
  <c r="A102" i="8"/>
  <c r="A103" i="8"/>
  <c r="A104" i="8"/>
  <c r="A105" i="8"/>
  <c r="A106" i="8"/>
  <c r="A107" i="8"/>
  <c r="A108" i="8"/>
  <c r="A109" i="8"/>
  <c r="A110" i="8"/>
  <c r="A112" i="8"/>
  <c r="A113" i="8"/>
  <c r="A115" i="8"/>
  <c r="A116" i="8"/>
  <c r="A117" i="8"/>
  <c r="A118" i="8"/>
  <c r="A119" i="8"/>
  <c r="A120" i="8"/>
  <c r="A121" i="8"/>
  <c r="A122" i="8"/>
  <c r="A123" i="8"/>
  <c r="A124" i="8"/>
  <c r="A125" i="8"/>
  <c r="A126" i="8"/>
  <c r="A127" i="8"/>
  <c r="A128" i="8"/>
  <c r="A129" i="8"/>
  <c r="A130" i="8"/>
  <c r="A131" i="8"/>
  <c r="A132" i="8"/>
  <c r="A133"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9" i="8"/>
  <c r="A210" i="8"/>
  <c r="A211" i="8"/>
  <c r="A212" i="8"/>
  <c r="A213" i="8"/>
  <c r="A214" i="8"/>
  <c r="A217" i="8"/>
  <c r="A5" i="8"/>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5" i="9"/>
  <c r="G5" i="9"/>
  <c r="F3" i="9"/>
  <c r="E3" i="9"/>
  <c r="B3" i="9"/>
  <c r="A4" i="2"/>
  <c r="B4" i="2"/>
  <c r="C4" i="2"/>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20" i="1"/>
  <c r="I71" i="1"/>
  <c r="I40" i="1"/>
  <c r="I64" i="1"/>
  <c r="I30" i="1"/>
  <c r="I45" i="1"/>
  <c r="I31" i="1"/>
  <c r="I29" i="1"/>
  <c r="I53" i="1"/>
  <c r="I52" i="1"/>
  <c r="I21" i="1"/>
  <c r="I57" i="1"/>
  <c r="I10" i="1"/>
  <c r="I51" i="1"/>
  <c r="I46" i="1"/>
  <c r="I66" i="1"/>
  <c r="I14" i="1"/>
  <c r="I18" i="1"/>
  <c r="I34" i="1"/>
  <c r="I56" i="1"/>
  <c r="I11" i="1"/>
  <c r="I9" i="1"/>
  <c r="I42" i="1"/>
  <c r="I19" i="1"/>
  <c r="I67" i="1"/>
  <c r="I58" i="1"/>
  <c r="I12" i="1"/>
  <c r="I49" i="1"/>
  <c r="I24" i="1"/>
  <c r="I23" i="1"/>
  <c r="I16" i="1"/>
  <c r="I69" i="1"/>
  <c r="I55" i="1"/>
  <c r="I36" i="1"/>
  <c r="I33" i="1"/>
  <c r="I13" i="1"/>
  <c r="I62" i="1"/>
  <c r="I43" i="1"/>
  <c r="I27" i="1"/>
  <c r="I70" i="1"/>
  <c r="I15" i="1"/>
  <c r="I28" i="1"/>
  <c r="I65" i="1"/>
  <c r="I44" i="1"/>
  <c r="I39" i="1"/>
  <c r="I47" i="1"/>
  <c r="I72" i="1"/>
  <c r="I68" i="1"/>
  <c r="I63" i="1"/>
  <c r="I73" i="1"/>
  <c r="I17" i="1"/>
  <c r="I8" i="1"/>
  <c r="I35" i="1"/>
  <c r="I37" i="1"/>
  <c r="I25" i="1"/>
  <c r="I32" i="1"/>
  <c r="I41" i="1"/>
  <c r="I61" i="1"/>
  <c r="I26" i="1"/>
  <c r="I50" i="1"/>
  <c r="I38" i="1"/>
  <c r="I48" i="1"/>
  <c r="I22" i="1"/>
  <c r="I54" i="1"/>
  <c r="I59" i="1"/>
  <c r="I60"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<sst xmlns="http://schemas.openxmlformats.org/spreadsheetml/2006/main" count="1697" uniqueCount="1178">
  <si>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</si>
  <si>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</si>
  <si>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</si>
  <si>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</si>
  <si>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</si>
  <si>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</si>
  <si>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</si>
  <si>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</si>
  <si>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</si>
  <si>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</si>
  <si>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</si>
  <si>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</si>
  <si>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</si>
  <si>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</si>
  <si>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</si>
  <si>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</si>
  <si>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</si>
  <si>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</si>
  <si>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</si>
  <si>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</si>
  <si>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</si>
  <si>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</si>
  <si>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</si>
  <si>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</si>
  <si>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</si>
  <si>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</si>
  <si>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</si>
  <si>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</si>
  <si>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</si>
  <si>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</si>
  <si>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</si>
  <si>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</si>
  <si>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</si>
  <si>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</si>
  <si>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</si>
  <si>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</si>
  <si>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</si>
  <si>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</si>
  <si>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</si>
  <si>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</si>
  <si>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</si>
  <si>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</si>
  <si>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</si>
  <si>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</si>
  <si>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</si>
  <si>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</si>
  <si>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</si>
  <si>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</si>
  <si>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</si>
  <si>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</si>
  <si>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</si>
  <si>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</si>
  <si>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</si>
  <si>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</si>
  <si>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</si>
  <si>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</si>
  <si>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</si>
  <si>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</si>
  <si>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</si>
  <si>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</si>
  <si>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</si>
  <si>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</si>
  <si>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</si>
  <si>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</si>
  <si>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</si>
  <si>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</si>
  <si>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</si>
  <si>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</si>
  <si>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</si>
  <si>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</si>
  <si>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</si>
  <si>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</si>
  <si>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</si>
  <si>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</si>
  <si>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</si>
  <si>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</si>
  <si>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</si>
  <si>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</si>
  <si>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</si>
  <si>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</si>
  <si>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</si>
  <si>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</si>
  <si>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</si>
  <si>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</si>
  <si>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</si>
  <si>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</si>
  <si>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</si>
  <si>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</si>
  <si>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</si>
  <si>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</si>
  <si>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</si>
  <si>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</si>
  <si>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</si>
  <si>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</si>
  <si>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</si>
  <si>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</si>
  <si>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</si>
  <si>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</si>
  <si>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</si>
  <si>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</si>
  <si>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</si>
  <si>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</si>
  <si>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</si>
  <si>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</si>
  <si>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</si>
  <si>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</si>
  <si>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</si>
  <si>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</si>
  <si>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</si>
  <si>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</si>
  <si>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</si>
  <si>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</si>
  <si>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</si>
  <si>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</si>
  <si>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</si>
  <si>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</si>
  <si>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</si>
  <si>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</si>
  <si>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</si>
  <si>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</si>
  <si>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</si>
  <si>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</si>
  <si>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</si>
  <si>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</si>
  <si>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</si>
  <si>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</si>
  <si>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</si>
  <si>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</si>
  <si>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</si>
  <si>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</si>
  <si>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</si>
  <si>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</si>
  <si>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</si>
  <si>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</si>
  <si>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</si>
  <si>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</si>
  <si>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</si>
  <si>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</si>
  <si>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</si>
  <si>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</si>
  <si>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</si>
  <si>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</si>
  <si>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</si>
  <si>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</si>
  <si>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</si>
  <si>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</si>
  <si>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</si>
  <si>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</si>
  <si>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</si>
  <si>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</si>
  <si>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</si>
  <si>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</si>
  <si>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</si>
  <si>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</si>
  <si>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</si>
  <si>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</si>
  <si>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</si>
  <si>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</si>
  <si>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</si>
  <si>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</si>
  <si>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</si>
  <si>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</si>
  <si>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</si>
  <si>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</si>
  <si>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</si>
  <si>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</si>
  <si>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</si>
  <si>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</si>
  <si>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</si>
  <si>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</si>
  <si>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</si>
  <si>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</si>
  <si>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</si>
  <si>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</si>
  <si>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</si>
  <si>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</si>
  <si>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</si>
  <si>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</si>
  <si>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</si>
  <si>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</si>
  <si>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</si>
  <si>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</si>
  <si>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</si>
  <si>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</si>
  <si>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</si>
  <si>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</si>
  <si>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</si>
  <si>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</si>
  <si>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</si>
  <si>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</si>
  <si>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</si>
  <si>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</si>
  <si>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</si>
  <si>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</si>
  <si>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</si>
  <si>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</si>
  <si>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</si>
  <si>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</si>
  <si>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</si>
  <si>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</si>
  <si>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</si>
  <si>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</si>
  <si>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</si>
  <si>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</si>
  <si>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</si>
  <si>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</si>
  <si>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</si>
  <si>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</si>
  <si>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</si>
  <si>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</si>
  <si>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</si>
  <si>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</si>
  <si>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</si>
  <si>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</si>
  <si>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</si>
  <si>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</si>
  <si>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</si>
  <si>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</si>
  <si>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</si>
  <si>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</si>
  <si>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</si>
  <si>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</si>
  <si>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</si>
  <si>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</si>
  <si>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</si>
  <si>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</si>
  <si>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</si>
  <si>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</si>
  <si>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</si>
  <si>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</si>
  <si>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</si>
  <si>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</si>
  <si>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</si>
  <si>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</si>
  <si>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</si>
  <si>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</si>
  <si>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</si>
  <si>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</si>
  <si>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</si>
  <si>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</si>
  <si>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</si>
  <si>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</si>
  <si>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</si>
  <si>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</si>
  <si>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</si>
  <si>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</si>
  <si>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</si>
  <si>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</si>
  <si>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</si>
  <si>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</si>
  <si>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</si>
  <si>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</si>
  <si>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</si>
  <si>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</si>
  <si>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</si>
  <si>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</si>
  <si>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</si>
  <si>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</si>
  <si>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</si>
  <si>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</si>
  <si>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</si>
  <si>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</si>
  <si>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</si>
  <si>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</si>
  <si>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</si>
  <si>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</si>
  <si>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</si>
  <si>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</si>
  <si>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</si>
  <si>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</si>
  <si>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</si>
  <si>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</si>
  <si>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</si>
  <si>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</si>
  <si>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</si>
  <si>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</si>
  <si>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</si>
  <si>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</si>
  <si>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</si>
  <si>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</si>
  <si>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</si>
  <si>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</si>
  <si>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</si>
  <si>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</si>
  <si>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</si>
  <si>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</si>
  <si>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</si>
  <si>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</si>
  <si>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</si>
  <si>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</si>
  <si>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</si>
  <si>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</si>
  <si>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</si>
  <si>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</si>
  <si>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</si>
  <si>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</si>
  <si>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</si>
  <si>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</si>
  <si>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</si>
  <si>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</si>
  <si>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</si>
  <si>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</si>
  <si>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</si>
  <si>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</si>
  <si>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</si>
  <si>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</si>
  <si>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</si>
  <si>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</si>
  <si>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</si>
  <si>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</si>
  <si>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</si>
  <si>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</si>
  <si>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</si>
  <si>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</si>
  <si>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</si>
  <si>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</si>
  <si>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</si>
  <si>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</si>
  <si>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</si>
  <si>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</si>
  <si>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</si>
  <si>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</si>
  <si>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</si>
  <si>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</si>
  <si>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</si>
  <si>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</si>
  <si>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</si>
  <si>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</si>
  <si>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</si>
  <si>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</si>
  <si>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</si>
  <si>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</si>
  <si>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</si>
  <si>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</si>
  <si>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</si>
  <si>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</si>
  <si>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</si>
  <si>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</si>
  <si>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</si>
  <si>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</si>
  <si>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</si>
  <si>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</si>
  <si>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</si>
  <si>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</si>
  <si>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</si>
  <si>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</si>
  <si>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</si>
  <si>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</si>
  <si>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</si>
  <si>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</si>
  <si>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</si>
  <si>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</si>
  <si>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</si>
  <si>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</si>
  <si>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</si>
  <si>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</si>
  <si>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</si>
  <si>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</si>
  <si>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</si>
  <si>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</si>
  <si>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</si>
  <si>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</si>
  <si>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Budget control</t>
  </si>
  <si>
    <t>Regulatory adherence</t>
  </si>
  <si>
    <t>Customer service</t>
  </si>
  <si>
    <t>Process optimization</t>
  </si>
  <si>
    <t>Data governance</t>
  </si>
  <si>
    <t>Forecasting</t>
  </si>
  <si>
    <t>Scalability</t>
  </si>
  <si>
    <t>Futureproofing</t>
  </si>
  <si>
    <t>Teamwork enhancement</t>
  </si>
  <si>
    <t>Employee development</t>
  </si>
  <si>
    <t>Data integrity</t>
  </si>
  <si>
    <t>Increase database
Rising system usage
Future system demand</t>
  </si>
  <si>
    <t>Preventative solutions
User experience
Future benefits
Strengthening relationships
Costs of services
Sustainable Workforce
New risk potential</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</si>
  <si>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</si>
  <si>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</si>
  <si>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</si>
  <si>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</si>
  <si>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</si>
  <si>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</si>
  <si>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</si>
  <si>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</si>
  <si>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Timeliness
Accuracy of data
Accuracy of Reporting
Integration of data
Unified platform
Data accessibility
Data privacy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</si>
  <si>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</si>
  <si>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</si>
  <si>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</si>
  <si>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</si>
  <si>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</si>
  <si>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</si>
  <si>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</si>
  <si>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</si>
  <si>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</si>
  <si>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</si>
  <si>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</si>
  <si>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</si>
  <si>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</si>
  <si>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</si>
  <si>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</si>
  <si>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</si>
  <si>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</si>
  <si>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</si>
  <si>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</si>
  <si>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</si>
  <si>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</si>
  <si>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</si>
  <si>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</si>
  <si>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</si>
  <si>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</si>
  <si>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</si>
  <si>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</si>
  <si>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</si>
  <si>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</si>
  <si>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</si>
  <si>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</si>
  <si>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</si>
  <si>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</si>
  <si>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</si>
  <si>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</si>
  <si>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</si>
  <si>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</si>
  <si>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</si>
  <si>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</si>
  <si>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</si>
  <si>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</si>
  <si>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</si>
  <si>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</si>
  <si>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</si>
  <si>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</si>
  <si>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</si>
  <si>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</si>
  <si>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</si>
  <si>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</si>
  <si>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</si>
  <si>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</si>
  <si>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</si>
  <si>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</si>
  <si>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</si>
  <si>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</si>
  <si>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</si>
  <si>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</si>
  <si>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</si>
  <si>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</si>
  <si>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</si>
  <si>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</si>
  <si>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</si>
  <si>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</si>
  <si>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</si>
  <si>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</si>
  <si>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</si>
  <si>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</si>
  <si>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</si>
  <si>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</si>
  <si>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</si>
  <si>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</si>
  <si>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</si>
  <si>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</si>
  <si>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</si>
  <si>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</si>
  <si>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</si>
  <si>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</si>
  <si>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</si>
  <si>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</si>
  <si>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</si>
  <si>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</si>
  <si>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</si>
  <si>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</si>
  <si>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</si>
  <si>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</si>
  <si>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</si>
  <si>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</si>
  <si>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</si>
  <si>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</si>
  <si>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</si>
  <si>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</si>
  <si>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</si>
  <si>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</si>
  <si>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</si>
  <si>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</si>
  <si>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</si>
  <si>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</si>
  <si>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</si>
  <si>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Accuracy of Reporting
Duplication</t>
  </si>
  <si>
    <t>Table 6: Tool Data</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</si>
  <si>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</si>
  <si>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</si>
  <si>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</si>
  <si>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</si>
  <si>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</si>
  <si>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</si>
  <si>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</si>
  <si>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</si>
  <si>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</si>
  <si>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</si>
  <si>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</si>
  <si>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</si>
  <si>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</si>
  <si>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</si>
  <si>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Predictive Analytics</t>
  </si>
  <si>
    <t>Factor</t>
  </si>
  <si>
    <t>Data Management</t>
  </si>
  <si>
    <t>Application</t>
  </si>
  <si>
    <t>Data Quality</t>
  </si>
  <si>
    <t>Reporting Systems</t>
  </si>
  <si>
    <t>Strategic Alignment</t>
  </si>
  <si>
    <t>Outcome Measurement</t>
  </si>
  <si>
    <t>Strategic Planning</t>
  </si>
  <si>
    <t>Program Governance</t>
  </si>
  <si>
    <t>Policy Compliance</t>
  </si>
  <si>
    <t>Change Management</t>
  </si>
  <si>
    <t>Results-Based Planning</t>
  </si>
  <si>
    <t>Resource Management</t>
  </si>
  <si>
    <t>Service Design</t>
  </si>
  <si>
    <t>Resource Optimization</t>
  </si>
  <si>
    <t>Service Availability</t>
  </si>
  <si>
    <t>Organizational Value</t>
  </si>
  <si>
    <t>Financial Planning</t>
  </si>
  <si>
    <t>Change Initiatives</t>
  </si>
  <si>
    <t>Change Readiness</t>
  </si>
  <si>
    <t>Performance Tuning</t>
  </si>
  <si>
    <t>Transition Planning</t>
  </si>
  <si>
    <t>Stakeholder Engagement</t>
  </si>
  <si>
    <t>Interagency Cooperation</t>
  </si>
  <si>
    <t>Governance Structure</t>
  </si>
  <si>
    <t>Joint Program Delivery</t>
  </si>
  <si>
    <t>Process Standardization</t>
  </si>
  <si>
    <t>System Interoperability</t>
  </si>
  <si>
    <t>Integration Architecture</t>
  </si>
  <si>
    <t>Case Management Systems</t>
  </si>
  <si>
    <t>Process Optimization</t>
  </si>
  <si>
    <t>Policy &amp; Regulation</t>
  </si>
  <si>
    <t>Policy Alignment</t>
  </si>
  <si>
    <t>Standards Adherence</t>
  </si>
  <si>
    <t>Dev Standards</t>
  </si>
  <si>
    <t>System Architecture</t>
  </si>
  <si>
    <t>Risk and Opportunity Analysis</t>
  </si>
  <si>
    <t>UX Design</t>
  </si>
  <si>
    <t>Helpdesk / User Services</t>
  </si>
  <si>
    <t>Integrated Service Design</t>
  </si>
  <si>
    <t>Care Coordination Systems</t>
  </si>
  <si>
    <t>Core Services</t>
  </si>
  <si>
    <t>Organizational Change</t>
  </si>
  <si>
    <t>Cost Efficiency</t>
  </si>
  <si>
    <t>Procurement Strategy</t>
  </si>
  <si>
    <t>Service Costing</t>
  </si>
  <si>
    <t>Priority Services</t>
  </si>
  <si>
    <t>Open Data / Interoperability</t>
  </si>
  <si>
    <t>Privacy and Security</t>
  </si>
  <si>
    <t>Data Governance</t>
  </si>
  <si>
    <t>Cybersecurity</t>
  </si>
  <si>
    <t>Information Exchange</t>
  </si>
  <si>
    <t>Decision Support Systems</t>
  </si>
  <si>
    <t>Service Planning</t>
  </si>
  <si>
    <t>System Dependencies</t>
  </si>
  <si>
    <t>ICT Strategic Planning</t>
  </si>
  <si>
    <t>Software Development Lifecycle</t>
  </si>
  <si>
    <t>Execution Gap</t>
  </si>
  <si>
    <t>Legacy Systems</t>
  </si>
  <si>
    <t>Redundancy Management</t>
  </si>
  <si>
    <t>Service Evaluation</t>
  </si>
  <si>
    <t>Lean Architecture</t>
  </si>
  <si>
    <t>HR Systems</t>
  </si>
  <si>
    <t>Workflow Systems</t>
  </si>
  <si>
    <t>Project Metrics</t>
  </si>
  <si>
    <t>Cost Analysis</t>
  </si>
  <si>
    <t>Budgeting Systems</t>
  </si>
  <si>
    <t>System Silos</t>
  </si>
  <si>
    <t>Funding Sources</t>
  </si>
  <si>
    <t>Capacity Planning</t>
  </si>
  <si>
    <t>Program Oversight</t>
  </si>
  <si>
    <t>Policy Objectives</t>
  </si>
  <si>
    <t>System Scalability</t>
  </si>
  <si>
    <t>IT-Business Alignment</t>
  </si>
  <si>
    <t>Transformation Planning</t>
  </si>
  <si>
    <t>Compliance and Standards</t>
  </si>
  <si>
    <t>Long-term Planning</t>
  </si>
  <si>
    <t>Implementation Roadmap</t>
  </si>
  <si>
    <t>IAM</t>
  </si>
  <si>
    <t>Timeline Risk</t>
  </si>
  <si>
    <t>Rollout Process</t>
  </si>
  <si>
    <t>Deployment</t>
  </si>
  <si>
    <t>Scheduling</t>
  </si>
  <si>
    <t>Inclusive Design</t>
  </si>
  <si>
    <t>Equity</t>
  </si>
  <si>
    <t>Data Collection</t>
  </si>
  <si>
    <t>Digital Health Records</t>
  </si>
  <si>
    <t>Open Access</t>
  </si>
  <si>
    <t>Workflow Management</t>
  </si>
  <si>
    <t>Journey Mapping</t>
  </si>
  <si>
    <t>Health Literacy Tools</t>
  </si>
  <si>
    <t>System Integration</t>
  </si>
  <si>
    <t>Infrastructure Optimization</t>
  </si>
  <si>
    <t>Systems Integration</t>
  </si>
  <si>
    <t>Core Platform Integration</t>
  </si>
  <si>
    <t>Data Interoperability</t>
  </si>
  <si>
    <t>Governance Integration</t>
  </si>
  <si>
    <t>Unified Platforms</t>
  </si>
  <si>
    <t>Methodological Compatibility</t>
  </si>
  <si>
    <t>Standards-based Integration</t>
  </si>
  <si>
    <t>Capital Planning</t>
  </si>
  <si>
    <t>Priority Setting</t>
  </si>
  <si>
    <t>Digital Modernization</t>
  </si>
  <si>
    <t>KM Systems</t>
  </si>
  <si>
    <t>System Deficit</t>
  </si>
  <si>
    <t>ECM (Enterprise Content Management)</t>
  </si>
  <si>
    <t>Site-Specific Rollouts</t>
  </si>
  <si>
    <t>Ongoing Costs</t>
  </si>
  <si>
    <t>System Operations</t>
  </si>
  <si>
    <t>MIS Systems</t>
  </si>
  <si>
    <t>Demand Forecasting</t>
  </si>
  <si>
    <t>Risk Mitigation</t>
  </si>
  <si>
    <t>System Monitoring</t>
  </si>
  <si>
    <t>National Infrastructure</t>
  </si>
  <si>
    <t>Collaboration Tools</t>
  </si>
  <si>
    <t>Service Innovation</t>
  </si>
  <si>
    <t>Innovation Strategy</t>
  </si>
  <si>
    <t>Risk Assessment</t>
  </si>
  <si>
    <t>Legacy Replacement</t>
  </si>
  <si>
    <t>System Modernization</t>
  </si>
  <si>
    <t>KPIs / Metrics</t>
  </si>
  <si>
    <t>Demand Modeling</t>
  </si>
  <si>
    <t>Preventive Care Systems</t>
  </si>
  <si>
    <t>Early Intervention Tools</t>
  </si>
  <si>
    <t>Risk Management</t>
  </si>
  <si>
    <t>Strategic Goals</t>
  </si>
  <si>
    <t>Decision Framework</t>
  </si>
  <si>
    <t>Portfolio Management</t>
  </si>
  <si>
    <t>Resource Prioritization</t>
  </si>
  <si>
    <t>Prioritization Matrix</t>
  </si>
  <si>
    <t>Vendor Management</t>
  </si>
  <si>
    <t>Execution Management</t>
  </si>
  <si>
    <t>Outcome Evaluation</t>
  </si>
  <si>
    <t>Project Management</t>
  </si>
  <si>
    <t>Compliance Framework</t>
  </si>
  <si>
    <t>Continuous Improvement</t>
  </si>
  <si>
    <t>Change Strategy</t>
  </si>
  <si>
    <t>Policy Environment</t>
  </si>
  <si>
    <t>System Upgrade</t>
  </si>
  <si>
    <t>Workforce / Budget</t>
  </si>
  <si>
    <t>Resource Bottlenecks</t>
  </si>
  <si>
    <t>Resource Allocation Tools</t>
  </si>
  <si>
    <t>Efficiency Tools</t>
  </si>
  <si>
    <t>Utilization Metrics</t>
  </si>
  <si>
    <t>Service Charter</t>
  </si>
  <si>
    <t>Operational Support</t>
  </si>
  <si>
    <t>Risk Management Tools</t>
  </si>
  <si>
    <t>Occupational Safety</t>
  </si>
  <si>
    <t>Project Governance</t>
  </si>
  <si>
    <t>Encrypted Communication</t>
  </si>
  <si>
    <t>Risk Register</t>
  </si>
  <si>
    <t>Project Capability</t>
  </si>
  <si>
    <t>LMS</t>
  </si>
  <si>
    <t>Workforce Development</t>
  </si>
  <si>
    <t>Version Control</t>
  </si>
  <si>
    <t>ROI Analysis</t>
  </si>
  <si>
    <t>Workforce Planning</t>
  </si>
  <si>
    <t>Professional Development</t>
  </si>
  <si>
    <t>Compliance Management</t>
  </si>
  <si>
    <t>Data Standards</t>
  </si>
  <si>
    <t>Universal Access</t>
  </si>
  <si>
    <t>ITIL / SOPs</t>
  </si>
  <si>
    <t>Training Programs</t>
  </si>
  <si>
    <t>Logistics Systems</t>
  </si>
  <si>
    <t>Service Desk</t>
  </si>
  <si>
    <t>Strategic Support</t>
  </si>
  <si>
    <t>End-User Support</t>
  </si>
  <si>
    <t>Model of Care</t>
  </si>
  <si>
    <t>Sustainability Planning</t>
  </si>
  <si>
    <t>HR Strategy</t>
  </si>
  <si>
    <t>Deployment Planning</t>
  </si>
  <si>
    <t>Future Planning</t>
  </si>
  <si>
    <t>Modernization Strategy</t>
  </si>
  <si>
    <t>Technical Support</t>
  </si>
  <si>
    <t>Implementation Planning</t>
  </si>
  <si>
    <t>Responsiveness</t>
  </si>
  <si>
    <t>Platform Architecture</t>
  </si>
  <si>
    <t>Identity Management</t>
  </si>
  <si>
    <t>User Scalability</t>
  </si>
  <si>
    <t>Personalization</t>
  </si>
  <si>
    <t>Scheduling Tools</t>
  </si>
  <si>
    <t>Business Process Management</t>
  </si>
  <si>
    <t>Reporting Systems
Redundancy Management</t>
  </si>
  <si>
    <t>System Silos
System Modernization
System Interoperability</t>
  </si>
  <si>
    <t>Data Management
Standards Adherence
Demand Modeling</t>
  </si>
  <si>
    <t>Stakeholder Engagement
Standards-based Integration
Workflow Management</t>
  </si>
  <si>
    <t>Lean Architecture
Deployment Planning
Sustainability Planning
Risk Mitigation
Training Programs</t>
  </si>
  <si>
    <t>End-User Support
Program Governance
Cost Efficiency</t>
  </si>
  <si>
    <t>IT-Business Alignment
Risk Management Tools
System Dependencies</t>
  </si>
  <si>
    <t>Equity
System Upgrade
Vendor Management</t>
  </si>
  <si>
    <t>Scheduling
Implementation Planning
Service Desk
MIS Systems</t>
  </si>
  <si>
    <t>Stakeholder Engagement
Helpdesk / User Services
HR Systems</t>
  </si>
  <si>
    <t>Resource Allocation Tools
Performance Tuning
Strategic Planning</t>
  </si>
  <si>
    <t>Resource Prioritization
Funding Sources
Core Services</t>
  </si>
  <si>
    <t>Business Process Management
Decision Support Systems
Resource Allocation Tools
Open Access</t>
  </si>
  <si>
    <t>Core Platform Integration
Open Access
Resource Allocation Tools</t>
  </si>
  <si>
    <t>Unified Platforms
Open Access
Resource Allocation Tools
Data Standards
Stakeholder Engagement</t>
  </si>
  <si>
    <t>Implementation Planning
Universal Access
Utilization Metrics
Demand Forecasting</t>
  </si>
  <si>
    <t>Scalability
Service Design
Future Planning</t>
  </si>
  <si>
    <t>Workforce Planning
Priority Services
User Scalability</t>
  </si>
  <si>
    <t>KM Systems
Digital Modernization</t>
  </si>
  <si>
    <t>Cost Analysis
Procurement Strategy</t>
  </si>
  <si>
    <t>Compliance Framework
System Scalability
Occupational Safety</t>
  </si>
  <si>
    <t>Communication Tools
Governance
Workforce Development
Scheduling Tools</t>
  </si>
  <si>
    <t>System Deficit
Modernization Strategy</t>
  </si>
  <si>
    <t>Integrated Service Design
Risk Register
Service Innovation</t>
  </si>
  <si>
    <t>Service Planning
Business Process Management
Policy Objectives
Implementation Roadmap</t>
  </si>
  <si>
    <t>Results-Based Planning
Strategic Support
Change Management
Policy Alignment</t>
  </si>
  <si>
    <t>Early Intervention Tools
UX Design
Forecasting
Stakeholder Engagement
Service Costing
HR Strategy
Risk Assessment</t>
  </si>
  <si>
    <t>Risk Mitigation
Risk Management
Predictive Analytics</t>
  </si>
  <si>
    <t>Process Optimization
Collaboration Tools
Workflow Systems
Continuous Improvement
Resource Optimization</t>
  </si>
  <si>
    <t>Risk and Opportunity Analysis
Policy Compliance</t>
  </si>
  <si>
    <t>Innovation Strategy
Strategic Goals</t>
  </si>
  <si>
    <t>Policy Objectives
Change Strategy
Change Initiatives
Inclusive Design
Preventive Care Systems</t>
  </si>
  <si>
    <t>Interagency Cooperation
System Architecture
National Infrastructure
Policy Environment</t>
  </si>
  <si>
    <t>Compliance and Standards
Long-term Planning
Standards-based Integration
Data Standards
Identity Management
Digital Health Records
IAM
Encrypted Communication
Logistics Systems</t>
  </si>
  <si>
    <t>Organizational Change
Transformation Planning
Rollout Process</t>
  </si>
  <si>
    <t>ICT Strategic Planning
Priority Setting
Financial Planning
Execution Management</t>
  </si>
  <si>
    <t>Portfolio Management
ROI Analysis
Organizational Value
Process Standardization
Governance Structure</t>
  </si>
  <si>
    <t>Project Metrics
Decision Framework
System Monitoring
Strategic Alignment</t>
  </si>
  <si>
    <t>Joint Program Delivery
Governance Integration
Dev Standards</t>
  </si>
  <si>
    <t>ECM (Enterprise Content Management)
Resource Bottlenecks
LMS
Project Governance</t>
  </si>
  <si>
    <t>Strategic Planning
Timeline Risk
Resource Management</t>
  </si>
  <si>
    <t>Program Oversight
Unified Platforms
Integration Architecture</t>
  </si>
  <si>
    <t>Responsiveness
Data Quality
Reporting Systems
Data Interoperability
Platform Architecture
Open Data / Interoperability
Privacy and Security</t>
  </si>
  <si>
    <t>Decision Framework
Strategic Planning
System Monitoring</t>
  </si>
  <si>
    <t>Infrastructure Optimization
Data Standards
Efficiency Tools</t>
  </si>
  <si>
    <t>System Integration
Compliance Management
Data Governance</t>
  </si>
  <si>
    <t>Strategic Cohesion</t>
  </si>
  <si>
    <t>Resilient Execution</t>
  </si>
  <si>
    <t>Sustainable Systems</t>
  </si>
  <si>
    <t>Governance with Integrity</t>
  </si>
  <si>
    <t>Strategic Project Leadership</t>
  </si>
  <si>
    <t>Sustainable Efficiency</t>
  </si>
  <si>
    <t>Accountable Risk Management</t>
  </si>
  <si>
    <t>Consistent Excellence</t>
  </si>
  <si>
    <t>Forward-Thinking Leadership</t>
  </si>
  <si>
    <t>Innovative Evolution</t>
  </si>
  <si>
    <t>Reliable Implementation</t>
  </si>
  <si>
    <t>Responsive Support</t>
  </si>
  <si>
    <t>Data Security, Quality and Privacy
Resource Management and Utilization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</si>
  <si>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</si>
  <si>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</si>
  <si>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</si>
  <si>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</si>
  <si>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</si>
  <si>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</si>
  <si>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</si>
  <si>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</si>
  <si>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</si>
  <si>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</si>
  <si>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Program and Project Management</t>
  </si>
  <si>
    <t>Operational Effectiveness and Efficiency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</si>
  <si>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</si>
  <si>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</si>
  <si>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</si>
  <si>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</si>
  <si>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</si>
  <si>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</si>
  <si>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</si>
  <si>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</si>
  <si>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</si>
  <si>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</si>
  <si>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</si>
  <si>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</si>
  <si>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</si>
  <si>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</si>
  <si>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</si>
  <si>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</si>
  <si>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</si>
  <si>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</si>
  <si>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System Deployment and Integration
System Maintenance and Support
Consumer Experience and Support
Implementation Challenges and Delays</t>
  </si>
  <si>
    <t>Resource Management and Utilization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</si>
  <si>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</si>
  <si>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</si>
  <si>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</si>
  <si>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</si>
  <si>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</si>
  <si>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</si>
  <si>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Consumer Experience and Support
Policy and Organizational Reform
Business Alignment
Data and Information Management
Strategic Planning and Development</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</si>
  <si>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</si>
  <si>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</si>
  <si>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</si>
  <si>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</si>
  <si>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</si>
  <si>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</si>
  <si>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</si>
  <si>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Financial Management and Budgeting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</si>
  <si>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</si>
  <si>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</si>
  <si>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</si>
  <si>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</si>
  <si>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</si>
  <si>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</si>
  <si>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</si>
  <si>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</si>
  <si>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</si>
  <si>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</si>
  <si>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</si>
  <si>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</si>
  <si>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</si>
  <si>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Operational Effectiveness and Efficiency
Data and Information Management</t>
  </si>
  <si>
    <t>Current Sub Group</t>
  </si>
  <si>
    <t>Total Rows:</t>
  </si>
  <si>
    <t>21</t>
  </si>
  <si>
    <t>Total Rows: 0</t>
  </si>
  <si>
    <t>User Accessibility Solutions</t>
  </si>
  <si>
    <t>Accessibility APIs, adaptive UI frameworks, assistive technologies, and responsive design across platforms.</t>
  </si>
  <si>
    <t>Data Analytics and Reporting</t>
  </si>
  <si>
    <t>Data warehouses, BI tools (like Power BI, Tableau), ETL processes, and real-time dashboards.</t>
  </si>
  <si>
    <t>Analytics Framework Integration</t>
  </si>
  <si>
    <t>Data integration platforms, API gateways, centralized data lakes, and analytics engines.</t>
  </si>
  <si>
    <t>Application Lifecycle Management</t>
  </si>
  <si>
    <t>DevOps pipelines, container orchestration (Kubernetes), version control, and monitoring tools.</t>
  </si>
  <si>
    <t>Application Categorization</t>
  </si>
  <si>
    <t>Metadata repositories, CMDB systems, and application portfolio management tools.</t>
  </si>
  <si>
    <t>Application Design Strategy</t>
  </si>
  <si>
    <t>Modular architecture, microservices, API management, and user-centered design platforms.</t>
  </si>
  <si>
    <t>IT Asset Management</t>
  </si>
  <si>
    <t>Inventory management systems, hardware monitoring tools, and configuration management databases.</t>
  </si>
  <si>
    <t>Process Automation</t>
  </si>
  <si>
    <t>RPA tools (UiPath, Automation Anywhere), workflow engines, and scripting frameworks.</t>
  </si>
  <si>
    <t>Benefits Management Framework</t>
  </si>
  <si>
    <t>Performance tracking software, KPI dashboards, and financial modeling tools.</t>
  </si>
  <si>
    <t>Best Practice Implementation</t>
  </si>
  <si>
    <t>Compliance management systems, policy enforcement software, and audit trail logging.</t>
  </si>
  <si>
    <t>Budget Constraint Handling</t>
  </si>
  <si>
    <t>Financial planning software, cost tracking systems, and resource allocation platforms.</t>
  </si>
  <si>
    <t>Budget Allocation Strategies</t>
  </si>
  <si>
    <t>ERP systems, budgeting modules, and portfolio management software.</t>
  </si>
  <si>
    <t>Accounting software, financial databases, and forecasting tools.</t>
  </si>
  <si>
    <t>Business Case Development</t>
  </si>
  <si>
    <t>Project management tools, ROI calculators, and collaboration platforms.</t>
  </si>
  <si>
    <t>Business Continuity Planning</t>
  </si>
  <si>
    <t>Backup and recovery systems, failover clusters, and disaster recovery platforms.</t>
  </si>
  <si>
    <t>BPM suites (Appian, Pega), workflow automation tools, and process modeling software.</t>
  </si>
  <si>
    <t>BPM platforms (e.g., Appian, Pega), workflow engines, process automation tools.</t>
  </si>
  <si>
    <t>Infrastructure monitoring tools, capacity modeling software, cloud resource management.</t>
  </si>
  <si>
    <t>Financial planning software, ERP systems, investment portfolio management tools.</t>
  </si>
  <si>
    <t>Patient management systems, health information exchanges, secure messaging platforms.</t>
  </si>
  <si>
    <t>CRM systems, document management, integrated health IT platforms.</t>
  </si>
  <si>
    <t>Change management software, communication platforms, project tracking tools.</t>
  </si>
  <si>
    <t>Collaboration tools, training portals, feedback and adoption tracking systems.</t>
  </si>
  <si>
    <t>Readiness assessment tools, survey platforms, stakeholder engagement systems.</t>
  </si>
  <si>
    <t>Strategic planning software, roadmapping tools, business intelligence dashboards.</t>
  </si>
  <si>
    <t>Team communication apps (e.g., Teams, Slack), document sharing platforms, virtual meeting tech.</t>
  </si>
  <si>
    <t>Unified communications systems, VoIP, video conferencing platforms.</t>
  </si>
  <si>
    <t>Policy management systems, audit tools, compliance tracking software.</t>
  </si>
  <si>
    <t>Governance platforms, risk management tools, regulatory reporting systems.</t>
  </si>
  <si>
    <t>Workflow enforcement tools, automated compliance monitoring, reporting dashboards.</t>
  </si>
  <si>
    <t>Performance monitoring tools, quality management software, analytics platforms.</t>
  </si>
  <si>
    <t>Middleware, API management tools, ESB (Enterprise Service Bus), microservices architecture.</t>
  </si>
  <si>
    <t>Application servers, service orchestration platforms, API gateways.</t>
  </si>
  <si>
    <t>Financial analytics software, cost modeling tools, procurement databases.</t>
  </si>
  <si>
    <t>Resource management platforms, cost tracking systems, optimization algorithms.</t>
  </si>
  <si>
    <t>Firewalls, intrusion detection systems, endpoint protection, identity and access management.</t>
  </si>
  <si>
    <t>ETL tools, data capture applications, IoT sensors, data pipelines.</t>
  </si>
  <si>
    <t>Data cataloging, metadata management, master data management systems.</t>
  </si>
  <si>
    <t>Data integration platforms, API connectors, standard data exchange protocols (e.g., HL7, FHIR).</t>
  </si>
  <si>
    <t>Database management systems, data lakes, cloud storage solutions.</t>
  </si>
  <si>
    <t>Data cleansing tools, validation software, profiling and monitoring tools.</t>
  </si>
  <si>
    <t>Industry-standard schemas, ontologies, data dictionaries, protocol compliance.</t>
  </si>
  <si>
    <t>Decision modeling tools, rule engines, workflow automation.</t>
  </si>
  <si>
    <t>BI platforms, predictive analytics engines, data visualization tools.</t>
  </si>
  <si>
    <t>Statistical modeling software, machine learning platforms, time series analysis tools.</t>
  </si>
  <si>
    <t>Simulation software, scenario planning tools, demand management platforms.</t>
  </si>
  <si>
    <t>CI/CD pipelines, containerization (Docker), infrastructure as code (Terraform).</t>
  </si>
  <si>
    <t>Project management software, release management tools, configuration management.</t>
  </si>
  <si>
    <t>Coding standards enforcement tools, static analysis, version control systems.</t>
  </si>
  <si>
    <t>EHR/EMR platforms, secure cloud hosting, compliance with health data regulations (HIPAA, etc.).</t>
  </si>
  <si>
    <t>Cloud migration tools, microservices, container orchestration, legacy system refactoring.</t>
  </si>
  <si>
    <t>Predictive analytics, alerting systems, patient monitoring platforms.</t>
  </si>
  <si>
    <t>Document management systems, metadata tagging, workflow automation.</t>
  </si>
  <si>
    <t>Monitoring software, load balancers, resource scheduling platforms.</t>
  </si>
  <si>
    <t>End-to-end encryption protocols, secure messaging platforms, PKI infrastructure.</t>
  </si>
  <si>
    <t>Helpdesk software, remote desktop tools, ticketing systems.</t>
  </si>
  <si>
    <t>Inclusive design frameworks, accessibility technology, multilingual platforms.</t>
  </si>
  <si>
    <t>Performance monitoring, gap analysis tools, workflow optimization software.</t>
  </si>
  <si>
    <t>Project tracking software, status dashboards, resource allocation tools.</t>
  </si>
  <si>
    <t>Budgeting software, forecasting models, financial dashboards.</t>
  </si>
  <si>
    <t>Predictive analytics, trend analysis tools, scenario modeling platforms.</t>
  </si>
  <si>
    <t>Financial management systems, grant tracking tools, funding databases.</t>
  </si>
  <si>
    <t>Strategic planning software, scenario analysis tools, business intelligence.</t>
  </si>
  <si>
    <t>Policy management systems, compliance tracking, audit management tools.</t>
  </si>
  <si>
    <t>Integrated risk management platforms, cross-department workflow tools.</t>
  </si>
  <si>
    <t>Organizational chart software, collaboration platforms, communication channels.</t>
  </si>
  <si>
    <t>Patient education portals, multimedia content delivery systems, accessibility software.</t>
  </si>
  <si>
    <t>Ticketing systems, knowledge bases, live chat and call center software.</t>
  </si>
  <si>
    <t>Workforce planning tools, talent management software, analytics dashboards.</t>
  </si>
  <si>
    <t>Payroll systems, employee databases, performance management platforms.</t>
  </si>
  <si>
    <t>Identity providers, Single Sign-On (SSO), multi-factor authentication, directory services.</t>
  </si>
  <si>
    <t>Roadmapping tools, portfolio management software, stakeholder collaboration platforms.</t>
  </si>
  <si>
    <t>Unique identifier systems, authentication protocols, identity federation services.</t>
  </si>
  <si>
    <t>Project management software, resource planning tools, risk assessment platforms.</t>
  </si>
  <si>
    <t>Timeline tools, milestone tracking software, dependency mapping tools.</t>
  </si>
  <si>
    <t>User research platforms, accessibility testing tools, UI/UX design software.</t>
  </si>
  <si>
    <t>APIs, secure data transfer protocols, integration middleware.</t>
  </si>
  <si>
    <t>Network monitoring, virtualization platforms, cloud cost management tools.</t>
  </si>
  <si>
    <t>Idea management platforms, R&amp;D tracking software, technology scouting tools.</t>
  </si>
  <si>
    <t>Service design software, cross-system integration platforms, user journey mapping tools.</t>
  </si>
  <si>
    <t>API gateways, ESB, microservices architecture, message brokers.</t>
  </si>
  <si>
    <t>Secure collaboration platforms, data sharing agreements, federation technologies.</t>
  </si>
  <si>
    <t>Balanced scorecards, strategy mapping tools, collaboration platforms.</t>
  </si>
  <si>
    <t>Process documentation tools, service management platforms, compliance tracking.</t>
  </si>
  <si>
    <t>Collaborative project management tools, communication platforms, shared resource pools.</t>
  </si>
  <si>
    <t>Customer experience software, analytics platforms, visualization tools.</t>
  </si>
  <si>
    <t>Knowledge bases, document management, collaboration software.</t>
  </si>
  <si>
    <t>Performance dashboards, data visualization tools, business intelligence platforms.</t>
  </si>
  <si>
    <t>Modular infrastructure, containerization, cloud-native services.</t>
  </si>
  <si>
    <t>Migration tools, modernization frameworks, virtualization software.</t>
  </si>
  <si>
    <t>Mainframe environments, older database systems, on-premises servers.</t>
  </si>
  <si>
    <t>E-learning platforms, content management systems, training analytics software.</t>
  </si>
  <si>
    <t>Supply chain management software, inventory tracking, transportation management.</t>
  </si>
  <si>
    <t>Strategic planning software, forecasting models, scenario analysis tools.</t>
  </si>
  <si>
    <t>Standards compliance tools, integration frameworks, API adapters.</t>
  </si>
  <si>
    <t>Management dashboards, reporting tools, database systems.</t>
  </si>
  <si>
    <t>Clinical management software, patient engagement platforms, analytics tools.</t>
  </si>
  <si>
    <t>Cloud adoption frameworks, microservices, DevOps toolchains.</t>
  </si>
  <si>
    <t>Wide area networks, government cloud services, shared service platforms.</t>
  </si>
  <si>
    <t>Safety monitoring systems, compliance software, incident reporting tools.</t>
  </si>
  <si>
    <t>Cost tracking systems, budgeting tools, maintenance scheduling software.</t>
  </si>
  <si>
    <t>Public portals, content management systems, API gateways.</t>
  </si>
  <si>
    <t>Open data standards, APIs, data portals.</t>
  </si>
  <si>
    <t>Service management tools, helpdesk platforms, infrastructure monitoring.</t>
  </si>
  <si>
    <t>Change management platforms, communication tools, training software.</t>
  </si>
  <si>
    <t>Performance measurement systems, value tracking tools, business intelligence.</t>
  </si>
  <si>
    <t>Data analytics platforms, survey tools, reporting dashboards.</t>
  </si>
  <si>
    <t>KPI tracking tools, performance dashboards, data visualization software.</t>
  </si>
  <si>
    <t>Monitoring tools, system optimization software, load balancers.</t>
  </si>
  <si>
    <t>User profiling systems, recommendation engines, adaptive UI frameworks.</t>
  </si>
  <si>
    <t>Cloud platforms, microservices architecture, container orchestration.</t>
  </si>
  <si>
    <t>Compliance management systems, policy repositories, audit tools.</t>
  </si>
  <si>
    <t>Strategy mapping software, governance frameworks, collaboration platforms.</t>
  </si>
  <si>
    <t>Automated compliance monitoring, reporting systems, risk assessment tools.</t>
  </si>
  <si>
    <t>Regulatory databases, legislative tracking tools, risk management platforms.</t>
  </si>
  <si>
    <t>Strategic planning tools, balanced scorecards, performance management software.</t>
  </si>
  <si>
    <t>Project portfolio management (PPM) tools, resource allocation software.</t>
  </si>
  <si>
    <t>Machine learning platforms, data mining tools, statistical software.</t>
  </si>
  <si>
    <t>Health monitoring devices, alerting platforms, patient engagement software.</t>
  </si>
  <si>
    <t>Decision support software, scoring tools, resource management platforms.</t>
  </si>
  <si>
    <t>Service catalogues, resource planning tools, demand management software.</t>
  </si>
  <si>
    <t>Strategic planning tools, stakeholder engagement software, analytics platforms.</t>
  </si>
  <si>
    <t>Encryption tools, access control systems, data loss prevention software.</t>
  </si>
  <si>
    <t>Workflow engines, automation platforms, process mining tools.</t>
  </si>
  <si>
    <t>SOP management software, compliance tools, training platforms.</t>
  </si>
  <si>
    <t>Vendor management systems, procurement software, contract management tools.</t>
  </si>
  <si>
    <t>Learning management systems, training tracking software, e-learning platforms.</t>
  </si>
  <si>
    <t>Governance platforms, risk management tools, compliance dashboards.</t>
  </si>
  <si>
    <t>Project tracking software, status reporting tools, issue management platforms.</t>
  </si>
  <si>
    <t>Project management software, resource planning tools, collaboration platforms.</t>
  </si>
  <si>
    <t>Risk and compliance software, stakeholder management tools, reporting dashboards.</t>
  </si>
  <si>
    <t>Scheduling tools, collaboration platforms, resource allocation software.</t>
  </si>
  <si>
    <t>KPI dashboards, analytics tools, reporting software.</t>
  </si>
  <si>
    <t>Data deduplication tools, system monitoring, backup and recovery systems.</t>
  </si>
  <si>
    <t>Business intelligence platforms, dashboard software, data visualization tools.</t>
  </si>
  <si>
    <t>Capacity planning software, scheduling tools, resource management platforms.</t>
  </si>
  <si>
    <t>Performance monitoring, workflow analysis software, optimization tools.</t>
  </si>
  <si>
    <t>Workforce management software, budgeting tools, project tracking systems.</t>
  </si>
  <si>
    <t>Automation tools, analytics platforms, load balancing systems.</t>
  </si>
  <si>
    <t>Decision support tools, portfolio management software, resource planning platforms.</t>
  </si>
  <si>
    <t>Incident management systems, alerting platforms, customer support software.</t>
  </si>
  <si>
    <t>Performance management software, strategic planning tools, reporting dashboards.</t>
  </si>
  <si>
    <t>Risk management platforms, SWOT analysis tools, scenario planning software.</t>
  </si>
  <si>
    <t>Risk scoring tools, audit management software, compliance tracking systems.</t>
  </si>
  <si>
    <t>Incident tracking software, mitigation planning tools, policy enforcement platforms.</t>
  </si>
  <si>
    <t>Risk registers, compliance monitoring software, reporting dashboards.</t>
  </si>
  <si>
    <t>Contingency planning software, issue tracking systems, response coordination tools.</t>
  </si>
  <si>
    <t>Financial modeling tools, business case software, investment tracking systems.</t>
  </si>
  <si>
    <t>Deployment automation tools, change management software, communication platforms.</t>
  </si>
  <si>
    <t>Cloud infrastructure, load balancers, elastic resource provisioning.</t>
  </si>
  <si>
    <t>Project management software, calendar integration, workflow automation tools.</t>
  </si>
  <si>
    <t>Workforce scheduling software, task management systems, resource planners.</t>
  </si>
  <si>
    <t>Monitoring systems, failover infrastructure, SLA tracking software.</t>
  </si>
  <si>
    <t>Policy management platforms, communication portals, service level documentation.</t>
  </si>
  <si>
    <t>Cost tracking software, financial planning tools, billing systems.</t>
  </si>
  <si>
    <t>UX/UI design tools, service blueprinting software, customer journey mapping.</t>
  </si>
  <si>
    <t>Ticketing systems, knowledge bases, remote support software.</t>
  </si>
  <si>
    <t>Survey tools, analytics platforms, performance dashboards.</t>
  </si>
  <si>
    <t>Idea management platforms, R&amp;D tracking software, prototyping tools.</t>
  </si>
  <si>
    <t>Capacity planning software, demand forecasting tools, strategic planning platforms.</t>
  </si>
  <si>
    <t>Project management tools, localized deployment platforms, communication systems.</t>
  </si>
  <si>
    <t>Version control systems, CI/CD pipelines, code review tools.</t>
  </si>
  <si>
    <t>Collaboration platforms, survey software, communication tools.</t>
  </si>
  <si>
    <t>Code quality tools, compliance software, audit management systems.</t>
  </si>
  <si>
    <t>API management, middleware platforms, protocol converters.</t>
  </si>
  <si>
    <t>Balanced scorecards, strategy mapping tools, performance management platforms.</t>
  </si>
  <si>
    <t>Goal-setting software, KPI tracking tools, executive dashboards.</t>
  </si>
  <si>
    <t>Roadmapping tools, portfolio management software, scenario analysis tools.</t>
  </si>
  <si>
    <t>Collaboration platforms, project management tools, communication systems.</t>
  </si>
  <si>
    <t>Environmental monitoring software, sustainability reporting tools, analytics platforms.</t>
  </si>
  <si>
    <t>Cloud platforms, microservices, network topology management.</t>
  </si>
  <si>
    <t>Gap analysis tools, system health monitoring, modernization frameworks.</t>
  </si>
  <si>
    <t>Configuration management databases, dependency mapping tools, orchestration platforms.</t>
  </si>
  <si>
    <t>Middleware, API gateways, data transformation services.</t>
  </si>
  <si>
    <t>Standard protocols (SOAP, REST), API management, messaging queues.</t>
  </si>
  <si>
    <t>Legacy system migration tools, cloud adoption platforms, containerization.</t>
  </si>
  <si>
    <t>Monitoring dashboards, alerting systems, log management tools.</t>
  </si>
  <si>
    <t>IT service management platforms, automation tools, incident response systems.</t>
  </si>
  <si>
    <t>Cloud auto-scaling, load balancing, distributed databases.</t>
  </si>
  <si>
    <t>Data integration platforms, cross-department communication tools, centralized repositories.</t>
  </si>
  <si>
    <t>Patch management tools, deployment automation, testing frameworks.</t>
  </si>
  <si>
    <t>ESB, API gateways, event-driven architectures.</t>
  </si>
  <si>
    <t>Remote support software, knowledge management, helpdesk systems.</t>
  </si>
  <si>
    <t>Project risk management software, scheduling tools, issue tracking.</t>
  </si>
  <si>
    <t>LMS, e-learning platforms, training content management.</t>
  </si>
  <si>
    <t>Change management platforms, roadmap software, communication tools.</t>
  </si>
  <si>
    <t>Project scheduling, resource allocation software, stakeholder engagement platforms.</t>
  </si>
  <si>
    <t>Cloud platforms, integrated application suites, API management.</t>
  </si>
  <si>
    <t>Responsive web design, cross-platform frameworks, accessibility tools.</t>
  </si>
  <si>
    <t>Load testing tools, cloud elasticity, session management.</t>
  </si>
  <si>
    <t>Monitoring dashboards, analytics platforms, performance tracking tools.</t>
  </si>
  <si>
    <t>Prototyping tools, user testing platforms, accessibility compliance software.</t>
  </si>
  <si>
    <t>Procurement software, contract management systems, supplier portals.</t>
  </si>
  <si>
    <t>Git, SVN, repository hosting platforms like GitHub, GitLab.</t>
  </si>
  <si>
    <t>Workflow engines, BPM software, task automation platforms.</t>
  </si>
  <si>
    <t>Business process automation tools, collaboration platforms, monitoring software.</t>
  </si>
  <si>
    <t>Resource planning tools, budgeting software, workforce analytics.</t>
  </si>
  <si>
    <t>LMS, career planning software, skills tracking platforms.</t>
  </si>
  <si>
    <t>Risk repository systems, mitigation tracking platforms, compliance dashboards.</t>
  </si>
  <si>
    <t>Forecasting tools, capacity planning software, recruitment systems</t>
  </si>
  <si>
    <t>Strategic Planning
KPIs / Metrics
Systems Integration
Sustainability Planning
Policy &amp; Regulation</t>
  </si>
  <si>
    <t>IT-Business Alignment
Program Oversight
Capacity Planning
Strategic Planning</t>
  </si>
  <si>
    <t>Personalization
Open Access
Process Automation</t>
  </si>
  <si>
    <t>Analytics Framework Integration
Workforce / Budget
Budgeting Systems</t>
  </si>
  <si>
    <t>Data Collection
Scalability
Business Process Management</t>
  </si>
  <si>
    <t>Health Literacy Tools
Stakeholder Engagement
Care Coordination Systems</t>
  </si>
  <si>
    <t>Budget Constraint Handling
Project Capability
Change Readiness</t>
  </si>
  <si>
    <t>Budget Allocation Strategies
Prioritization Matrix
Project Management</t>
  </si>
  <si>
    <t>Service Availability
Service Evaluation
Capital Planning
Model of Care
Long-term Planning
Journey Mapping
UX Design
Service Design</t>
  </si>
  <si>
    <t>Operational Support
Deployment
System Operations
Service Desk
IT Asset Management
Version Control</t>
  </si>
  <si>
    <t>Service Charter
Site-Specific Rollouts
Transition Planning
Professional Development
Benefits Management Framework</t>
  </si>
  <si>
    <t>ITIL / SOPs
Best Practice Implementation</t>
  </si>
  <si>
    <t>Application Categorization
Application Lifecycle Management
Resource Allocation Tools
Outcome Measurement</t>
  </si>
  <si>
    <t>Business Case Development
Risk Management Tools
Execution Gap</t>
  </si>
  <si>
    <t>Software Development Lifecycle
Methodological Compatibility
Data Analytics and Reporting</t>
  </si>
  <si>
    <t>User Accessibility Solutions
Governance
Application Design Strategy</t>
  </si>
  <si>
    <t>Case Management Systems
Business Continuity Planning
Cybersecurity
Privacy and Security</t>
  </si>
  <si>
    <t>Business intelligence platforms, dashboard software, data visualization tools.
Data deduplication tools, system monitoring, backup and recovery systems.</t>
  </si>
  <si>
    <t>Data integration platforms, cross-department communication tools, centralized repositories.
Legacy system migration tools, cloud adoption platforms, containerization.
Standard protocols (SOAP, REST), API management, messaging queues.</t>
  </si>
  <si>
    <t>Roadmapping tools, portfolio management software, scenario analysis tools.
Performance dashboards, data visualization tools, business intelligence platforms.
ESB, API gateways, event-driven architectures.
Environmental monitoring software, sustainability reporting tools, analytics platforms.
Compliance management systems, policy repositories, audit tools.</t>
  </si>
  <si>
    <t>Database management systems, data lakes, cloud storage solutions.
Code quality tools, compliance software, audit management systems.
Simulation software, scenario planning tools, demand management platforms.</t>
  </si>
  <si>
    <t>Collaboration platforms, survey software, communication tools.
API management, middleware platforms, protocol converters.
Workflow engines, BPM software, task automation platforms.</t>
  </si>
  <si>
    <t>Modular infrastructure, containerization, cloud-native services.
Project management software, release management tools, configuration management.
Environmental monitoring software, sustainability reporting tools, analytics platforms.
Contingency planning software, issue tracking systems, response coordination tools.
LMS, e-learning platforms, training content management.</t>
  </si>
  <si>
    <t>Helpdesk software, remote desktop tools, ticketing systems.
Governance platforms, risk management tools, compliance dashboards.
Resource management platforms, cost tracking systems, optimization algorithms.</t>
  </si>
  <si>
    <t>Balanced scorecards, strategy mapping tools, collaboration platforms.
Project tracking software, status reporting tools, issue management platforms.
Infrastructure monitoring tools, capacity modeling software, cloud resource management.
Roadmapping tools, portfolio management software, scenario analysis tools.</t>
  </si>
  <si>
    <t>Balanced scorecards, strategy mapping tools, collaboration platforms.
Risk registers, compliance monitoring software, reporting dashboards.
Configuration management databases, dependency mapping tools, orchestration platforms.</t>
  </si>
  <si>
    <t>Inclusive design frameworks, accessibility technology, multilingual platforms.
Patch management tools, deployment automation, testing frameworks.
Procurement software, contract management systems, supplier portals.</t>
  </si>
  <si>
    <t>Project management software, calendar integration, workflow automation tools.
Project management software, resource planning tools, risk assessment platforms.
Ticketing systems, knowledge bases, remote support software.
Management dashboards, reporting tools, database systems.</t>
  </si>
  <si>
    <t>Collaboration platforms, survey software, communication tools.
Ticketing systems, knowledge bases, live chat and call center software.
Payroll systems, employee databases, performance management platforms.</t>
  </si>
  <si>
    <t>User profiling systems, recommendation engines, adaptive UI frameworks.
Public portals, content management systems, API gateways.
RPA tools (UiPath, Automation Anywhere), workflow engines, and scripting frameworks.</t>
  </si>
  <si>
    <t>Capacity planning software, scheduling tools, resource management platforms.
Monitoring tools, system optimization software, load balancers.
Roadmapping tools, portfolio management software, scenario analysis tools.</t>
  </si>
  <si>
    <t>Data integration platforms, API gateways, centralized data lakes, and analytics engines.
Resource planning tools, budgeting software, workforce analytics.
Accounting software, financial databases, and forecasting tools.</t>
  </si>
  <si>
    <t>Decision support tools, portfolio management software, resource planning platforms.
Financial management systems, grant tracking tools, funding databases.
Application servers, service orchestration platforms, API gateways.</t>
  </si>
  <si>
    <t>BPM suites (Appian, Pega), workflow automation tools, and process modeling software.
BI platforms, predictive analytics engines, data visualization tools.
Capacity planning software, scheduling tools, resource management platforms.
Public portals, content management systems, API gateways.</t>
  </si>
  <si>
    <t>Middleware, API management tools, ESB (Enterprise Service Bus), microservices architecture.
Public portals, content management systems, API gateways.
Capacity planning software, scheduling tools, resource management platforms.</t>
  </si>
  <si>
    <t>Cloud platforms, integrated application suites, API management.
Public portals, content management systems, API gateways.
Capacity planning software, scheduling tools, resource management platforms.
Industry-standard schemas, ontologies, data dictionaries, protocol compliance.
Collaboration platforms, survey software, communication tools.</t>
  </si>
  <si>
    <t>Project management software, resource planning tools, risk assessment platforms.
Responsive web design, cross-platform frameworks, accessibility tools.
Monitoring dashboards, analytics platforms, performance tracking tools.
Statistical modeling software, machine learning platforms, time series analysis tools.</t>
  </si>
  <si>
    <t>Cloud infrastructure, load balancers, elastic resource provisioning.
UX/UI design tools, service blueprinting software, customer journey mapping.
Strategic planning software, scenario analysis tools, business intelligence.</t>
  </si>
  <si>
    <t>Forecasting tools, capacity planning software, recruitment systems
Service catalogues, resource planning tools, demand management software.
Load testing tools, cloud elasticity, session management.</t>
  </si>
  <si>
    <t>ETL tools, data capture applications, IoT sensors, data pipelines.
Cloud infrastructure, load balancers, elastic resource provisioning.
BPM platforms (e.g., Appian, Pega), workflow engines, process automation tools.</t>
  </si>
  <si>
    <t>Knowledge bases, document management, collaboration software.
Cloud migration tools, microservices, container orchestration, legacy system refactoring.</t>
  </si>
  <si>
    <t>Financial analytics software, cost modeling tools, procurement databases.
Vendor management systems, procurement software, contract management tools.</t>
  </si>
  <si>
    <t>Patient education portals, multimedia content delivery systems, accessibility software.
Collaboration platforms, survey software, communication tools.
Patient management systems, health information exchanges, secure messaging platforms.</t>
  </si>
  <si>
    <t>Governance platforms, risk management tools, regulatory reporting systems.
Cloud auto-scaling, load balancing, distributed databases.
Safety monitoring systems, compliance software, incident reporting tools.</t>
  </si>
  <si>
    <t>Unified communications systems, VoIP, video conferencing platforms.
Policy management systems, compliance tracking, audit management tools.
LMS, career planning software, skills tracking platforms.
Workforce scheduling software, task management systems, resource planners.</t>
  </si>
  <si>
    <t>Gap analysis tools, system health monitoring, modernization frameworks.
Cloud adoption frameworks, microservices, DevOps toolchains.</t>
  </si>
  <si>
    <t>Financial planning software, cost tracking systems, and resource allocation platforms.
Project management software, resource planning tools, collaboration platforms.
Readiness assessment tools, survey platforms, stakeholder engagement systems.</t>
  </si>
  <si>
    <t>ERP systems, budgeting modules, and portfolio management software.
Decision support software, scoring tools, resource management platforms.
Scheduling tools, collaboration platforms, resource allocation software.</t>
  </si>
  <si>
    <t>Service design software, cross-system integration platforms, user journey mapping tools.
Risk repository systems, mitigation tracking platforms, compliance dashboards.
Idea management platforms, R&amp;D tracking software, prototyping tools.</t>
  </si>
  <si>
    <t>Capacity planning software, demand forecasting tools, strategic planning platforms.
Application
Strategic planning tools, balanced scorecards, performance management software.
Timeline tools, milestone tracking software, dependency mapping tools.</t>
  </si>
  <si>
    <t>Performance management software, strategic planning tools, reporting dashboards.
Collaboration platforms, project management tools, communication systems.
Collaboration tools, training portals, feedback and adoption tracking systems.
Strategy mapping software, governance frameworks, collaboration platforms.</t>
  </si>
  <si>
    <t>Predictive analytics, alerting systems, patient monitoring platforms.
Prototyping tools, user testing platforms, accessibility compliance software.
Predictive analytics, trend analysis tools, scenario modeling platforms.
Collaboration platforms, survey software, communication tools.
Cost tracking software, financial planning tools, billing systems.
Workforce planning tools, talent management software, analytics dashboards.
Risk scoring tools, audit management software, compliance tracking systems.</t>
  </si>
  <si>
    <t>Contingency planning software, issue tracking systems, response coordination tools.
Incident tracking software, mitigation planning tools, policy enforcement platforms.
Machine learning platforms, data mining tools, statistical software.</t>
  </si>
  <si>
    <t>Monitoring systems, failover infrastructure, SLA tracking software.
Survey tools, analytics platforms, performance dashboards.
Financial planning software, ERP systems, investment portfolio management tools.
Clinical management software, patient engagement platforms, analytics tools.
Strategic planning software, forecasting models, scenario analysis tools.
Customer experience software, analytics platforms, visualization tools.
Prototyping tools, user testing platforms, accessibility compliance software.
UX/UI design tools, service blueprinting software, customer journey mapping.</t>
  </si>
  <si>
    <t>Workflow engines, automation platforms, process mining tools.
Team communication apps (e.g., Teams, Slack), document sharing platforms, virtual meeting tech.
Business process automation tools, collaboration platforms, monitoring software.
Performance monitoring tools, quality management software, analytics platforms.
Automation tools, analytics platforms, load balancing systems.</t>
  </si>
  <si>
    <t>Risk management platforms, SWOT analysis tools, scenario planning software.
Automated compliance monitoring, reporting systems, risk assessment tools.</t>
  </si>
  <si>
    <t>Idea management platforms, R&amp;D tracking software, technology scouting tools.
Goal-setting software, KPI tracking tools, executive dashboards.</t>
  </si>
  <si>
    <t>Strategic planning tools, balanced scorecards, performance management software.
Strategic planning software, roadmapping tools, business intelligence dashboards.
Change management software, communication platforms, project tracking tools.
User research platforms, accessibility testing tools, UI/UX design software.
Health monitoring devices, alerting platforms, patient engagement software.</t>
  </si>
  <si>
    <t>Secure collaboration platforms, data sharing agreements, federation technologies.
Cloud platforms, microservices, network topology management.
Wide area networks, government cloud services, shared service platforms.
Regulatory databases, legislative tracking tools, risk management platforms.</t>
  </si>
  <si>
    <t>Policy management systems, audit tools, compliance tracking software.
Strategic planning software, forecasting models, scenario analysis tools.
API management, middleware platforms, protocol converters.
Industry-standard schemas, ontologies, data dictionaries, protocol compliance.
Unique identifier systems, authentication protocols, identity federation services.
EHR/EMR platforms, secure cloud hosting, compliance with health data regulations (HIPAA, etc.).
Identity providers, Single Sign-On (SSO), multi-factor authentication, directory services.
End-to-end encryption protocols, secure messaging platforms, PKI infrastructure.
Supply chain management software, inventory tracking, transportation management.</t>
  </si>
  <si>
    <t>Change management platforms, communication tools, training software.
Change management platforms, roadmap software, communication tools.
Deployment automation tools, change management software, communication platforms.</t>
  </si>
  <si>
    <t>Roadmapping tools, portfolio management software, stakeholder collaboration platforms.
Strategic planning tools, stakeholder engagement software, analytics platforms.
Budgeting software, forecasting models, financial dashboards.
Project tracking software, status dashboards, resource allocation tools.</t>
  </si>
  <si>
    <t>Service management tools, helpdesk platforms, infrastructure monitoring.
CI/CD pipelines, containerization (Docker), infrastructure as code (Terraform).
IT service management platforms, automation tools, incident response systems.
Ticketing systems, knowledge bases, remote support software.
Inventory management systems, hardware monitoring tools, and configuration management databases.
Git, SVN, repository hosting platforms like GitHub, GitLab.</t>
  </si>
  <si>
    <t>Policy management platforms, communication portals, service level documentation.
Project management tools, localized deployment platforms, communication systems.
Project scheduling, resource allocation software, stakeholder engagement platforms.
Learning management systems, training tracking software, e-learning platforms.
Performance tracking software, KPI dashboards, and financial modeling tools.</t>
  </si>
  <si>
    <t>Project portfolio management (PPM) tools, resource allocation software.
Financial modeling tools, business case software, investment tracking systems.
Performance measurement systems, value tracking tools, business intelligence.
SOP management software, compliance tools, training platforms.
Organizational chart software, collaboration platforms, communication channels.</t>
  </si>
  <si>
    <t>KPI dashboards, analytics tools, reporting software.
Decision modeling tools, rule engines, workflow automation.
Monitoring dashboards, alerting systems, log management tools.
Balanced scorecards, strategy mapping tools, performance management platforms.</t>
  </si>
  <si>
    <t>Process documentation tools, service management platforms, compliance tracking.
Compliance management systems, policy enforcement software, and audit trail logging.</t>
  </si>
  <si>
    <t>Collaborative project management tools, communication platforms, shared resource pools.
Integrated risk management platforms, cross-department workflow tools.
Coding standards enforcement tools, static analysis, version control systems.</t>
  </si>
  <si>
    <t>Metadata repositories, CMDB systems, and application portfolio management tools.
DevOps pipelines, container orchestration (Kubernetes), version control, and monitoring tools.
Capacity planning software, scheduling tools, resource management platforms.
KPI tracking tools, performance dashboards, data visualization software.</t>
  </si>
  <si>
    <t>Project management tools, ROI calculators, and collaboration platforms.
Risk registers, compliance monitoring software, reporting dashboards.
Performance monitoring, gap analysis tools, workflow optimization software.</t>
  </si>
  <si>
    <t>Version control systems, CI/CD pipelines, code review tools.
Standards compliance tools, integration frameworks, API adapters.
Data warehouses, BI tools (like Power BI, Tableau), ETL processes, and real-time dashboards.</t>
  </si>
  <si>
    <t>Document management systems, metadata tagging, workflow automation.
Performance monitoring, workflow analysis software, optimization tools.
E-learning platforms, content management systems, training analytics software.
Risk and compliance software, stakeholder management tools, reporting dashboards.</t>
  </si>
  <si>
    <t>Accessibility APIs, adaptive UI frameworks, assistive technologies, and responsive design across platforms.
Policy management systems, compliance tracking, audit management tools.
Modular architecture, microservices, API management, and user-centered design platforms.</t>
  </si>
  <si>
    <t>Roadmapping tools, portfolio management software, scenario analysis tools.
Project risk management software, scheduling tools, issue tracking.
Workforce management software, budgeting tools, project tracking systems.</t>
  </si>
  <si>
    <t>Project tracking software, status reporting tools, issue management platforms.
Cloud platforms, integrated application suites, API management.
API gateways, ESB, microservices architecture, message brokers.</t>
  </si>
  <si>
    <t>CRM systems, document management, integrated health IT platforms.
Backup and recovery systems, failover clusters, and disaster recovery platforms.
Firewalls, intrusion detection systems, endpoint protection, identity and access management.
Encryption tools, access control systems, data loss prevention software.</t>
  </si>
  <si>
    <t>Incident management systems, alerting platforms, customer support software.
Data cleansing tools, validation software, profiling and monitoring tools.
Business intelligence platforms, dashboard software, data visualization tools.
Data integration platforms, API connectors, standard data exchange protocols (e.g., HL7, FHIR).
Cloud platforms, microservices architecture, container orchestration.
Open data standards, APIs, data portals.
Encryption tools, access control systems, data loss prevention software.</t>
  </si>
  <si>
    <t>Decision modeling tools, rule engines, workflow automation.
Roadmapping tools, portfolio management software, scenario analysis tools.
Monitoring dashboards, alerting systems, log management tools.</t>
  </si>
  <si>
    <t>Network monitoring, virtualization platforms, cloud cost management tools.
Industry-standard schemas, ontologies, data dictionaries, protocol compliance.
Monitoring software, load balancers, resource scheduling platforms.</t>
  </si>
  <si>
    <t>Middleware, API gateways, data transformation services.
Workflow enforcement tools, automated compliance monitoring, reporting dashboards.
Data cataloging, metadata management, master data management systems.</t>
  </si>
  <si>
    <t>Table 5: Search Data</t>
  </si>
  <si>
    <t>Total Extracts</t>
  </si>
  <si>
    <t>Data integrity
Sustainable Efficiency</t>
  </si>
  <si>
    <t>Regulatory adherence
Innovative Evolution
Consistent Excellence</t>
  </si>
  <si>
    <t>Strategic Cohesion
Customer service
Reliable Implementation
Governance with Integrity
Regulatory adherence</t>
  </si>
  <si>
    <t>Data governance
Consistent Excellence
Forward-Thinking Leadership</t>
  </si>
  <si>
    <t>Teamwork enhancement
Reliable Implementation
Sustainable Systems</t>
  </si>
  <si>
    <t>Strategic Project Leadership
Reliable Implementation
Governance with Integrity
Process optimization
Employee development</t>
  </si>
  <si>
    <t>Customer service
Strategic Cohesion
Budget control</t>
  </si>
  <si>
    <t>Strategic Cohesion
Customer service
Budget control
Regulatory adherence</t>
  </si>
  <si>
    <t>Strategic Cohesion
Accountable Risk Management
Reliable Implementation</t>
  </si>
  <si>
    <t>Data governance
Sustainable Efficiency
Governance with Integrity</t>
  </si>
  <si>
    <t>Futureproofing
Reliable Implementation
Customer service
Data governance</t>
  </si>
  <si>
    <t>Teamwork enhancement
Teamwork enhancement
Strategic Project Leadership</t>
  </si>
  <si>
    <t>Process optimization
Data governance
Process optimization</t>
  </si>
  <si>
    <t>Sustainable Efficiency
Regulatory adherence
Forward-Thinking Leadership</t>
  </si>
  <si>
    <t>Regulatory adherence
Sustainable Efficiency
Futureproofing</t>
  </si>
  <si>
    <t>Accountable Risk Management
Regulatory adherence
Teamwork enhancement</t>
  </si>
  <si>
    <t>Process optimization
Sustainable Efficiency
Sustainable Efficiency
Data governance</t>
  </si>
  <si>
    <t>Reliable Implementation
Data governance
Sustainable Efficiency</t>
  </si>
  <si>
    <t>Reliable Implementation
Data governance
Sustainable Efficiency
Data governance
Teamwork enhancement</t>
  </si>
  <si>
    <t>Reliable Implementation
Data governance
Sustainable Efficiency
Futureproofing</t>
  </si>
  <si>
    <t>Data governance
Customer service
Futureproofing</t>
  </si>
  <si>
    <t>Responsive Support
Data governance
Innovative Evolution</t>
  </si>
  <si>
    <t>Data governance
Data governance
Sustainable Systems</t>
  </si>
  <si>
    <t>Data governance
Innovative Evolution</t>
  </si>
  <si>
    <t>Futureproofing
Budget control</t>
  </si>
  <si>
    <t>Reliable Implementation
Strategic Cohesion
Process optimization</t>
  </si>
  <si>
    <t>Process optimization
Strategic Cohesion
Innovative Evolution</t>
  </si>
  <si>
    <t>Consistent Excellence
Forward-Thinking Leadership
Employee development
Strategic Project Leadership</t>
  </si>
  <si>
    <t>Innovative Evolution
Governance with Integrity</t>
  </si>
  <si>
    <t>Customer service
Strategic Project Leadership
Sustainable Efficiency</t>
  </si>
  <si>
    <t>Customer service
Accountable Risk Management
Process optimization</t>
  </si>
  <si>
    <t>Reliable Implementation
Responsive Support
Customer service
Resilient Execution</t>
  </si>
  <si>
    <t>Sustainable Efficiency
Governance with Integrity
Strategic Cohesion
Consistent Excellence</t>
  </si>
  <si>
    <t>Budget control
Customer service
Regulatory adherence
Teamwork enhancement
Teamwork enhancement
Responsive Support
Accountable Risk Management</t>
  </si>
  <si>
    <t>Accountable Risk Management
Process optimization
Customer service</t>
  </si>
  <si>
    <t>Strategic Cohesion
Customer service
Teamwork enhancement
Customer service
Governance with Integrity
Sustainable Systems
Customer service
Sustainable Efficiency</t>
  </si>
  <si>
    <t>Regulatory adherence
Teamwork enhancement
Budget control
Process optimization
Customer service</t>
  </si>
  <si>
    <t>Budget control
Strategic Cohesion</t>
  </si>
  <si>
    <t>Innovative Evolution
Process optimization</t>
  </si>
  <si>
    <t>Customer service
Governance with Integrity
Strategic Cohesion
Data governance
Forward-Thinking Leadership</t>
  </si>
  <si>
    <t>Teamwork enhancement
Consistent Excellence
Data governance
Regulatory adherence</t>
  </si>
  <si>
    <t>Resilient Execution
Resilient Execution
Reliable Implementation
Data governance
Data integrity
Customer service
Resilient Execution
Data integrity
Sustainable Efficiency</t>
  </si>
  <si>
    <t>Budget control
Data integrity
Customer service</t>
  </si>
  <si>
    <t>Teamwork enhancement
Budget control
Strategic Cohesion
Regulatory adherence</t>
  </si>
  <si>
    <t>Governance with Integrity
Data governance
Responsive Support
Customer service
Strategic Cohesion
Data governance</t>
  </si>
  <si>
    <t>Governance with Integrity
Reliable Implementation
Teamwork enhancement
Employee development
Sustainable Efficiency</t>
  </si>
  <si>
    <t>Accountable Risk Management
Budget control
Strategic Cohesion
Teamwork enhancement
Teamwork enhancement</t>
  </si>
  <si>
    <t>Budget control
Strategic Project Leadership
Responsive Support
Strategic Cohesion</t>
  </si>
  <si>
    <t>Consistent Excellence
Strategic Cohesion</t>
  </si>
  <si>
    <t>Consistent Excellence
Regulatory adherence
Consistent Excellence</t>
  </si>
  <si>
    <t>Teamwork enhancement
Responsive Support
Sustainable Efficiency
Process optimization</t>
  </si>
  <si>
    <t>Strategic Cohesion
Accountable Risk Management
Regulatory adherence</t>
  </si>
  <si>
    <t>Reliable Implementation
Reliable Implementation
Reliable Implementation</t>
  </si>
  <si>
    <t>Data governance
Sustainable Efficiency
Employee development
Strategic Project Leadership</t>
  </si>
  <si>
    <t>Consistent Excellence
Regulatory adherence
Regulatory adherence</t>
  </si>
  <si>
    <t>Strategic Cohesion
Customer service
Customer service</t>
  </si>
  <si>
    <t>Strategic Project Leadership
Reliable Implementation
Budget control</t>
  </si>
  <si>
    <t>Reliable Implementation
Sustainable Efficiency
Data governance
Data integrity</t>
  </si>
  <si>
    <t>Process optimization
Data integrity
Data integrity
Reliable Implementation
Reliable Implementation
Data governance
Data integrity</t>
  </si>
  <si>
    <t>Strategic Project Leadership
Strategic Cohesion
Responsive Support</t>
  </si>
  <si>
    <t>Data governance
Data governance
Sustainable Efficiency</t>
  </si>
  <si>
    <t>Reliable Implementation
Process optimization
Data governance</t>
  </si>
  <si>
    <t>Min</t>
  </si>
  <si>
    <t>Max</t>
  </si>
  <si>
    <t>Decriptor</t>
  </si>
  <si>
    <t>Definition</t>
  </si>
  <si>
    <t>Project Good to go</t>
  </si>
  <si>
    <t>All good to go</t>
  </si>
  <si>
    <t>Minor Issues</t>
  </si>
  <si>
    <t>Acceptable Risk</t>
  </si>
  <si>
    <t>Moderate Issues</t>
  </si>
  <si>
    <t>Management Action is Required</t>
  </si>
  <si>
    <t>Major Issues</t>
  </si>
  <si>
    <t>Senior Management Action is required</t>
  </si>
  <si>
    <t>Complete Failure</t>
  </si>
  <si>
    <t>Your Project is in Danger of Immediate Failure</t>
  </si>
  <si>
    <t>Table 7: Risk Assessment Rubric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</si>
</sst>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
      <sz val="11"/>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
      <patternFill patternType="solid">
        <fgColor rgb="FF808080"/>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s>
  <cellStyleXfs count="2">
    <xf numFmtId="0" fontId="0" fillId="0" borderId="0"/>
    <xf numFmtId="9" fontId="9" fillId="0" borderId="0" applyFont="0" applyFill="0" applyBorder="0" applyAlignment="0" applyProtection="0"/>
  </cellStyleXfs>
  <cellXfs count="54">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0" fillId="2" borderId="0" xfId="0" applyFill="1" applyAlignment="1">
      <alignment vertical="center" wrapText="1"/>
    </xf>
    <xf numFmtId="0" fontId="4" fillId="12" borderId="0" xfId="0" applyFont="1" applyFill="1" applyAlignment="1">
      <alignment horizontal="left" vertical="center"/>
    </xf>
    <xf numFmtId="0" fontId="0" fillId="12" borderId="0" xfId="0" applyFill="1"/>
    <xf numFmtId="0" fontId="8" fillId="7" borderId="0" xfId="0" applyFont="1" applyFill="1" applyAlignment="1">
      <alignment vertical="center" wrapText="1"/>
    </xf>
    <xf numFmtId="0" fontId="0" fillId="8" borderId="13" xfId="0" applyFill="1" applyBorder="1" applyAlignment="1">
      <alignment horizontal="center" vertical="center"/>
    </xf>
    <xf numFmtId="0" fontId="1" fillId="0" borderId="7" xfId="0" applyFont="1" applyBorder="1" applyAlignment="1">
      <alignment horizontal="center"/>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9" fontId="0" fillId="0" borderId="0" xfId="1" applyFont="1"/>
  </cellXfs>
  <cellStyles count="2">
    <cellStyle name="Normal" xfId="0" builtinId="0"/>
    <cellStyle name="Percent" xfId="1" builtinId="5"/>
  </cellStyles>
  <dxfs count="54">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solid">
          <fgColor indexed="64"/>
          <bgColor rgb="FFFFFF00"/>
        </patternFill>
      </fill>
    </dxf>
    <dxf>
      <fill>
        <patternFill patternType="none">
          <fgColor indexed="64"/>
          <bgColor indexed="65"/>
        </patternFill>
      </fill>
    </dxf>
    <dxf>
      <fill>
        <patternFill patternType="solid">
          <fgColor indexed="64"/>
          <bgColor rgb="FFFFFF00"/>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ill>
        <patternFill patternType="solid">
          <fgColor indexed="64"/>
          <bgColor rgb="FF808080"/>
        </patternFill>
      </fill>
      <alignment horizontal="center"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ill>
        <patternFill patternType="solid">
          <fgColor indexed="64"/>
          <bgColor rgb="FF808080"/>
        </patternFill>
      </fill>
    </dxf>
    <dxf>
      <fill>
        <patternFill patternType="solid">
          <fgColor indexed="64"/>
          <bgColor rgb="FF808080"/>
        </patternFill>
      </fill>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
      <fill>
        <patternFill>
          <bgColor rgb="FFFF0000"/>
        </patternFill>
      </fill>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6</xdr:col>
          <xdr:colOff>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7</xdr:col>
          <xdr:colOff>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7</xdr:col>
          <xdr:colOff>1123950</xdr:colOff>
          <xdr:row>1</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Sub Catergories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2" dataDxfId="51" tableBorderDxfId="50">
  <autoFilter ref="A7:I73" xr:uid="{D39C65B1-301A-4664-8C30-852B8C943832}"/>
  <tableColumns count="9">
    <tableColumn id="1" xr3:uid="{E37F10F0-3B28-44D1-909D-56174809CD15}" name="ID" totalsRowLabel="Total" dataDxfId="49" totalsRowDxfId="48">
      <calculatedColumnFormula>A7+1</calculatedColumnFormula>
    </tableColumn>
    <tableColumn id="2" xr3:uid="{AF52C601-054F-4544-8A9F-E4E66B42EAF2}" name="References" dataDxfId="47" totalsRowDxfId="46"/>
    <tableColumn id="3" xr3:uid="{98663B65-2A1B-45B8-9B7B-E5AA992F38ED}" name="Extracts" dataDxfId="45" totalsRowDxfId="44"/>
    <tableColumn id="4" xr3:uid="{32D4F5A3-434E-41A7-B4FE-8A0A4DDD0E9A}" name="Facts" dataDxfId="43" totalsRowDxfId="42"/>
    <tableColumn id="5" xr3:uid="{58B8B5D6-2CE4-4032-B24A-E79E6D6499FC}" name="Factors" dataDxfId="41" totalsRowDxfId="40"/>
    <tableColumn id="6" xr3:uid="{4CBF119E-EA62-4897-BA19-B5277A113CD7}" name="Groups" dataDxfId="39" totalsRowDxfId="38"/>
    <tableColumn id="7" xr3:uid="{9245D754-1CF3-4F33-A9FD-11B36365C483}" name="Sub Groups" dataDxfId="37" totalsRowDxfId="36"/>
    <tableColumn id="8" xr3:uid="{1E1314C4-1724-4F46-B5BA-BB850A2B3061}" name="Notes/Additional" dataDxfId="35" totalsRowDxfId="34"/>
    <tableColumn id="9" xr3:uid="{9BABA224-03F1-4C2F-A655-FAAFE66B6540}" name="Glossary Check" totalsRowFunction="count" dataDxfId="33" totalsRowDxfId="32">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219" totalsRowCount="1" headerRowDxfId="31" dataDxfId="30">
  <autoFilter ref="A5:C218" xr:uid="{F557346A-8157-4AB7-BA24-95DEAB55C7E0}"/>
  <sortState xmlns:xlrd2="http://schemas.microsoft.com/office/spreadsheetml/2017/richdata2" ref="A6:C218">
    <sortCondition ref="A5:A218"/>
  </sortState>
  <tableColumns count="3">
    <tableColumn id="1" xr3:uid="{A62D73FD-7276-4F2D-9085-D203977C73C4}" name="Factors" totalsRowLabel="Total" dataDxfId="29" totalsRowDxfId="28"/>
    <tableColumn id="4" xr3:uid="{CEE9EB9B-E91C-41C5-A782-3045000D3D4D}" name="Groups"/>
    <tableColumn id="2" xr3:uid="{4D87C797-9AF2-4A53-B9A2-1F9D701C9272}" name="Sub Groups" totalsRowFunction="count" dataDxfId="27" totalsRow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5" totalsRowDxfId="24">
  <autoFilter ref="E5:E6" xr:uid="{564EFC92-3300-4F45-A64E-D2ABBD972040}"/>
  <tableColumns count="1">
    <tableColumn id="1" xr3:uid="{484E5B82-363C-4245-9DEE-C2DF5DAAB66B}" name="Factors that Need to be added" totalsRowLabel="Total Rows: 0" totalsRow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H27" totalsRowCount="1" headerRowDxfId="22" dataDxfId="21" totalsRowDxfId="20">
  <autoFilter ref="G5:H26" xr:uid="{071F6413-E688-439B-ACCD-82F7D0B9CBF0}"/>
  <sortState xmlns:xlrd2="http://schemas.microsoft.com/office/spreadsheetml/2017/richdata2" ref="G4:G5">
    <sortCondition ref="G5"/>
  </sortState>
  <tableColumns count="2">
    <tableColumn id="1" xr3:uid="{D404CA30-2006-4947-A67D-31137D4C5B75}" name="Current Groups" totalsRowLabel="Total Rows:" dataDxfId="19" totalsRowDxfId="18"/>
    <tableColumn id="2" xr3:uid="{228C32B8-1BC6-4762-A315-581DB8260629}" name="Current Sub Group" totalsRowLabel="21" dataDxfId="17" totalsRowDxfId="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C218" totalsRowCount="1" headerRowDxfId="15" dataDxfId="14">
  <autoFilter ref="A4:C217" xr:uid="{88A77055-C259-414B-BB36-D21754969C94}"/>
  <sortState xmlns:xlrd2="http://schemas.microsoft.com/office/spreadsheetml/2017/richdata2" ref="A5:C217">
    <sortCondition ref="A4:A217"/>
  </sortState>
  <tableColumns count="3">
    <tableColumn id="1" xr3:uid="{0C4B0DBE-4A73-4192-B377-7DA531385DE2}" name="Factor" totalsRowLabel="Total" totalsRowDxfId="13">
      <calculatedColumnFormula>Glossary!A6</calculatedColumnFormula>
    </tableColumn>
    <tableColumn id="2" xr3:uid="{3E208449-6526-44CF-AC59-CB9429924362}" name="Catergories" dataDxfId="12" totalsRowDxfId="11"/>
    <tableColumn id="3" xr3:uid="{0C1310BA-D048-4003-820D-563F24B1B8D2}" name="Sub Catergories" totalsRowFunction="count" dataDxfId="10" totalsRow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8" dataDxfId="7">
  <autoFilter ref="A4:G70" xr:uid="{F79CF538-C3D7-4737-A223-A0DBD291B3C6}"/>
  <tableColumns count="7">
    <tableColumn id="1" xr3:uid="{D1D6EA50-9BC1-4A54-BECD-39796F25EBD7}" name="ID" dataDxfId="6">
      <calculatedColumnFormula>'Thematic Analysis'!#REF!</calculatedColumnFormula>
    </tableColumn>
    <tableColumn id="2" xr3:uid="{E24CE3CC-B4B6-4C4F-90E7-295304758DF1}" name="Factors" dataDxfId="5">
      <calculatedColumnFormula>'Thematic Analysis'!E8</calculatedColumnFormula>
    </tableColumn>
    <tableColumn id="7" xr3:uid="{922643FC-B475-48C8-895E-24816DC8ADB8}" name="Groups" dataDxfId="4">
      <calculatedColumnFormula>'Thematic Analysis'!F8</calculatedColumnFormula>
    </tableColumn>
    <tableColumn id="3" xr3:uid="{DDA15557-5AE9-4190-B274-0F309E7E6249}" name="Sub Groups" dataDxfId="3">
      <calculatedColumnFormula>'Thematic Analysis'!G8</calculatedColumnFormula>
    </tableColumn>
    <tableColumn id="4" xr3:uid="{8317CC99-47AA-4512-9B48-6638EFE433BC}" name="Catergories" dataDxfId="2"/>
    <tableColumn id="5" xr3:uid="{CFDDE1F2-4EBC-4AF6-BED1-F881894AC077}" name="Sub Catergories" dataDxfId="1"/>
    <tableColumn id="6" xr3:uid="{75D8CE58-185C-4867-8B65-8D04627A39E7}" name="Extracts" dataDxfId="0">
      <calculatedColumnFormula>'Thematic Analysis'!$D8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DC459C-A083-4527-B8BB-8A56CA8A4044}" name="Table9" displayName="Table9" ref="A3:D8" totalsRowShown="0">
  <autoFilter ref="A3:D8" xr:uid="{CBDC459C-A083-4527-B8BB-8A56CA8A4044}"/>
  <sortState xmlns:xlrd2="http://schemas.microsoft.com/office/spreadsheetml/2017/richdata2" ref="A4:D8">
    <sortCondition ref="A6:A11"/>
  </sortState>
  <tableColumns count="4">
    <tableColumn id="2" xr3:uid="{C7D5D14E-EB5B-40CA-ADBA-51697103BB72}" name="Min" dataCellStyle="Percent"/>
    <tableColumn id="3" xr3:uid="{E7AB9ECE-6585-47F2-85E1-A9AE035F6340}" name="Max" dataCellStyle="Percent"/>
    <tableColumn id="1" xr3:uid="{F2C40BA5-DBD9-4BB0-9919-3E96842EFA3F}" name="Decriptor"/>
    <tableColumn id="4" xr3:uid="{09732987-1F22-4ACE-BDCC-44EA8E811B15}" name="Defini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zoomScaleNormal="100" workbookViewId="0">
      <pane ySplit="7" topLeftCell="A8" activePane="bottomLeft" state="frozen"/>
      <selection pane="bottomLeft" activeCell="G8" sqref="G8"/>
    </sheetView>
  </sheetViews>
  <sheetFormatPr defaultRowHeight="15" x14ac:dyDescent="0.25"/>
  <cols>
    <col min="1" max="1" width="17.85546875" style="2" customWidth="1"/>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thickBot="1" x14ac:dyDescent="0.35">
      <c r="C1" s="49" t="s">
        <v>0</v>
      </c>
      <c r="D1" s="49"/>
      <c r="E1" s="49"/>
      <c r="F1" s="49"/>
      <c r="I1" s="2"/>
    </row>
    <row r="2" spans="1:9" ht="19.5" thickBot="1" x14ac:dyDescent="0.35">
      <c r="C2" s="45" t="s">
        <v>1</v>
      </c>
      <c r="D2" s="45"/>
      <c r="E2" s="45"/>
      <c r="F2" s="45"/>
      <c r="I2" s="43" t="s">
        <v>1100</v>
      </c>
    </row>
    <row r="3" spans="1:9" ht="30.75" customHeight="1" thickBot="1" x14ac:dyDescent="0.3">
      <c r="A3" s="17" t="s">
        <v>480</v>
      </c>
      <c r="C3" s="46" t="s">
        <v>443</v>
      </c>
      <c r="D3" s="47"/>
      <c r="E3" s="47"/>
      <c r="F3" s="48"/>
      <c r="I3" s="42">
        <f>ROWS(Table1[])-1</f>
        <v>65</v>
      </c>
    </row>
    <row r="4" spans="1:9" ht="57.75" customHeight="1" x14ac:dyDescent="0.25">
      <c r="I4" s="2"/>
    </row>
    <row r="5" spans="1:9" x14ac:dyDescent="0.25">
      <c r="A5" s="44" t="s">
        <v>479</v>
      </c>
      <c r="B5" s="44"/>
      <c r="C5" s="44"/>
      <c r="D5" s="44"/>
      <c r="E5" s="44"/>
      <c r="F5" s="44"/>
      <c r="G5" s="44"/>
      <c r="H5" s="44"/>
      <c r="I5" s="44"/>
    </row>
    <row r="6" spans="1:9" x14ac:dyDescent="0.25">
      <c r="A6" s="12"/>
      <c r="B6" s="12"/>
      <c r="C6" s="12"/>
      <c r="D6" s="12"/>
      <c r="E6" s="31" t="s">
        <v>473</v>
      </c>
      <c r="F6" s="32" t="s">
        <v>5</v>
      </c>
      <c r="G6" s="31" t="s">
        <v>478</v>
      </c>
      <c r="H6" s="12"/>
      <c r="I6" s="12"/>
    </row>
    <row r="7" spans="1:9" s="7" customFormat="1" x14ac:dyDescent="0.25">
      <c r="A7" s="14" t="s">
        <v>476</v>
      </c>
      <c r="B7" s="14" t="s">
        <v>495</v>
      </c>
      <c r="C7" s="15" t="s">
        <v>494</v>
      </c>
      <c r="D7" s="15" t="s">
        <v>477</v>
      </c>
      <c r="E7" s="15" t="s">
        <v>485</v>
      </c>
      <c r="F7" s="16" t="s">
        <v>486</v>
      </c>
      <c r="G7" s="15" t="s">
        <v>487</v>
      </c>
      <c r="H7" s="16" t="s">
        <v>2</v>
      </c>
      <c r="I7" s="16" t="s">
        <v>481</v>
      </c>
    </row>
    <row r="8" spans="1:9" ht="300" x14ac:dyDescent="0.25">
      <c r="A8" s="18">
        <v>1</v>
      </c>
      <c r="B8" s="19" t="s">
        <v>6</v>
      </c>
      <c r="C8" s="19" t="s">
        <v>24</v>
      </c>
      <c r="D8" s="19" t="s">
        <v>384</v>
      </c>
      <c r="E8" s="20" t="s">
        <v>482</v>
      </c>
      <c r="F8" s="10" t="s">
        <v>739</v>
      </c>
      <c r="G8" s="23" t="s">
        <v>1101</v>
      </c>
      <c r="H8" s="4"/>
      <c r="I8" s="10" t="str">
        <f>CheckGlossary($E8, Table2[Factors])</f>
        <v>In Glossary
In Glossary</v>
      </c>
    </row>
    <row r="9" spans="1:9" ht="60" x14ac:dyDescent="0.25">
      <c r="A9" s="18">
        <f>A8+1</f>
        <v>2</v>
      </c>
      <c r="B9" s="19" t="s">
        <v>3</v>
      </c>
      <c r="C9" s="19" t="s">
        <v>7</v>
      </c>
      <c r="D9" s="19" t="s">
        <v>385</v>
      </c>
      <c r="E9" s="20" t="s">
        <v>136</v>
      </c>
      <c r="F9" s="10" t="s">
        <v>459</v>
      </c>
      <c r="G9" s="10" t="s">
        <v>365</v>
      </c>
      <c r="H9" s="8"/>
      <c r="I9" s="10" t="str">
        <f>CheckGlossary($E9, Table2[Factors])</f>
        <v>In Glossary</v>
      </c>
    </row>
    <row r="10" spans="1:9" ht="90" x14ac:dyDescent="0.25">
      <c r="A10" s="18">
        <f t="shared" ref="A10:A73" si="0">A9+1</f>
        <v>3</v>
      </c>
      <c r="B10" s="19" t="s">
        <v>3</v>
      </c>
      <c r="C10" s="19" t="s">
        <v>8</v>
      </c>
      <c r="D10" s="19" t="s">
        <v>386</v>
      </c>
      <c r="E10" s="20" t="s">
        <v>138</v>
      </c>
      <c r="F10" s="10" t="s">
        <v>462</v>
      </c>
      <c r="G10" s="10" t="s">
        <v>729</v>
      </c>
      <c r="H10" s="8"/>
      <c r="I10" s="10" t="str">
        <f>CheckGlossary($E10, Table2[Factors])</f>
        <v>In Glossary</v>
      </c>
    </row>
    <row r="11" spans="1:9" ht="105" x14ac:dyDescent="0.25">
      <c r="A11" s="18">
        <f t="shared" si="0"/>
        <v>4</v>
      </c>
      <c r="B11" s="19" t="s">
        <v>3</v>
      </c>
      <c r="C11" s="19" t="s">
        <v>9</v>
      </c>
      <c r="D11" s="19" t="s">
        <v>387</v>
      </c>
      <c r="E11" s="20" t="s">
        <v>325</v>
      </c>
      <c r="F11" s="10" t="s">
        <v>740</v>
      </c>
      <c r="G11" s="10" t="s">
        <v>1102</v>
      </c>
      <c r="H11" s="8"/>
      <c r="I11" s="10" t="str">
        <f>CheckGlossary($E11, Table2[Factors])</f>
        <v>In Glossary
In Glossary
In Glossary</v>
      </c>
    </row>
    <row r="12" spans="1:9" ht="150" x14ac:dyDescent="0.25">
      <c r="A12" s="18">
        <f t="shared" si="0"/>
        <v>5</v>
      </c>
      <c r="B12" s="19" t="s">
        <v>4</v>
      </c>
      <c r="C12" s="19" t="s">
        <v>32</v>
      </c>
      <c r="D12" s="19" t="s">
        <v>388</v>
      </c>
      <c r="E12" s="20" t="s">
        <v>111</v>
      </c>
      <c r="F12" s="10" t="s">
        <v>741</v>
      </c>
      <c r="G12" s="10" t="s">
        <v>1103</v>
      </c>
      <c r="H12" s="9"/>
      <c r="I12" s="10" t="str">
        <f>CheckGlossary($E12, Table2[Factors])</f>
        <v>In Glossary
In Glossary
In Glossary
In Glossary
In Glossary</v>
      </c>
    </row>
    <row r="13" spans="1:9" ht="60" x14ac:dyDescent="0.25">
      <c r="A13" s="18">
        <f t="shared" si="0"/>
        <v>6</v>
      </c>
      <c r="B13" s="19" t="s">
        <v>11</v>
      </c>
      <c r="C13" s="19" t="s">
        <v>10</v>
      </c>
      <c r="D13" s="19" t="s">
        <v>389</v>
      </c>
      <c r="E13" s="20" t="s">
        <v>326</v>
      </c>
      <c r="F13" s="10" t="s">
        <v>742</v>
      </c>
      <c r="G13" s="10" t="s">
        <v>1104</v>
      </c>
      <c r="H13" s="9"/>
      <c r="I13" s="10" t="str">
        <f>CheckGlossary($E13, Table2[Factors])</f>
        <v>In Glossary
In Glossary
In Glossary</v>
      </c>
    </row>
    <row r="14" spans="1:9" ht="75" x14ac:dyDescent="0.25">
      <c r="A14" s="18">
        <f t="shared" si="0"/>
        <v>7</v>
      </c>
      <c r="B14" s="19" t="s">
        <v>11</v>
      </c>
      <c r="C14" s="19" t="s">
        <v>37</v>
      </c>
      <c r="D14" s="19" t="s">
        <v>390</v>
      </c>
      <c r="E14" s="20" t="s">
        <v>446</v>
      </c>
      <c r="F14" s="10" t="s">
        <v>743</v>
      </c>
      <c r="G14" s="10" t="s">
        <v>1105</v>
      </c>
      <c r="H14" s="9"/>
      <c r="I14" s="10" t="str">
        <f>CheckGlossary($E14, Table2[Factors])</f>
        <v>In Glossary
In Glossary
In Glossary</v>
      </c>
    </row>
    <row r="15" spans="1:9" ht="210" x14ac:dyDescent="0.25">
      <c r="A15" s="18">
        <f t="shared" si="0"/>
        <v>8</v>
      </c>
      <c r="B15" s="19" t="s">
        <v>11</v>
      </c>
      <c r="C15" s="19" t="s">
        <v>38</v>
      </c>
      <c r="D15" s="19" t="s">
        <v>391</v>
      </c>
      <c r="E15" s="20" t="s">
        <v>327</v>
      </c>
      <c r="F15" s="10" t="s">
        <v>744</v>
      </c>
      <c r="G15" s="10" t="s">
        <v>1106</v>
      </c>
      <c r="H15" s="9"/>
      <c r="I15" s="10" t="str">
        <f>CheckGlossary($E15, Table2[Factors])</f>
        <v>In Glossary
In Glossary
In Glossary
In Glossary
In Glossary</v>
      </c>
    </row>
    <row r="16" spans="1:9" ht="255" x14ac:dyDescent="0.25">
      <c r="A16" s="18">
        <f t="shared" si="0"/>
        <v>9</v>
      </c>
      <c r="B16" s="19" t="s">
        <v>12</v>
      </c>
      <c r="C16" s="19" t="s">
        <v>33</v>
      </c>
      <c r="D16" s="19" t="s">
        <v>392</v>
      </c>
      <c r="E16" s="20" t="s">
        <v>112</v>
      </c>
      <c r="F16" s="10" t="s">
        <v>745</v>
      </c>
      <c r="G16" s="10" t="s">
        <v>1107</v>
      </c>
      <c r="H16" s="9"/>
      <c r="I16" s="10" t="str">
        <f>CheckGlossary($E16, Table2[Factors])</f>
        <v>In Glossary
In Glossary
In Glossary</v>
      </c>
    </row>
    <row r="17" spans="1:9" ht="225" x14ac:dyDescent="0.25">
      <c r="A17" s="18">
        <f t="shared" si="0"/>
        <v>10</v>
      </c>
      <c r="B17" s="19" t="s">
        <v>13</v>
      </c>
      <c r="C17" s="19" t="s">
        <v>34</v>
      </c>
      <c r="D17" s="19" t="s">
        <v>393</v>
      </c>
      <c r="E17" s="20" t="s">
        <v>328</v>
      </c>
      <c r="F17" s="10" t="s">
        <v>746</v>
      </c>
      <c r="G17" s="10" t="s">
        <v>1108</v>
      </c>
      <c r="H17" s="9"/>
      <c r="I17" s="10" t="str">
        <f>CheckGlossary($E17, Table2[Factors])</f>
        <v>In Glossary
In Glossary
In Glossary
In Glossary</v>
      </c>
    </row>
    <row r="18" spans="1:9" ht="330" x14ac:dyDescent="0.25">
      <c r="A18" s="18">
        <f t="shared" si="0"/>
        <v>11</v>
      </c>
      <c r="B18" s="19" t="s">
        <v>14</v>
      </c>
      <c r="C18" s="19" t="s">
        <v>15</v>
      </c>
      <c r="D18" s="19" t="s">
        <v>394</v>
      </c>
      <c r="E18" s="20" t="s">
        <v>329</v>
      </c>
      <c r="F18" s="10" t="s">
        <v>747</v>
      </c>
      <c r="G18" s="10" t="s">
        <v>1109</v>
      </c>
      <c r="H18" s="9"/>
      <c r="I18" s="10" t="str">
        <f>CheckGlossary($E18, Table2[Factors])</f>
        <v>In Glossary
In Glossary
In Glossary</v>
      </c>
    </row>
    <row r="19" spans="1:9" ht="240" x14ac:dyDescent="0.25">
      <c r="A19" s="18">
        <f t="shared" si="0"/>
        <v>12</v>
      </c>
      <c r="B19" s="19" t="s">
        <v>16</v>
      </c>
      <c r="C19" s="19" t="s">
        <v>25</v>
      </c>
      <c r="D19" s="19" t="s">
        <v>395</v>
      </c>
      <c r="E19" s="20" t="s">
        <v>167</v>
      </c>
      <c r="F19" s="10" t="s">
        <v>458</v>
      </c>
      <c r="G19" s="10" t="s">
        <v>362</v>
      </c>
      <c r="H19" s="9"/>
      <c r="I19" s="10" t="str">
        <f>CheckGlossary($E19, Table2[Factors])</f>
        <v>In Glossary</v>
      </c>
    </row>
    <row r="20" spans="1:9" ht="90" x14ac:dyDescent="0.25">
      <c r="A20" s="18">
        <f t="shared" si="0"/>
        <v>13</v>
      </c>
      <c r="B20" s="19" t="s">
        <v>16</v>
      </c>
      <c r="C20" s="19" t="s">
        <v>35</v>
      </c>
      <c r="D20" s="19" t="s">
        <v>396</v>
      </c>
      <c r="E20" s="20" t="s">
        <v>53</v>
      </c>
      <c r="F20" s="10" t="s">
        <v>748</v>
      </c>
      <c r="G20" s="10" t="s">
        <v>1110</v>
      </c>
      <c r="H20" s="8"/>
      <c r="I20" s="10" t="str">
        <f>CheckGlossary($E20, Table2[Factors])</f>
        <v>In Glossary
In Glossary
In Glossary</v>
      </c>
    </row>
    <row r="21" spans="1:9" ht="120" x14ac:dyDescent="0.25">
      <c r="A21" s="18">
        <f t="shared" si="0"/>
        <v>14</v>
      </c>
      <c r="B21" s="19" t="s">
        <v>17</v>
      </c>
      <c r="C21" s="19" t="s">
        <v>36</v>
      </c>
      <c r="D21" s="19" t="s">
        <v>397</v>
      </c>
      <c r="E21" s="20" t="s">
        <v>134</v>
      </c>
      <c r="F21" s="10" t="s">
        <v>749</v>
      </c>
      <c r="G21" s="10" t="s">
        <v>1111</v>
      </c>
      <c r="H21" s="8"/>
      <c r="I21" s="10" t="str">
        <f>CheckGlossary($E21, Table2[Factors])</f>
        <v>In Glossary
In Glossary
In Glossary
In Glossary</v>
      </c>
    </row>
    <row r="22" spans="1:9" ht="150" x14ac:dyDescent="0.25">
      <c r="A22" s="18">
        <f t="shared" si="0"/>
        <v>15</v>
      </c>
      <c r="B22" s="19" t="s">
        <v>17</v>
      </c>
      <c r="C22" s="21" t="s">
        <v>26</v>
      </c>
      <c r="D22" s="21" t="s">
        <v>398</v>
      </c>
      <c r="E22" s="20" t="s">
        <v>135</v>
      </c>
      <c r="F22" s="10" t="s">
        <v>750</v>
      </c>
      <c r="G22" s="10" t="s">
        <v>1112</v>
      </c>
      <c r="H22" s="8"/>
      <c r="I22" s="10" t="str">
        <f>CheckGlossary($E22, Table2[Factors])</f>
        <v>In Glossary
In Glossary
In Glossary</v>
      </c>
    </row>
    <row r="23" spans="1:9" ht="105" x14ac:dyDescent="0.25">
      <c r="A23" s="18">
        <f t="shared" si="0"/>
        <v>16</v>
      </c>
      <c r="B23" s="19" t="s">
        <v>17</v>
      </c>
      <c r="C23" s="19" t="s">
        <v>18</v>
      </c>
      <c r="D23" s="19" t="s">
        <v>399</v>
      </c>
      <c r="E23" s="20" t="s">
        <v>113</v>
      </c>
      <c r="F23" s="10" t="s">
        <v>751</v>
      </c>
      <c r="G23" s="10" t="s">
        <v>1113</v>
      </c>
      <c r="H23" s="8"/>
      <c r="I23" s="10" t="str">
        <f>CheckGlossary($E23, Table2[Factors])</f>
        <v>In Glossary
In Glossary
In Glossary</v>
      </c>
    </row>
    <row r="24" spans="1:9" ht="75" x14ac:dyDescent="0.25">
      <c r="A24" s="18">
        <f t="shared" si="0"/>
        <v>17</v>
      </c>
      <c r="B24" s="19" t="s">
        <v>19</v>
      </c>
      <c r="C24" s="19" t="s">
        <v>20</v>
      </c>
      <c r="D24" s="19" t="s">
        <v>400</v>
      </c>
      <c r="E24" s="20" t="s">
        <v>330</v>
      </c>
      <c r="F24" s="10" t="s">
        <v>752</v>
      </c>
      <c r="G24" s="10" t="s">
        <v>1114</v>
      </c>
      <c r="H24" s="8"/>
      <c r="I24" s="10" t="str">
        <f>CheckGlossary($E24, Table2[Factors])</f>
        <v>In Glossary
In Glossary
In Glossary</v>
      </c>
    </row>
    <row r="25" spans="1:9" ht="60" x14ac:dyDescent="0.25">
      <c r="A25" s="18">
        <f t="shared" si="0"/>
        <v>18</v>
      </c>
      <c r="B25" s="19" t="s">
        <v>19</v>
      </c>
      <c r="C25" s="19" t="s">
        <v>27</v>
      </c>
      <c r="D25" s="19" t="s">
        <v>401</v>
      </c>
      <c r="E25" s="20" t="s">
        <v>331</v>
      </c>
      <c r="F25" s="10" t="s">
        <v>753</v>
      </c>
      <c r="G25" s="10" t="s">
        <v>1115</v>
      </c>
      <c r="H25" s="8"/>
      <c r="I25" s="10" t="str">
        <f>CheckGlossary($E25, Table2[Factors])</f>
        <v>In Glossary
In Glossary
In Glossary</v>
      </c>
    </row>
    <row r="26" spans="1:9" ht="75" x14ac:dyDescent="0.25">
      <c r="A26" s="18">
        <f t="shared" si="0"/>
        <v>19</v>
      </c>
      <c r="B26" s="19" t="s">
        <v>19</v>
      </c>
      <c r="C26" s="19" t="s">
        <v>28</v>
      </c>
      <c r="D26" s="19" t="s">
        <v>402</v>
      </c>
      <c r="E26" s="20" t="s">
        <v>332</v>
      </c>
      <c r="F26" s="10" t="s">
        <v>754</v>
      </c>
      <c r="G26" s="10" t="s">
        <v>1116</v>
      </c>
      <c r="H26" s="8"/>
      <c r="I26" s="10" t="str">
        <f>CheckGlossary($E26, Table2[Factors])</f>
        <v>In Glossary
In Glossary
In Glossary</v>
      </c>
    </row>
    <row r="27" spans="1:9" ht="135" x14ac:dyDescent="0.25">
      <c r="A27" s="18">
        <f t="shared" si="0"/>
        <v>20</v>
      </c>
      <c r="B27" s="19" t="s">
        <v>19</v>
      </c>
      <c r="C27" s="19" t="s">
        <v>29</v>
      </c>
      <c r="D27" s="19" t="s">
        <v>403</v>
      </c>
      <c r="E27" s="22" t="s">
        <v>447</v>
      </c>
      <c r="F27" s="10" t="s">
        <v>755</v>
      </c>
      <c r="G27" s="10" t="s">
        <v>1117</v>
      </c>
      <c r="H27" s="8"/>
      <c r="I27" s="10" t="str">
        <f>CheckGlossary($E27, Table2[Factors])</f>
        <v>In Glossary
In Glossary
In Glossary
In Glossary</v>
      </c>
    </row>
    <row r="28" spans="1:9" ht="165" x14ac:dyDescent="0.25">
      <c r="A28" s="18">
        <f t="shared" si="0"/>
        <v>21</v>
      </c>
      <c r="B28" s="19" t="s">
        <v>19</v>
      </c>
      <c r="C28" s="19" t="s">
        <v>39</v>
      </c>
      <c r="D28" s="19" t="s">
        <v>404</v>
      </c>
      <c r="E28" s="20" t="s">
        <v>333</v>
      </c>
      <c r="F28" s="10" t="s">
        <v>756</v>
      </c>
      <c r="G28" s="10" t="s">
        <v>1118</v>
      </c>
      <c r="H28" s="8"/>
      <c r="I28" s="10" t="str">
        <f>CheckGlossary($E28, Table2[Factors])</f>
        <v>In Glossary
In Glossary
In Glossary</v>
      </c>
    </row>
    <row r="29" spans="1:9" ht="409.5" x14ac:dyDescent="0.25">
      <c r="A29" s="18">
        <f t="shared" si="0"/>
        <v>22</v>
      </c>
      <c r="B29" s="19" t="s">
        <v>21</v>
      </c>
      <c r="C29" s="19" t="s">
        <v>30</v>
      </c>
      <c r="D29" s="19" t="s">
        <v>405</v>
      </c>
      <c r="E29" s="20" t="s">
        <v>448</v>
      </c>
      <c r="F29" s="10" t="s">
        <v>757</v>
      </c>
      <c r="G29" s="10" t="s">
        <v>1119</v>
      </c>
      <c r="H29" s="8"/>
      <c r="I29" s="10" t="str">
        <f>CheckGlossary($E29, Table2[Factors])</f>
        <v>In Glossary
In Glossary
In Glossary
In Glossary
In Glossary</v>
      </c>
    </row>
    <row r="30" spans="1:9" ht="165" x14ac:dyDescent="0.25">
      <c r="A30" s="18">
        <f t="shared" si="0"/>
        <v>23</v>
      </c>
      <c r="B30" s="19" t="s">
        <v>22</v>
      </c>
      <c r="C30" s="19" t="s">
        <v>31</v>
      </c>
      <c r="D30" s="19" t="s">
        <v>406</v>
      </c>
      <c r="E30" s="20" t="s">
        <v>449</v>
      </c>
      <c r="F30" s="10" t="s">
        <v>758</v>
      </c>
      <c r="G30" s="10" t="s">
        <v>1120</v>
      </c>
      <c r="H30" s="8"/>
      <c r="I30" s="10" t="str">
        <f>CheckGlossary($E30, Table2[Factors])</f>
        <v>In Glossary
In Glossary
In Glossary
In Glossary</v>
      </c>
    </row>
    <row r="31" spans="1:9" ht="90" x14ac:dyDescent="0.25">
      <c r="A31" s="18">
        <f t="shared" si="0"/>
        <v>24</v>
      </c>
      <c r="B31" s="19" t="s">
        <v>23</v>
      </c>
      <c r="C31" s="19" t="s">
        <v>40</v>
      </c>
      <c r="D31" s="21" t="s">
        <v>407</v>
      </c>
      <c r="E31" s="20" t="s">
        <v>334</v>
      </c>
      <c r="F31" s="10" t="s">
        <v>759</v>
      </c>
      <c r="G31" s="10" t="s">
        <v>1121</v>
      </c>
      <c r="H31" s="8"/>
      <c r="I31" s="10" t="str">
        <f>CheckGlossary($E31, Table2[Factors])</f>
        <v>In Glossary
In Glossary
In Glossary</v>
      </c>
    </row>
    <row r="32" spans="1:9" ht="75" customHeight="1" x14ac:dyDescent="0.25">
      <c r="A32" s="18">
        <f t="shared" si="0"/>
        <v>25</v>
      </c>
      <c r="B32" s="19" t="s">
        <v>23</v>
      </c>
      <c r="C32" s="19" t="s">
        <v>41</v>
      </c>
      <c r="D32" s="19" t="s">
        <v>408</v>
      </c>
      <c r="E32" s="20" t="s">
        <v>114</v>
      </c>
      <c r="F32" s="10" t="s">
        <v>760</v>
      </c>
      <c r="G32" s="10" t="s">
        <v>1122</v>
      </c>
      <c r="H32" s="8"/>
      <c r="I32" s="10" t="str">
        <f>CheckGlossary($E32, Table2[Factors])</f>
        <v>In Glossary
In Glossary
In Glossary</v>
      </c>
    </row>
    <row r="33" spans="1:9" ht="75" x14ac:dyDescent="0.25">
      <c r="A33" s="18">
        <f t="shared" si="0"/>
        <v>26</v>
      </c>
      <c r="B33" s="19" t="s">
        <v>23</v>
      </c>
      <c r="C33" s="19" t="s">
        <v>42</v>
      </c>
      <c r="D33" s="19" t="s">
        <v>409</v>
      </c>
      <c r="E33" s="20" t="s">
        <v>373</v>
      </c>
      <c r="F33" s="10" t="s">
        <v>761</v>
      </c>
      <c r="G33" s="10" t="s">
        <v>1123</v>
      </c>
      <c r="H33" s="8"/>
      <c r="I33" s="10" t="str">
        <f>CheckGlossary($E33, Table2[Factors])</f>
        <v>In Glossary
In Glossary
In Glossary</v>
      </c>
    </row>
    <row r="34" spans="1:9" ht="45" x14ac:dyDescent="0.25">
      <c r="A34" s="18">
        <f t="shared" si="0"/>
        <v>27</v>
      </c>
      <c r="B34" s="19" t="s">
        <v>23</v>
      </c>
      <c r="C34" s="19" t="s">
        <v>43</v>
      </c>
      <c r="D34" s="19" t="s">
        <v>43</v>
      </c>
      <c r="E34" s="20" t="s">
        <v>115</v>
      </c>
      <c r="F34" s="10" t="s">
        <v>762</v>
      </c>
      <c r="G34" s="10" t="s">
        <v>1124</v>
      </c>
      <c r="H34" s="8"/>
      <c r="I34" s="10" t="str">
        <f>CheckGlossary($E34, Table2[Factors])</f>
        <v>In Glossary
In Glossary</v>
      </c>
    </row>
    <row r="35" spans="1:9" ht="30" x14ac:dyDescent="0.25">
      <c r="A35" s="18">
        <f t="shared" si="0"/>
        <v>28</v>
      </c>
      <c r="B35" s="19" t="s">
        <v>23</v>
      </c>
      <c r="C35" s="19" t="s">
        <v>44</v>
      </c>
      <c r="D35" s="19" t="s">
        <v>44</v>
      </c>
      <c r="E35" s="20" t="s">
        <v>116</v>
      </c>
      <c r="F35" s="10" t="s">
        <v>763</v>
      </c>
      <c r="G35" s="10" t="s">
        <v>1125</v>
      </c>
      <c r="H35" s="8"/>
      <c r="I35" s="10" t="str">
        <f>CheckGlossary($E35, Table2[Factors])</f>
        <v>In Glossary
In Glossary</v>
      </c>
    </row>
    <row r="36" spans="1:9" ht="45" x14ac:dyDescent="0.25">
      <c r="A36" s="18">
        <f t="shared" si="0"/>
        <v>29</v>
      </c>
      <c r="B36" s="19" t="s">
        <v>23</v>
      </c>
      <c r="C36" s="19" t="s">
        <v>45</v>
      </c>
      <c r="D36" s="19" t="s">
        <v>45</v>
      </c>
      <c r="E36" s="20" t="s">
        <v>117</v>
      </c>
      <c r="F36" s="10" t="s">
        <v>764</v>
      </c>
      <c r="G36" s="10" t="s">
        <v>1126</v>
      </c>
      <c r="H36" s="8"/>
      <c r="I36" s="10" t="str">
        <f>CheckGlossary($E36, Table2[Factors])</f>
        <v>In Glossary
In Glossary
In Glossary</v>
      </c>
    </row>
    <row r="37" spans="1:9" ht="105" x14ac:dyDescent="0.25">
      <c r="A37" s="18">
        <f t="shared" si="0"/>
        <v>30</v>
      </c>
      <c r="B37" s="19" t="s">
        <v>23</v>
      </c>
      <c r="C37" s="19" t="s">
        <v>46</v>
      </c>
      <c r="D37" s="19" t="s">
        <v>410</v>
      </c>
      <c r="E37" s="20" t="s">
        <v>335</v>
      </c>
      <c r="F37" s="10" t="s">
        <v>765</v>
      </c>
      <c r="G37" s="10" t="s">
        <v>1127</v>
      </c>
      <c r="H37" s="8"/>
      <c r="I37" s="10" t="str">
        <f>CheckGlossary($E37, Table2[Factors])</f>
        <v>In Glossary
In Glossary
In Glossary</v>
      </c>
    </row>
    <row r="38" spans="1:9" ht="90" x14ac:dyDescent="0.25">
      <c r="A38" s="18">
        <f t="shared" si="0"/>
        <v>31</v>
      </c>
      <c r="B38" s="19" t="s">
        <v>23</v>
      </c>
      <c r="C38" s="19" t="s">
        <v>47</v>
      </c>
      <c r="D38" s="19" t="s">
        <v>411</v>
      </c>
      <c r="E38" s="20" t="s">
        <v>336</v>
      </c>
      <c r="F38" s="10" t="s">
        <v>766</v>
      </c>
      <c r="G38" s="10" t="s">
        <v>1128</v>
      </c>
      <c r="H38" s="8"/>
      <c r="I38" s="10" t="str">
        <f>CheckGlossary($E38, Table2[Factors])</f>
        <v>In Glossary
In Glossary
In Glossary
In Glossary</v>
      </c>
    </row>
    <row r="39" spans="1:9" ht="75" x14ac:dyDescent="0.25">
      <c r="A39" s="18">
        <f t="shared" si="0"/>
        <v>32</v>
      </c>
      <c r="B39" s="19" t="s">
        <v>23</v>
      </c>
      <c r="C39" s="19" t="s">
        <v>48</v>
      </c>
      <c r="D39" s="19" t="s">
        <v>48</v>
      </c>
      <c r="E39" s="20" t="s">
        <v>118</v>
      </c>
      <c r="F39" s="10" t="s">
        <v>767</v>
      </c>
      <c r="G39" s="10" t="s">
        <v>1129</v>
      </c>
      <c r="H39" s="8"/>
      <c r="I39" s="10" t="str">
        <f>CheckGlossary($E39, Table2[Factors])</f>
        <v>In Glossary
In Glossary</v>
      </c>
    </row>
    <row r="40" spans="1:9" ht="105" x14ac:dyDescent="0.25">
      <c r="A40" s="18">
        <f t="shared" si="0"/>
        <v>33</v>
      </c>
      <c r="B40" s="19" t="s">
        <v>23</v>
      </c>
      <c r="C40" s="19" t="s">
        <v>49</v>
      </c>
      <c r="D40" s="19" t="s">
        <v>49</v>
      </c>
      <c r="E40" s="20" t="s">
        <v>337</v>
      </c>
      <c r="F40" s="10" t="s">
        <v>768</v>
      </c>
      <c r="G40" s="24" t="s">
        <v>1130</v>
      </c>
      <c r="H40" s="8"/>
      <c r="I40" s="10" t="str">
        <f>CheckGlossary($E40, Table2[Factors])</f>
        <v>In Glossary
In Glossary
In Glossary</v>
      </c>
    </row>
    <row r="41" spans="1:9" ht="60" x14ac:dyDescent="0.25">
      <c r="A41" s="18">
        <f t="shared" si="0"/>
        <v>34</v>
      </c>
      <c r="B41" s="19" t="s">
        <v>23</v>
      </c>
      <c r="C41" s="19" t="s">
        <v>50</v>
      </c>
      <c r="D41" s="19" t="s">
        <v>412</v>
      </c>
      <c r="E41" s="20" t="s">
        <v>54</v>
      </c>
      <c r="F41" s="10" t="s">
        <v>769</v>
      </c>
      <c r="G41" s="10" t="s">
        <v>1131</v>
      </c>
      <c r="H41" s="8"/>
      <c r="I41" s="10" t="str">
        <f>CheckGlossary($E41, Table2[Factors])</f>
        <v>In Glossary
In Glossary
In Glossary</v>
      </c>
    </row>
    <row r="42" spans="1:9" ht="105" x14ac:dyDescent="0.25">
      <c r="A42" s="18">
        <f t="shared" si="0"/>
        <v>35</v>
      </c>
      <c r="B42" s="19" t="s">
        <v>51</v>
      </c>
      <c r="C42" s="19" t="s">
        <v>52</v>
      </c>
      <c r="D42" s="19" t="s">
        <v>413</v>
      </c>
      <c r="E42" s="20" t="s">
        <v>55</v>
      </c>
      <c r="F42" s="10" t="s">
        <v>769</v>
      </c>
      <c r="G42" s="10" t="s">
        <v>1131</v>
      </c>
      <c r="H42" s="8"/>
      <c r="I42" s="10" t="str">
        <f>CheckGlossary($E42, Table2[Factors])</f>
        <v>In Glossary
In Glossary
In Glossary</v>
      </c>
    </row>
    <row r="43" spans="1:9" ht="150" x14ac:dyDescent="0.25">
      <c r="A43" s="18">
        <f t="shared" si="0"/>
        <v>36</v>
      </c>
      <c r="B43" s="19" t="s">
        <v>56</v>
      </c>
      <c r="C43" s="19" t="s">
        <v>57</v>
      </c>
      <c r="D43" s="19" t="s">
        <v>414</v>
      </c>
      <c r="E43" s="20" t="s">
        <v>119</v>
      </c>
      <c r="F43" s="10" t="s">
        <v>770</v>
      </c>
      <c r="G43" s="10" t="s">
        <v>1132</v>
      </c>
      <c r="H43" s="8"/>
      <c r="I43" s="10" t="str">
        <f>CheckGlossary($E43, Table2[Factors])</f>
        <v>In Glossary
In Glossary
In Glossary
In Glossary</v>
      </c>
    </row>
    <row r="44" spans="1:9" ht="120" x14ac:dyDescent="0.25">
      <c r="A44" s="18">
        <f t="shared" si="0"/>
        <v>37</v>
      </c>
      <c r="B44" s="19" t="s">
        <v>56</v>
      </c>
      <c r="C44" s="19" t="s">
        <v>58</v>
      </c>
      <c r="D44" s="19" t="s">
        <v>415</v>
      </c>
      <c r="E44" s="20" t="s">
        <v>59</v>
      </c>
      <c r="F44" s="10" t="s">
        <v>771</v>
      </c>
      <c r="G44" s="10" t="s">
        <v>1133</v>
      </c>
      <c r="H44" s="8"/>
      <c r="I44" s="10" t="str">
        <f>CheckGlossary($E44, Table2[Factors])</f>
        <v>In Glossary
In Glossary
In Glossary
In Glossary</v>
      </c>
    </row>
    <row r="45" spans="1:9" ht="225" x14ac:dyDescent="0.25">
      <c r="A45" s="18">
        <f t="shared" si="0"/>
        <v>38</v>
      </c>
      <c r="B45" s="19" t="s">
        <v>61</v>
      </c>
      <c r="C45" s="19" t="s">
        <v>60</v>
      </c>
      <c r="D45" s="19" t="s">
        <v>416</v>
      </c>
      <c r="E45" s="20" t="s">
        <v>374</v>
      </c>
      <c r="F45" s="10" t="s">
        <v>772</v>
      </c>
      <c r="G45" s="10" t="s">
        <v>1134</v>
      </c>
      <c r="H45" s="8"/>
      <c r="I45" s="10" t="str">
        <f>CheckGlossary($E45, Table2[Factors])</f>
        <v>In Glossary
In Glossary
In Glossary
In Glossary
In Glossary
In Glossary
In Glossary</v>
      </c>
    </row>
    <row r="46" spans="1:9" ht="120" x14ac:dyDescent="0.25">
      <c r="A46" s="18">
        <f t="shared" si="0"/>
        <v>39</v>
      </c>
      <c r="B46" s="19" t="s">
        <v>62</v>
      </c>
      <c r="C46" s="19" t="s">
        <v>63</v>
      </c>
      <c r="D46" s="19" t="s">
        <v>417</v>
      </c>
      <c r="E46" s="20" t="s">
        <v>133</v>
      </c>
      <c r="F46" s="10" t="s">
        <v>773</v>
      </c>
      <c r="G46" s="10" t="s">
        <v>1135</v>
      </c>
      <c r="H46" s="8"/>
      <c r="I46" s="10" t="str">
        <f>CheckGlossary($E46, Table2[Factors])</f>
        <v>In Glossary
In Glossary
In Glossary</v>
      </c>
    </row>
    <row r="47" spans="1:9" ht="120" x14ac:dyDescent="0.25">
      <c r="A47" s="18">
        <f t="shared" si="0"/>
        <v>40</v>
      </c>
      <c r="B47" s="19" t="s">
        <v>64</v>
      </c>
      <c r="C47" s="19" t="s">
        <v>65</v>
      </c>
      <c r="D47" s="19" t="s">
        <v>418</v>
      </c>
      <c r="E47" s="20" t="s">
        <v>120</v>
      </c>
      <c r="F47" s="10" t="s">
        <v>774</v>
      </c>
      <c r="G47" s="10" t="s">
        <v>1136</v>
      </c>
      <c r="H47" s="8"/>
      <c r="I47" s="10" t="str">
        <f>CheckGlossary($E47, Table2[Factors])</f>
        <v>In Glossary
In Glossary
In Glossary
In Glossary
In Glossary
In Glossary
In Glossary
In Glossary</v>
      </c>
    </row>
    <row r="48" spans="1:9" ht="150" x14ac:dyDescent="0.25">
      <c r="A48" s="18">
        <f t="shared" si="0"/>
        <v>41</v>
      </c>
      <c r="B48" s="19" t="s">
        <v>66</v>
      </c>
      <c r="C48" s="19" t="s">
        <v>67</v>
      </c>
      <c r="D48" s="19" t="s">
        <v>419</v>
      </c>
      <c r="E48" s="20" t="s">
        <v>121</v>
      </c>
      <c r="F48" s="10" t="s">
        <v>775</v>
      </c>
      <c r="G48" s="10" t="s">
        <v>1137</v>
      </c>
      <c r="H48" s="8"/>
      <c r="I48" s="10" t="str">
        <f>CheckGlossary($E48, Table2[Factors])</f>
        <v>In Glossary
In Glossary
In Glossary
In Glossary
In Glossary</v>
      </c>
    </row>
    <row r="49" spans="1:9" ht="75" x14ac:dyDescent="0.25">
      <c r="A49" s="18">
        <f t="shared" si="0"/>
        <v>42</v>
      </c>
      <c r="B49" s="19" t="s">
        <v>68</v>
      </c>
      <c r="C49" s="19" t="s">
        <v>69</v>
      </c>
      <c r="D49" s="19" t="s">
        <v>420</v>
      </c>
      <c r="E49" s="20" t="s">
        <v>122</v>
      </c>
      <c r="F49" s="10" t="s">
        <v>776</v>
      </c>
      <c r="G49" s="10" t="s">
        <v>1138</v>
      </c>
      <c r="H49" s="8"/>
      <c r="I49" s="10" t="str">
        <f>CheckGlossary($E49, Table2[Factors])</f>
        <v>In Glossary
In Glossary</v>
      </c>
    </row>
    <row r="50" spans="1:9" ht="225" x14ac:dyDescent="0.25">
      <c r="A50" s="18">
        <f t="shared" si="0"/>
        <v>43</v>
      </c>
      <c r="B50" s="19" t="s">
        <v>70</v>
      </c>
      <c r="C50" s="19" t="s">
        <v>71</v>
      </c>
      <c r="D50" s="19" t="s">
        <v>421</v>
      </c>
      <c r="E50" s="20" t="s">
        <v>123</v>
      </c>
      <c r="F50" s="10" t="s">
        <v>777</v>
      </c>
      <c r="G50" s="10" t="s">
        <v>1139</v>
      </c>
      <c r="H50" s="8"/>
      <c r="I50" s="10" t="str">
        <f>CheckGlossary($E50, Table2[Factors])</f>
        <v>In Glossary
In Glossary</v>
      </c>
    </row>
    <row r="51" spans="1:9" ht="165" x14ac:dyDescent="0.25">
      <c r="A51" s="18">
        <f t="shared" si="0"/>
        <v>44</v>
      </c>
      <c r="B51" s="19" t="s">
        <v>70</v>
      </c>
      <c r="C51" s="19" t="s">
        <v>72</v>
      </c>
      <c r="D51" s="19" t="s">
        <v>422</v>
      </c>
      <c r="E51" s="20" t="s">
        <v>444</v>
      </c>
      <c r="F51" s="10" t="s">
        <v>778</v>
      </c>
      <c r="G51" s="10" t="s">
        <v>1140</v>
      </c>
      <c r="H51" s="8"/>
      <c r="I51" s="10" t="str">
        <f>CheckGlossary($E51, Table2[Factors])</f>
        <v>In Glossary
In Glossary
In Glossary
In Glossary
In Glossary</v>
      </c>
    </row>
    <row r="52" spans="1:9" ht="150" x14ac:dyDescent="0.25">
      <c r="A52" s="18">
        <f t="shared" si="0"/>
        <v>45</v>
      </c>
      <c r="B52" s="19" t="s">
        <v>70</v>
      </c>
      <c r="C52" s="19" t="s">
        <v>445</v>
      </c>
      <c r="D52" s="19" t="s">
        <v>423</v>
      </c>
      <c r="E52" s="20" t="s">
        <v>124</v>
      </c>
      <c r="F52" s="10" t="s">
        <v>779</v>
      </c>
      <c r="G52" s="10" t="s">
        <v>1141</v>
      </c>
      <c r="H52" s="8"/>
      <c r="I52" s="10" t="str">
        <f>CheckGlossary($E52, Table2[Factors])</f>
        <v>In Glossary
In Glossary
In Glossary
In Glossary</v>
      </c>
    </row>
    <row r="53" spans="1:9" ht="409.5" x14ac:dyDescent="0.25">
      <c r="A53" s="18">
        <f t="shared" si="0"/>
        <v>46</v>
      </c>
      <c r="B53" s="19" t="s">
        <v>73</v>
      </c>
      <c r="C53" s="19" t="s">
        <v>74</v>
      </c>
      <c r="D53" s="19" t="s">
        <v>450</v>
      </c>
      <c r="E53" s="20" t="s">
        <v>375</v>
      </c>
      <c r="F53" s="10" t="s">
        <v>780</v>
      </c>
      <c r="G53" s="10" t="s">
        <v>1142</v>
      </c>
      <c r="H53" s="8"/>
      <c r="I53" s="10" t="str">
        <f>CheckGlossary($E53, Table2[Factors])</f>
        <v>In Glossary
In Glossary
In Glossary
In Glossary
In Glossary
In Glossary
In Glossary
In Glossary
In Glossary</v>
      </c>
    </row>
    <row r="54" spans="1:9" ht="105" x14ac:dyDescent="0.25">
      <c r="A54" s="18">
        <f t="shared" si="0"/>
        <v>47</v>
      </c>
      <c r="B54" s="19" t="s">
        <v>75</v>
      </c>
      <c r="C54" s="19" t="s">
        <v>76</v>
      </c>
      <c r="D54" s="19" t="s">
        <v>451</v>
      </c>
      <c r="E54" s="20" t="s">
        <v>109</v>
      </c>
      <c r="F54" s="10" t="s">
        <v>781</v>
      </c>
      <c r="G54" s="10" t="s">
        <v>1143</v>
      </c>
      <c r="H54" s="8"/>
      <c r="I54" s="10" t="str">
        <f>CheckGlossary($E54, Table2[Factors])</f>
        <v>In Glossary
In Glossary
In Glossary</v>
      </c>
    </row>
    <row r="55" spans="1:9" ht="285" x14ac:dyDescent="0.25">
      <c r="A55" s="18">
        <f t="shared" si="0"/>
        <v>48</v>
      </c>
      <c r="B55" s="19" t="s">
        <v>75</v>
      </c>
      <c r="C55" s="19" t="s">
        <v>77</v>
      </c>
      <c r="D55" s="19" t="s">
        <v>424</v>
      </c>
      <c r="E55" s="20" t="s">
        <v>110</v>
      </c>
      <c r="F55" s="10" t="s">
        <v>782</v>
      </c>
      <c r="G55" s="10" t="s">
        <v>1144</v>
      </c>
      <c r="H55" s="8"/>
      <c r="I55" s="10" t="str">
        <f>CheckGlossary($E55, Table2[Factors])</f>
        <v>In Glossary
In Glossary
In Glossary
In Glossary</v>
      </c>
    </row>
    <row r="56" spans="1:9" ht="120" x14ac:dyDescent="0.25">
      <c r="A56" s="18">
        <f t="shared" si="0"/>
        <v>49</v>
      </c>
      <c r="B56" s="19" t="s">
        <v>75</v>
      </c>
      <c r="C56" s="19" t="s">
        <v>78</v>
      </c>
      <c r="D56" s="19" t="s">
        <v>425</v>
      </c>
      <c r="E56" s="20" t="s">
        <v>376</v>
      </c>
      <c r="F56" s="10" t="s">
        <v>783</v>
      </c>
      <c r="G56" s="10" t="s">
        <v>1145</v>
      </c>
      <c r="H56" s="8"/>
      <c r="I56" s="10" t="str">
        <f>CheckGlossary($E56, Table2[Factors])</f>
        <v>In Glossary
In Glossary
In Glossary
In Glossary
In Glossary
In Glossary</v>
      </c>
    </row>
    <row r="57" spans="1:9" ht="75" x14ac:dyDescent="0.25">
      <c r="A57" s="18">
        <f t="shared" si="0"/>
        <v>50</v>
      </c>
      <c r="B57" s="19" t="s">
        <v>79</v>
      </c>
      <c r="C57" s="19" t="s">
        <v>80</v>
      </c>
      <c r="D57" s="19" t="s">
        <v>426</v>
      </c>
      <c r="E57" s="20" t="s">
        <v>377</v>
      </c>
      <c r="F57" s="10" t="s">
        <v>784</v>
      </c>
      <c r="G57" s="10" t="s">
        <v>1146</v>
      </c>
      <c r="H57" s="8"/>
      <c r="I57" s="10" t="str">
        <f>CheckGlossary($E57, Table2[Factors])</f>
        <v>In Glossary
In Glossary
In Glossary
In Glossary
In Glossary</v>
      </c>
    </row>
    <row r="58" spans="1:9" ht="210" x14ac:dyDescent="0.25">
      <c r="A58" s="18">
        <f t="shared" si="0"/>
        <v>51</v>
      </c>
      <c r="B58" s="19" t="s">
        <v>81</v>
      </c>
      <c r="C58" s="19" t="s">
        <v>82</v>
      </c>
      <c r="D58" s="19" t="s">
        <v>427</v>
      </c>
      <c r="E58" s="20" t="s">
        <v>125</v>
      </c>
      <c r="F58" s="10" t="s">
        <v>785</v>
      </c>
      <c r="G58" s="10" t="s">
        <v>1147</v>
      </c>
      <c r="H58" s="8"/>
      <c r="I58" s="10" t="str">
        <f>CheckGlossary($E58, Table2[Factors])</f>
        <v>In Glossary
In Glossary
In Glossary
In Glossary
In Glossary</v>
      </c>
    </row>
    <row r="59" spans="1:9" ht="60" x14ac:dyDescent="0.25">
      <c r="A59" s="18">
        <f t="shared" si="0"/>
        <v>52</v>
      </c>
      <c r="B59" s="19" t="s">
        <v>81</v>
      </c>
      <c r="C59" s="19" t="s">
        <v>445</v>
      </c>
      <c r="D59" s="19" t="s">
        <v>428</v>
      </c>
      <c r="E59" s="20" t="s">
        <v>378</v>
      </c>
      <c r="F59" s="10" t="s">
        <v>786</v>
      </c>
      <c r="G59" s="10" t="s">
        <v>1148</v>
      </c>
      <c r="H59" s="8"/>
      <c r="I59" s="10" t="str">
        <f>CheckGlossary($E59, Table2[Factors])</f>
        <v>In Glossary
In Glossary
In Glossary
In Glossary</v>
      </c>
    </row>
    <row r="60" spans="1:9" ht="105" x14ac:dyDescent="0.25">
      <c r="A60" s="18">
        <f t="shared" si="0"/>
        <v>53</v>
      </c>
      <c r="B60" s="19" t="s">
        <v>83</v>
      </c>
      <c r="C60" s="19" t="s">
        <v>84</v>
      </c>
      <c r="D60" s="19" t="s">
        <v>429</v>
      </c>
      <c r="E60" s="20" t="s">
        <v>126</v>
      </c>
      <c r="F60" s="10" t="s">
        <v>787</v>
      </c>
      <c r="G60" s="10" t="s">
        <v>1149</v>
      </c>
      <c r="H60" s="8"/>
      <c r="I60" s="10" t="str">
        <f>CheckGlossary($E60, Table2[Factors])</f>
        <v>In Glossary
In Glossary</v>
      </c>
    </row>
    <row r="61" spans="1:9" ht="195" x14ac:dyDescent="0.25">
      <c r="A61" s="18">
        <f t="shared" si="0"/>
        <v>54</v>
      </c>
      <c r="B61" s="19" t="s">
        <v>85</v>
      </c>
      <c r="C61" s="19" t="s">
        <v>86</v>
      </c>
      <c r="D61" s="19" t="s">
        <v>430</v>
      </c>
      <c r="E61" s="20" t="s">
        <v>127</v>
      </c>
      <c r="F61" s="10" t="s">
        <v>788</v>
      </c>
      <c r="G61" s="10" t="s">
        <v>1150</v>
      </c>
      <c r="H61" s="8"/>
      <c r="I61" s="10" t="str">
        <f>CheckGlossary($E61, Table2[Factors])</f>
        <v>In Glossary
In Glossary
In Glossary</v>
      </c>
    </row>
    <row r="62" spans="1:9" ht="195" x14ac:dyDescent="0.25">
      <c r="A62" s="18">
        <f t="shared" si="0"/>
        <v>55</v>
      </c>
      <c r="B62" s="19" t="s">
        <v>85</v>
      </c>
      <c r="C62" s="19" t="s">
        <v>87</v>
      </c>
      <c r="D62" s="19" t="s">
        <v>431</v>
      </c>
      <c r="E62" s="20" t="s">
        <v>379</v>
      </c>
      <c r="F62" s="10" t="s">
        <v>789</v>
      </c>
      <c r="G62" s="10" t="s">
        <v>1151</v>
      </c>
      <c r="H62" s="8"/>
      <c r="I62" s="10" t="str">
        <f>CheckGlossary($E62, Table2[Factors])</f>
        <v>In Glossary
In Glossary
In Glossary
In Glossary</v>
      </c>
    </row>
    <row r="63" spans="1:9" ht="105" x14ac:dyDescent="0.25">
      <c r="A63" s="18">
        <f t="shared" si="0"/>
        <v>56</v>
      </c>
      <c r="B63" s="19" t="s">
        <v>89</v>
      </c>
      <c r="C63" s="19" t="s">
        <v>88</v>
      </c>
      <c r="D63" s="19" t="s">
        <v>432</v>
      </c>
      <c r="E63" s="20" t="s">
        <v>380</v>
      </c>
      <c r="F63" s="10" t="s">
        <v>790</v>
      </c>
      <c r="G63" s="10" t="s">
        <v>1152</v>
      </c>
      <c r="H63" s="8"/>
      <c r="I63" s="10" t="str">
        <f>CheckGlossary($E63, Table2[Factors])</f>
        <v>In Glossary
In Glossary
In Glossary</v>
      </c>
    </row>
    <row r="64" spans="1:9" ht="135" x14ac:dyDescent="0.25">
      <c r="A64" s="18">
        <f t="shared" si="0"/>
        <v>57</v>
      </c>
      <c r="B64" s="19" t="s">
        <v>90</v>
      </c>
      <c r="C64" s="19" t="s">
        <v>91</v>
      </c>
      <c r="D64" s="19" t="s">
        <v>433</v>
      </c>
      <c r="E64" s="20" t="s">
        <v>128</v>
      </c>
      <c r="F64" s="10" t="s">
        <v>791</v>
      </c>
      <c r="G64" s="10" t="s">
        <v>1153</v>
      </c>
      <c r="H64" s="8"/>
      <c r="I64" s="10" t="str">
        <f>CheckGlossary($E64, Table2[Factors])</f>
        <v>In Glossary
In Glossary
In Glossary</v>
      </c>
    </row>
    <row r="65" spans="1:9" ht="165" x14ac:dyDescent="0.25">
      <c r="A65" s="18">
        <f t="shared" si="0"/>
        <v>58</v>
      </c>
      <c r="B65" s="19" t="s">
        <v>93</v>
      </c>
      <c r="C65" s="19" t="s">
        <v>92</v>
      </c>
      <c r="D65" s="19" t="s">
        <v>434</v>
      </c>
      <c r="E65" s="20" t="s">
        <v>129</v>
      </c>
      <c r="F65" s="10" t="s">
        <v>792</v>
      </c>
      <c r="G65" s="10" t="s">
        <v>1154</v>
      </c>
      <c r="H65" s="8"/>
      <c r="I65" s="10" t="str">
        <f>CheckGlossary($E65, Table2[Factors])</f>
        <v>In Glossary
In Glossary
In Glossary
In Glossary</v>
      </c>
    </row>
    <row r="66" spans="1:9" ht="390" x14ac:dyDescent="0.25">
      <c r="A66" s="18">
        <f t="shared" si="0"/>
        <v>59</v>
      </c>
      <c r="B66" s="19" t="s">
        <v>95</v>
      </c>
      <c r="C66" s="19" t="s">
        <v>94</v>
      </c>
      <c r="D66" s="19" t="s">
        <v>435</v>
      </c>
      <c r="E66" s="20" t="s">
        <v>130</v>
      </c>
      <c r="F66" s="10" t="s">
        <v>793</v>
      </c>
      <c r="G66" s="10" t="s">
        <v>1155</v>
      </c>
      <c r="H66" s="8"/>
      <c r="I66" s="10" t="str">
        <f>CheckGlossary($E66, Table2[Factors])</f>
        <v>In Glossary
In Glossary
In Glossary</v>
      </c>
    </row>
    <row r="67" spans="1:9" ht="345" x14ac:dyDescent="0.25">
      <c r="A67" s="18">
        <f t="shared" si="0"/>
        <v>60</v>
      </c>
      <c r="B67" s="19" t="s">
        <v>96</v>
      </c>
      <c r="C67" s="19" t="s">
        <v>97</v>
      </c>
      <c r="D67" s="19" t="s">
        <v>436</v>
      </c>
      <c r="E67" s="20" t="s">
        <v>381</v>
      </c>
      <c r="F67" s="10" t="s">
        <v>794</v>
      </c>
      <c r="G67" s="10" t="s">
        <v>1156</v>
      </c>
      <c r="H67" s="8"/>
      <c r="I67" s="10" t="str">
        <f>CheckGlossary($E67, Table2[Factors])</f>
        <v>In Glossary
In Glossary
In Glossary</v>
      </c>
    </row>
    <row r="68" spans="1:9" ht="180" x14ac:dyDescent="0.25">
      <c r="A68" s="18">
        <f t="shared" si="0"/>
        <v>61</v>
      </c>
      <c r="B68" s="19" t="s">
        <v>96</v>
      </c>
      <c r="C68" s="19" t="s">
        <v>98</v>
      </c>
      <c r="D68" s="19" t="s">
        <v>437</v>
      </c>
      <c r="E68" s="20" t="s">
        <v>131</v>
      </c>
      <c r="F68" s="10" t="s">
        <v>795</v>
      </c>
      <c r="G68" s="10" t="s">
        <v>1157</v>
      </c>
      <c r="H68" s="8"/>
      <c r="I68" s="10" t="str">
        <f>CheckGlossary($E68, Table2[Factors])</f>
        <v>In Glossary
In Glossary
In Glossary</v>
      </c>
    </row>
    <row r="69" spans="1:9" ht="105" x14ac:dyDescent="0.25">
      <c r="A69" s="18">
        <f t="shared" si="0"/>
        <v>62</v>
      </c>
      <c r="B69" s="19" t="s">
        <v>99</v>
      </c>
      <c r="C69" s="19" t="s">
        <v>100</v>
      </c>
      <c r="D69" s="19" t="s">
        <v>438</v>
      </c>
      <c r="E69" s="20" t="s">
        <v>132</v>
      </c>
      <c r="F69" s="10" t="s">
        <v>796</v>
      </c>
      <c r="G69" s="10" t="s">
        <v>1158</v>
      </c>
      <c r="H69" s="8"/>
      <c r="I69" s="10" t="str">
        <f>CheckGlossary($E69, Table2[Factors])</f>
        <v>In Glossary
In Glossary
In Glossary
In Glossary</v>
      </c>
    </row>
    <row r="70" spans="1:9" ht="150" x14ac:dyDescent="0.25">
      <c r="A70" s="18">
        <f t="shared" si="0"/>
        <v>63</v>
      </c>
      <c r="B70" s="19" t="s">
        <v>101</v>
      </c>
      <c r="C70" s="19" t="s">
        <v>102</v>
      </c>
      <c r="D70" s="19" t="s">
        <v>439</v>
      </c>
      <c r="E70" s="20" t="s">
        <v>383</v>
      </c>
      <c r="F70" s="10" t="s">
        <v>797</v>
      </c>
      <c r="G70" s="10" t="s">
        <v>1159</v>
      </c>
      <c r="H70" s="8"/>
      <c r="I70" s="10" t="str">
        <f>CheckGlossary($E70, Table2[Factors])</f>
        <v>In Glossary
In Glossary
In Glossary
In Glossary
In Glossary
In Glossary
In Glossary</v>
      </c>
    </row>
    <row r="71" spans="1:9" ht="375" x14ac:dyDescent="0.25">
      <c r="A71" s="18">
        <f t="shared" si="0"/>
        <v>64</v>
      </c>
      <c r="B71" s="19" t="s">
        <v>101</v>
      </c>
      <c r="C71" s="19" t="s">
        <v>103</v>
      </c>
      <c r="D71" s="19" t="s">
        <v>440</v>
      </c>
      <c r="E71" s="20" t="s">
        <v>104</v>
      </c>
      <c r="F71" s="10" t="s">
        <v>798</v>
      </c>
      <c r="G71" s="10" t="s">
        <v>1160</v>
      </c>
      <c r="H71" s="8"/>
      <c r="I71" s="10" t="str">
        <f>CheckGlossary($E71, Table2[Factors])</f>
        <v>In Glossary
In Glossary
In Glossary</v>
      </c>
    </row>
    <row r="72" spans="1:9" ht="90" x14ac:dyDescent="0.25">
      <c r="A72" s="18">
        <f t="shared" si="0"/>
        <v>65</v>
      </c>
      <c r="B72" s="19" t="s">
        <v>105</v>
      </c>
      <c r="C72" s="19" t="s">
        <v>106</v>
      </c>
      <c r="D72" s="19" t="s">
        <v>441</v>
      </c>
      <c r="E72" s="20" t="s">
        <v>382</v>
      </c>
      <c r="F72" s="10" t="s">
        <v>799</v>
      </c>
      <c r="G72" s="10" t="s">
        <v>1161</v>
      </c>
      <c r="H72" s="8"/>
      <c r="I72" s="10" t="str">
        <f>CheckGlossary($E72, Table2[Factors])</f>
        <v>In Glossary
In Glossary
In Glossary</v>
      </c>
    </row>
    <row r="73" spans="1:9" ht="270" x14ac:dyDescent="0.25">
      <c r="A73" s="18">
        <f t="shared" si="0"/>
        <v>66</v>
      </c>
      <c r="B73" s="19" t="s">
        <v>105</v>
      </c>
      <c r="C73" s="19" t="s">
        <v>107</v>
      </c>
      <c r="D73" s="19" t="s">
        <v>442</v>
      </c>
      <c r="E73" s="20" t="s">
        <v>108</v>
      </c>
      <c r="F73" s="10" t="s">
        <v>800</v>
      </c>
      <c r="G73" s="10" t="s">
        <v>1162</v>
      </c>
      <c r="H73" s="8"/>
      <c r="I73" s="10"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sheetData>
  <mergeCells count="4">
    <mergeCell ref="A5:I5"/>
    <mergeCell ref="C2:F2"/>
    <mergeCell ref="C3:F3"/>
    <mergeCell ref="C1:F1"/>
  </mergeCells>
  <conditionalFormatting sqref="I8:I73">
    <cfRule type="containsText" dxfId="53" priority="1" operator="containsText" text="NOT IN GLOSSARY">
      <formula>NOT(ISERROR(SEARCH("NOT IN GLOSSARY",I8)))</formula>
    </cfRule>
  </conditionalFormatting>
  <dataValidations count="1">
    <dataValidation type="list" allowBlank="1" showInputMessage="1" sqref="E8:E73"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6</xdr:col>
                    <xdr:colOff>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7</xdr:col>
                    <xdr:colOff>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9"/>
  <sheetViews>
    <sheetView workbookViewId="0">
      <pane ySplit="5" topLeftCell="A6" activePane="bottomLeft" state="frozen"/>
      <selection pane="bottomLeft" activeCell="B18" sqref="B18"/>
    </sheetView>
  </sheetViews>
  <sheetFormatPr defaultRowHeight="15" x14ac:dyDescent="0.25"/>
  <cols>
    <col min="1" max="1" width="46.28515625" customWidth="1"/>
    <col min="2" max="2" width="45.7109375" customWidth="1"/>
    <col min="3" max="3" width="32.140625" customWidth="1"/>
    <col min="4" max="4" width="10.5703125" customWidth="1"/>
    <col min="5" max="5" width="27.140625" customWidth="1"/>
    <col min="6" max="6" width="9.85546875" customWidth="1"/>
    <col min="7" max="7" width="40.42578125" bestFit="1" customWidth="1"/>
    <col min="8" max="8" width="28.7109375" bestFit="1" customWidth="1"/>
  </cols>
  <sheetData>
    <row r="2" spans="1:8" ht="42.75" customHeight="1" x14ac:dyDescent="0.25"/>
    <row r="3" spans="1:8" x14ac:dyDescent="0.25">
      <c r="A3" s="44" t="s">
        <v>496</v>
      </c>
      <c r="B3" s="44"/>
      <c r="C3" s="44"/>
    </row>
    <row r="4" spans="1:8" x14ac:dyDescent="0.25">
      <c r="A4" s="30" t="str">
        <f>'Thematic Analysis'!E6</f>
        <v>Concern</v>
      </c>
      <c r="B4" s="30" t="str">
        <f>'Thematic Analysis'!F6</f>
        <v>Possible Solutions</v>
      </c>
      <c r="C4" s="30" t="str">
        <f>'Thematic Analysis'!G6</f>
        <v>Organizational Values</v>
      </c>
      <c r="E4" s="12" t="s">
        <v>489</v>
      </c>
      <c r="G4" s="44" t="s">
        <v>488</v>
      </c>
      <c r="H4" s="44"/>
    </row>
    <row r="5" spans="1:8" ht="30" x14ac:dyDescent="0.25">
      <c r="A5" s="13" t="s">
        <v>485</v>
      </c>
      <c r="B5" s="13" t="s">
        <v>486</v>
      </c>
      <c r="C5" s="13" t="s">
        <v>487</v>
      </c>
      <c r="E5" s="3" t="s">
        <v>490</v>
      </c>
      <c r="G5" s="25" t="s">
        <v>491</v>
      </c>
      <c r="H5" s="25" t="s">
        <v>801</v>
      </c>
    </row>
    <row r="6" spans="1:8" x14ac:dyDescent="0.25">
      <c r="A6" s="1" t="s">
        <v>150</v>
      </c>
      <c r="B6" s="1" t="s">
        <v>454</v>
      </c>
      <c r="C6" s="1" t="s">
        <v>366</v>
      </c>
      <c r="E6" s="3"/>
      <c r="G6" s="26" t="s">
        <v>455</v>
      </c>
      <c r="H6" s="26" t="s">
        <v>727</v>
      </c>
    </row>
    <row r="7" spans="1:8" x14ac:dyDescent="0.25">
      <c r="A7" s="1" t="s">
        <v>313</v>
      </c>
      <c r="B7" t="s">
        <v>472</v>
      </c>
      <c r="C7" s="1" t="s">
        <v>372</v>
      </c>
      <c r="E7" s="40" t="s">
        <v>804</v>
      </c>
      <c r="G7" s="26" t="s">
        <v>453</v>
      </c>
      <c r="H7" s="26" t="s">
        <v>370</v>
      </c>
    </row>
    <row r="8" spans="1:8" x14ac:dyDescent="0.25">
      <c r="A8" s="1" t="s">
        <v>314</v>
      </c>
      <c r="B8" t="s">
        <v>472</v>
      </c>
      <c r="C8" s="1" t="s">
        <v>372</v>
      </c>
      <c r="G8" s="26" t="s">
        <v>460</v>
      </c>
      <c r="H8" s="26" t="s">
        <v>363</v>
      </c>
    </row>
    <row r="9" spans="1:8" x14ac:dyDescent="0.25">
      <c r="A9" s="1" t="s">
        <v>282</v>
      </c>
      <c r="B9" s="1" t="s">
        <v>455</v>
      </c>
      <c r="C9" s="1" t="s">
        <v>727</v>
      </c>
      <c r="G9" s="26" t="s">
        <v>456</v>
      </c>
      <c r="H9" s="26" t="s">
        <v>364</v>
      </c>
    </row>
    <row r="10" spans="1:8" x14ac:dyDescent="0.25">
      <c r="A10" s="1" t="s">
        <v>290</v>
      </c>
      <c r="B10" t="s">
        <v>459</v>
      </c>
      <c r="C10" s="1" t="s">
        <v>365</v>
      </c>
      <c r="G10" s="26" t="s">
        <v>454</v>
      </c>
      <c r="H10" s="26" t="s">
        <v>366</v>
      </c>
    </row>
    <row r="11" spans="1:8" x14ac:dyDescent="0.25">
      <c r="A11" s="1" t="s">
        <v>146</v>
      </c>
      <c r="B11" s="1" t="s">
        <v>455</v>
      </c>
      <c r="C11" s="1" t="s">
        <v>727</v>
      </c>
      <c r="G11" s="26" t="s">
        <v>472</v>
      </c>
      <c r="H11" s="26" t="s">
        <v>372</v>
      </c>
    </row>
    <row r="12" spans="1:8" x14ac:dyDescent="0.25">
      <c r="A12" s="1" t="s">
        <v>291</v>
      </c>
      <c r="B12" t="s">
        <v>455</v>
      </c>
      <c r="C12" s="1" t="s">
        <v>727</v>
      </c>
      <c r="G12" s="26" t="s">
        <v>471</v>
      </c>
      <c r="H12" s="26" t="s">
        <v>371</v>
      </c>
    </row>
    <row r="13" spans="1:8" x14ac:dyDescent="0.25">
      <c r="A13" s="1" t="s">
        <v>161</v>
      </c>
      <c r="B13" t="s">
        <v>455</v>
      </c>
      <c r="C13" s="1" t="s">
        <v>727</v>
      </c>
      <c r="G13" s="26" t="s">
        <v>458</v>
      </c>
      <c r="H13" s="26" t="s">
        <v>362</v>
      </c>
    </row>
    <row r="14" spans="1:8" x14ac:dyDescent="0.25">
      <c r="A14" t="s">
        <v>244</v>
      </c>
      <c r="B14" t="s">
        <v>455</v>
      </c>
      <c r="C14" s="1" t="s">
        <v>727</v>
      </c>
      <c r="G14" s="26" t="s">
        <v>461</v>
      </c>
      <c r="H14" s="26" t="s">
        <v>369</v>
      </c>
    </row>
    <row r="15" spans="1:8" x14ac:dyDescent="0.25">
      <c r="A15" t="s">
        <v>225</v>
      </c>
      <c r="B15" t="s">
        <v>455</v>
      </c>
      <c r="C15" s="1" t="s">
        <v>727</v>
      </c>
      <c r="G15" s="26" t="s">
        <v>463</v>
      </c>
      <c r="H15" s="26" t="s">
        <v>728</v>
      </c>
    </row>
    <row r="16" spans="1:8" x14ac:dyDescent="0.25">
      <c r="A16" t="s">
        <v>223</v>
      </c>
      <c r="B16" t="s">
        <v>452</v>
      </c>
      <c r="C16" t="s">
        <v>732</v>
      </c>
      <c r="G16" s="26" t="s">
        <v>462</v>
      </c>
      <c r="H16" s="26" t="s">
        <v>729</v>
      </c>
    </row>
    <row r="17" spans="1:8" x14ac:dyDescent="0.25">
      <c r="A17" s="1" t="s">
        <v>304</v>
      </c>
      <c r="B17" t="s">
        <v>456</v>
      </c>
      <c r="C17" s="1" t="s">
        <v>364</v>
      </c>
      <c r="G17" s="26" t="s">
        <v>459</v>
      </c>
      <c r="H17" s="26" t="s">
        <v>365</v>
      </c>
    </row>
    <row r="18" spans="1:8" x14ac:dyDescent="0.25">
      <c r="A18" t="s">
        <v>237</v>
      </c>
      <c r="B18" t="s">
        <v>452</v>
      </c>
      <c r="C18" t="s">
        <v>732</v>
      </c>
      <c r="G18" s="26" t="s">
        <v>470</v>
      </c>
      <c r="H18" s="26" t="s">
        <v>730</v>
      </c>
    </row>
    <row r="19" spans="1:8" x14ac:dyDescent="0.25">
      <c r="A19" t="s">
        <v>242</v>
      </c>
      <c r="B19" t="s">
        <v>456</v>
      </c>
      <c r="C19" s="1" t="s">
        <v>364</v>
      </c>
      <c r="G19" s="26" t="s">
        <v>467</v>
      </c>
      <c r="H19" s="26" t="s">
        <v>731</v>
      </c>
    </row>
    <row r="20" spans="1:8" x14ac:dyDescent="0.25">
      <c r="A20" t="s">
        <v>230</v>
      </c>
      <c r="B20" t="s">
        <v>455</v>
      </c>
      <c r="C20" s="1" t="s">
        <v>727</v>
      </c>
      <c r="G20" s="26" t="s">
        <v>452</v>
      </c>
      <c r="H20" s="26" t="s">
        <v>732</v>
      </c>
    </row>
    <row r="21" spans="1:8" x14ac:dyDescent="0.25">
      <c r="A21" s="1" t="s">
        <v>279</v>
      </c>
      <c r="B21" s="1" t="s">
        <v>455</v>
      </c>
      <c r="C21" s="1" t="s">
        <v>727</v>
      </c>
      <c r="G21" s="26" t="s">
        <v>468</v>
      </c>
      <c r="H21" s="26" t="s">
        <v>733</v>
      </c>
    </row>
    <row r="22" spans="1:8" x14ac:dyDescent="0.25">
      <c r="A22" s="1" t="s">
        <v>276</v>
      </c>
      <c r="B22" s="1" t="s">
        <v>452</v>
      </c>
      <c r="C22" t="s">
        <v>732</v>
      </c>
      <c r="G22" s="26" t="s">
        <v>457</v>
      </c>
      <c r="H22" s="26" t="s">
        <v>734</v>
      </c>
    </row>
    <row r="23" spans="1:8" x14ac:dyDescent="0.25">
      <c r="A23" s="1" t="s">
        <v>267</v>
      </c>
      <c r="B23" t="s">
        <v>455</v>
      </c>
      <c r="C23" s="1" t="s">
        <v>727</v>
      </c>
      <c r="G23" s="26" t="s">
        <v>469</v>
      </c>
      <c r="H23" s="26" t="s">
        <v>735</v>
      </c>
    </row>
    <row r="24" spans="1:8" x14ac:dyDescent="0.25">
      <c r="A24" s="1" t="s">
        <v>248</v>
      </c>
      <c r="B24" s="1" t="s">
        <v>455</v>
      </c>
      <c r="C24" s="1" t="s">
        <v>727</v>
      </c>
      <c r="G24" s="26" t="s">
        <v>464</v>
      </c>
      <c r="H24" s="26" t="s">
        <v>736</v>
      </c>
    </row>
    <row r="25" spans="1:8" x14ac:dyDescent="0.25">
      <c r="A25" s="1" t="s">
        <v>341</v>
      </c>
      <c r="B25" s="1" t="s">
        <v>460</v>
      </c>
      <c r="C25" s="1" t="s">
        <v>363</v>
      </c>
      <c r="G25" s="26" t="s">
        <v>465</v>
      </c>
      <c r="H25" s="26" t="s">
        <v>737</v>
      </c>
    </row>
    <row r="26" spans="1:8" x14ac:dyDescent="0.25">
      <c r="A26" t="s">
        <v>212</v>
      </c>
      <c r="B26" t="s">
        <v>452</v>
      </c>
      <c r="C26" t="s">
        <v>732</v>
      </c>
      <c r="G26" s="26" t="s">
        <v>466</v>
      </c>
      <c r="H26" s="26" t="s">
        <v>738</v>
      </c>
    </row>
    <row r="27" spans="1:8" x14ac:dyDescent="0.25">
      <c r="A27" s="1" t="s">
        <v>181</v>
      </c>
      <c r="B27" s="1" t="s">
        <v>460</v>
      </c>
      <c r="C27" s="1" t="s">
        <v>363</v>
      </c>
      <c r="G27" s="39" t="s">
        <v>802</v>
      </c>
      <c r="H27" s="39" t="s">
        <v>803</v>
      </c>
    </row>
    <row r="28" spans="1:8" x14ac:dyDescent="0.25">
      <c r="A28" s="1" t="s">
        <v>301</v>
      </c>
      <c r="B28" s="1" t="s">
        <v>460</v>
      </c>
      <c r="C28" s="1" t="s">
        <v>363</v>
      </c>
    </row>
    <row r="29" spans="1:8" x14ac:dyDescent="0.25">
      <c r="A29" s="1" t="s">
        <v>274</v>
      </c>
      <c r="B29" t="s">
        <v>453</v>
      </c>
      <c r="C29" t="s">
        <v>370</v>
      </c>
    </row>
    <row r="30" spans="1:8" x14ac:dyDescent="0.25">
      <c r="A30" s="1" t="s">
        <v>288</v>
      </c>
      <c r="B30" t="s">
        <v>453</v>
      </c>
      <c r="C30" t="s">
        <v>370</v>
      </c>
    </row>
    <row r="31" spans="1:8" x14ac:dyDescent="0.25">
      <c r="A31" s="5" t="s">
        <v>153</v>
      </c>
      <c r="B31" t="s">
        <v>453</v>
      </c>
      <c r="C31" t="s">
        <v>370</v>
      </c>
    </row>
    <row r="32" spans="1:8" x14ac:dyDescent="0.25">
      <c r="A32" s="1" t="s">
        <v>251</v>
      </c>
      <c r="B32" t="s">
        <v>453</v>
      </c>
      <c r="C32" t="s">
        <v>370</v>
      </c>
    </row>
    <row r="33" spans="1:3" x14ac:dyDescent="0.25">
      <c r="A33" s="1" t="s">
        <v>281</v>
      </c>
      <c r="B33" t="s">
        <v>453</v>
      </c>
      <c r="C33" t="s">
        <v>370</v>
      </c>
    </row>
    <row r="34" spans="1:3" x14ac:dyDescent="0.25">
      <c r="A34" s="1" t="s">
        <v>285</v>
      </c>
      <c r="B34" t="s">
        <v>457</v>
      </c>
      <c r="C34" s="1" t="s">
        <v>734</v>
      </c>
    </row>
    <row r="35" spans="1:3" x14ac:dyDescent="0.25">
      <c r="A35" s="1" t="s">
        <v>280</v>
      </c>
      <c r="B35" t="s">
        <v>453</v>
      </c>
      <c r="C35" t="s">
        <v>370</v>
      </c>
    </row>
    <row r="36" spans="1:3" x14ac:dyDescent="0.25">
      <c r="A36" s="1" t="s">
        <v>188</v>
      </c>
      <c r="B36" t="s">
        <v>457</v>
      </c>
      <c r="C36" s="1" t="s">
        <v>734</v>
      </c>
    </row>
    <row r="37" spans="1:3" x14ac:dyDescent="0.25">
      <c r="A37" s="1" t="s">
        <v>339</v>
      </c>
      <c r="B37" t="s">
        <v>457</v>
      </c>
      <c r="C37" s="1" t="s">
        <v>734</v>
      </c>
    </row>
    <row r="38" spans="1:3" x14ac:dyDescent="0.25">
      <c r="A38" s="1" t="s">
        <v>307</v>
      </c>
      <c r="B38" t="s">
        <v>458</v>
      </c>
      <c r="C38" s="1" t="s">
        <v>362</v>
      </c>
    </row>
    <row r="39" spans="1:3" x14ac:dyDescent="0.25">
      <c r="A39" t="s">
        <v>213</v>
      </c>
      <c r="B39" t="s">
        <v>456</v>
      </c>
      <c r="C39" s="1" t="s">
        <v>364</v>
      </c>
    </row>
    <row r="40" spans="1:3" x14ac:dyDescent="0.25">
      <c r="A40" t="s">
        <v>205</v>
      </c>
      <c r="B40" t="s">
        <v>459</v>
      </c>
      <c r="C40" s="1" t="s">
        <v>365</v>
      </c>
    </row>
    <row r="41" spans="1:3" x14ac:dyDescent="0.25">
      <c r="A41" t="s">
        <v>238</v>
      </c>
      <c r="B41" t="s">
        <v>460</v>
      </c>
      <c r="C41" s="1" t="s">
        <v>363</v>
      </c>
    </row>
    <row r="42" spans="1:3" x14ac:dyDescent="0.25">
      <c r="A42" s="1" t="s">
        <v>149</v>
      </c>
      <c r="B42" t="s">
        <v>460</v>
      </c>
      <c r="C42" s="1" t="s">
        <v>363</v>
      </c>
    </row>
    <row r="43" spans="1:3" x14ac:dyDescent="0.25">
      <c r="A43" t="s">
        <v>226</v>
      </c>
      <c r="B43" t="s">
        <v>457</v>
      </c>
      <c r="C43" s="1" t="s">
        <v>734</v>
      </c>
    </row>
    <row r="44" spans="1:3" x14ac:dyDescent="0.25">
      <c r="A44" s="1" t="s">
        <v>151</v>
      </c>
      <c r="B44" t="s">
        <v>457</v>
      </c>
      <c r="C44" s="1" t="s">
        <v>734</v>
      </c>
    </row>
    <row r="45" spans="1:3" x14ac:dyDescent="0.25">
      <c r="A45" s="1" t="s">
        <v>287</v>
      </c>
      <c r="B45" t="s">
        <v>457</v>
      </c>
      <c r="C45" s="1" t="s">
        <v>734</v>
      </c>
    </row>
    <row r="46" spans="1:3" x14ac:dyDescent="0.25">
      <c r="A46" s="1" t="s">
        <v>252</v>
      </c>
      <c r="B46" t="s">
        <v>457</v>
      </c>
      <c r="C46" s="1" t="s">
        <v>734</v>
      </c>
    </row>
    <row r="47" spans="1:3" x14ac:dyDescent="0.25">
      <c r="A47" t="s">
        <v>243</v>
      </c>
      <c r="B47" t="s">
        <v>458</v>
      </c>
      <c r="C47" s="1" t="s">
        <v>362</v>
      </c>
    </row>
    <row r="48" spans="1:3" x14ac:dyDescent="0.25">
      <c r="A48" t="s">
        <v>210</v>
      </c>
      <c r="B48" t="s">
        <v>456</v>
      </c>
      <c r="C48" s="1" t="s">
        <v>364</v>
      </c>
    </row>
    <row r="49" spans="1:3" x14ac:dyDescent="0.25">
      <c r="A49" t="s">
        <v>236</v>
      </c>
      <c r="B49" t="s">
        <v>456</v>
      </c>
      <c r="C49" s="1" t="s">
        <v>364</v>
      </c>
    </row>
    <row r="50" spans="1:3" x14ac:dyDescent="0.25">
      <c r="A50" s="1" t="s">
        <v>175</v>
      </c>
      <c r="B50" t="s">
        <v>453</v>
      </c>
      <c r="C50" t="s">
        <v>370</v>
      </c>
    </row>
    <row r="51" spans="1:3" x14ac:dyDescent="0.25">
      <c r="A51" t="s">
        <v>216</v>
      </c>
      <c r="B51" t="s">
        <v>456</v>
      </c>
      <c r="C51" s="1" t="s">
        <v>364</v>
      </c>
    </row>
    <row r="52" spans="1:3" x14ac:dyDescent="0.25">
      <c r="A52" t="s">
        <v>232</v>
      </c>
      <c r="B52" t="s">
        <v>453</v>
      </c>
      <c r="C52" t="s">
        <v>370</v>
      </c>
    </row>
    <row r="53" spans="1:3" x14ac:dyDescent="0.25">
      <c r="A53" s="1" t="s">
        <v>345</v>
      </c>
      <c r="B53" t="s">
        <v>453</v>
      </c>
      <c r="C53" t="s">
        <v>370</v>
      </c>
    </row>
    <row r="54" spans="1:3" x14ac:dyDescent="0.25">
      <c r="A54" s="1" t="s">
        <v>302</v>
      </c>
      <c r="B54" t="s">
        <v>460</v>
      </c>
      <c r="C54" s="1" t="s">
        <v>363</v>
      </c>
    </row>
    <row r="55" spans="1:3" x14ac:dyDescent="0.25">
      <c r="A55" s="1" t="s">
        <v>262</v>
      </c>
      <c r="B55" t="s">
        <v>458</v>
      </c>
      <c r="C55" s="1" t="s">
        <v>362</v>
      </c>
    </row>
    <row r="56" spans="1:3" x14ac:dyDescent="0.25">
      <c r="A56" s="1" t="s">
        <v>162</v>
      </c>
      <c r="B56" t="s">
        <v>458</v>
      </c>
      <c r="C56" s="1" t="s">
        <v>362</v>
      </c>
    </row>
    <row r="57" spans="1:3" x14ac:dyDescent="0.25">
      <c r="A57" t="s">
        <v>202</v>
      </c>
      <c r="B57" t="s">
        <v>458</v>
      </c>
      <c r="C57" s="1" t="s">
        <v>362</v>
      </c>
    </row>
    <row r="58" spans="1:3" x14ac:dyDescent="0.25">
      <c r="A58" t="s">
        <v>356</v>
      </c>
      <c r="B58" t="s">
        <v>453</v>
      </c>
      <c r="C58" t="s">
        <v>370</v>
      </c>
    </row>
    <row r="59" spans="1:3" x14ac:dyDescent="0.25">
      <c r="A59" t="s">
        <v>195</v>
      </c>
      <c r="B59" t="s">
        <v>454</v>
      </c>
      <c r="C59" s="1" t="s">
        <v>366</v>
      </c>
    </row>
    <row r="60" spans="1:3" x14ac:dyDescent="0.25">
      <c r="A60" s="1" t="s">
        <v>317</v>
      </c>
      <c r="B60" s="1" t="s">
        <v>454</v>
      </c>
      <c r="C60" s="1" t="s">
        <v>366</v>
      </c>
    </row>
    <row r="61" spans="1:3" x14ac:dyDescent="0.25">
      <c r="A61" s="1" t="s">
        <v>311</v>
      </c>
      <c r="B61" t="s">
        <v>472</v>
      </c>
      <c r="C61" s="1" t="s">
        <v>372</v>
      </c>
    </row>
    <row r="62" spans="1:3" x14ac:dyDescent="0.25">
      <c r="A62" s="1" t="s">
        <v>324</v>
      </c>
      <c r="B62" s="1" t="s">
        <v>454</v>
      </c>
      <c r="C62" s="1" t="s">
        <v>366</v>
      </c>
    </row>
    <row r="63" spans="1:3" x14ac:dyDescent="0.25">
      <c r="A63" s="1" t="s">
        <v>310</v>
      </c>
      <c r="B63" s="1" t="s">
        <v>454</v>
      </c>
      <c r="C63" s="1" t="s">
        <v>366</v>
      </c>
    </row>
    <row r="64" spans="1:3" x14ac:dyDescent="0.25">
      <c r="A64" s="1" t="s">
        <v>139</v>
      </c>
      <c r="B64" s="1" t="s">
        <v>460</v>
      </c>
      <c r="C64" s="1" t="s">
        <v>363</v>
      </c>
    </row>
    <row r="65" spans="1:3" x14ac:dyDescent="0.25">
      <c r="A65" s="1" t="s">
        <v>186</v>
      </c>
      <c r="B65" t="s">
        <v>452</v>
      </c>
      <c r="C65" t="s">
        <v>732</v>
      </c>
    </row>
    <row r="66" spans="1:3" x14ac:dyDescent="0.25">
      <c r="A66" t="s">
        <v>219</v>
      </c>
      <c r="B66" s="1" t="s">
        <v>465</v>
      </c>
      <c r="C66" t="s">
        <v>737</v>
      </c>
    </row>
    <row r="67" spans="1:3" x14ac:dyDescent="0.25">
      <c r="A67" s="1" t="s">
        <v>165</v>
      </c>
      <c r="B67" s="1" t="s">
        <v>465</v>
      </c>
      <c r="C67" t="s">
        <v>737</v>
      </c>
    </row>
    <row r="68" spans="1:3" x14ac:dyDescent="0.25">
      <c r="A68" s="1" t="s">
        <v>265</v>
      </c>
      <c r="B68" t="s">
        <v>453</v>
      </c>
      <c r="C68" t="s">
        <v>370</v>
      </c>
    </row>
    <row r="69" spans="1:3" x14ac:dyDescent="0.25">
      <c r="A69" s="1" t="s">
        <v>293</v>
      </c>
      <c r="B69" s="1" t="s">
        <v>465</v>
      </c>
      <c r="C69" t="s">
        <v>737</v>
      </c>
    </row>
    <row r="70" spans="1:3" x14ac:dyDescent="0.25">
      <c r="A70" s="1" t="s">
        <v>292</v>
      </c>
      <c r="B70" s="1" t="s">
        <v>460</v>
      </c>
      <c r="C70" s="1" t="s">
        <v>363</v>
      </c>
    </row>
    <row r="71" spans="1:3" x14ac:dyDescent="0.25">
      <c r="A71" s="1" t="s">
        <v>136</v>
      </c>
      <c r="B71" t="s">
        <v>459</v>
      </c>
      <c r="C71" s="1" t="s">
        <v>365</v>
      </c>
    </row>
    <row r="72" spans="1:3" x14ac:dyDescent="0.25">
      <c r="A72" s="1" t="s">
        <v>309</v>
      </c>
      <c r="B72" t="s">
        <v>452</v>
      </c>
      <c r="C72" t="s">
        <v>732</v>
      </c>
    </row>
    <row r="73" spans="1:3" x14ac:dyDescent="0.25">
      <c r="A73" s="1" t="s">
        <v>137</v>
      </c>
      <c r="B73" t="s">
        <v>452</v>
      </c>
      <c r="C73" t="s">
        <v>732</v>
      </c>
    </row>
    <row r="74" spans="1:3" x14ac:dyDescent="0.25">
      <c r="A74" s="1" t="s">
        <v>147</v>
      </c>
      <c r="B74" t="s">
        <v>456</v>
      </c>
      <c r="C74" s="1" t="s">
        <v>364</v>
      </c>
    </row>
    <row r="75" spans="1:3" x14ac:dyDescent="0.25">
      <c r="A75" t="s">
        <v>231</v>
      </c>
      <c r="B75" t="s">
        <v>456</v>
      </c>
      <c r="C75" s="1" t="s">
        <v>364</v>
      </c>
    </row>
    <row r="76" spans="1:3" x14ac:dyDescent="0.25">
      <c r="A76" s="1" t="s">
        <v>156</v>
      </c>
      <c r="B76" s="1" t="s">
        <v>467</v>
      </c>
      <c r="C76" s="1" t="s">
        <v>731</v>
      </c>
    </row>
    <row r="77" spans="1:3" x14ac:dyDescent="0.25">
      <c r="A77" s="1" t="s">
        <v>176</v>
      </c>
      <c r="B77" s="1" t="s">
        <v>467</v>
      </c>
      <c r="C77" s="1" t="s">
        <v>731</v>
      </c>
    </row>
    <row r="78" spans="1:3" x14ac:dyDescent="0.25">
      <c r="A78" t="s">
        <v>240</v>
      </c>
      <c r="B78" t="s">
        <v>458</v>
      </c>
      <c r="C78" s="1" t="s">
        <v>362</v>
      </c>
    </row>
    <row r="79" spans="1:3" x14ac:dyDescent="0.25">
      <c r="A79" s="1" t="s">
        <v>300</v>
      </c>
      <c r="B79" t="s">
        <v>457</v>
      </c>
      <c r="C79" s="1" t="s">
        <v>734</v>
      </c>
    </row>
    <row r="80" spans="1:3" x14ac:dyDescent="0.25">
      <c r="A80" s="1" t="s">
        <v>167</v>
      </c>
      <c r="B80" s="1" t="s">
        <v>458</v>
      </c>
      <c r="C80" s="1" t="s">
        <v>362</v>
      </c>
    </row>
    <row r="81" spans="1:3" x14ac:dyDescent="0.25">
      <c r="A81" t="s">
        <v>201</v>
      </c>
      <c r="B81" t="s">
        <v>461</v>
      </c>
      <c r="C81" t="s">
        <v>369</v>
      </c>
    </row>
    <row r="82" spans="1:3" x14ac:dyDescent="0.25">
      <c r="A82" s="1" t="s">
        <v>183</v>
      </c>
      <c r="B82" t="s">
        <v>461</v>
      </c>
      <c r="C82" t="s">
        <v>369</v>
      </c>
    </row>
    <row r="83" spans="1:3" x14ac:dyDescent="0.25">
      <c r="A83" s="1" t="s">
        <v>144</v>
      </c>
      <c r="B83" t="s">
        <v>460</v>
      </c>
      <c r="C83" s="1" t="s">
        <v>363</v>
      </c>
    </row>
    <row r="84" spans="1:3" x14ac:dyDescent="0.25">
      <c r="A84" s="1" t="s">
        <v>184</v>
      </c>
      <c r="B84" t="s">
        <v>460</v>
      </c>
      <c r="C84" s="1" t="s">
        <v>363</v>
      </c>
    </row>
    <row r="85" spans="1:3" x14ac:dyDescent="0.25">
      <c r="A85" t="s">
        <v>354</v>
      </c>
      <c r="B85" t="s">
        <v>460</v>
      </c>
      <c r="C85" s="1" t="s">
        <v>363</v>
      </c>
    </row>
    <row r="86" spans="1:3" x14ac:dyDescent="0.25">
      <c r="A86" t="s">
        <v>198</v>
      </c>
      <c r="B86" t="s">
        <v>462</v>
      </c>
      <c r="C86" t="s">
        <v>729</v>
      </c>
    </row>
    <row r="87" spans="1:3" x14ac:dyDescent="0.25">
      <c r="A87" s="1" t="s">
        <v>157</v>
      </c>
      <c r="B87" s="1" t="s">
        <v>456</v>
      </c>
      <c r="C87" s="1" t="s">
        <v>364</v>
      </c>
    </row>
    <row r="88" spans="1:3" x14ac:dyDescent="0.25">
      <c r="A88" t="s">
        <v>221</v>
      </c>
      <c r="B88" t="s">
        <v>456</v>
      </c>
      <c r="C88" s="1" t="s">
        <v>364</v>
      </c>
    </row>
    <row r="89" spans="1:3" x14ac:dyDescent="0.25">
      <c r="A89" s="1" t="s">
        <v>284</v>
      </c>
      <c r="B89" s="1" t="s">
        <v>455</v>
      </c>
      <c r="C89" s="1" t="s">
        <v>727</v>
      </c>
    </row>
    <row r="90" spans="1:3" x14ac:dyDescent="0.25">
      <c r="A90" s="1" t="s">
        <v>271</v>
      </c>
      <c r="B90" t="s">
        <v>455</v>
      </c>
      <c r="C90" s="1" t="s">
        <v>727</v>
      </c>
    </row>
    <row r="91" spans="1:3" x14ac:dyDescent="0.25">
      <c r="A91" t="s">
        <v>204</v>
      </c>
      <c r="B91" t="s">
        <v>455</v>
      </c>
      <c r="C91" s="1" t="s">
        <v>727</v>
      </c>
    </row>
    <row r="92" spans="1:3" x14ac:dyDescent="0.25">
      <c r="A92" t="s">
        <v>206</v>
      </c>
      <c r="B92" t="s">
        <v>455</v>
      </c>
      <c r="C92" s="1" t="s">
        <v>727</v>
      </c>
    </row>
    <row r="93" spans="1:3" x14ac:dyDescent="0.25">
      <c r="A93" s="1" t="s">
        <v>163</v>
      </c>
      <c r="B93" t="s">
        <v>455</v>
      </c>
      <c r="C93" s="1" t="s">
        <v>727</v>
      </c>
    </row>
    <row r="94" spans="1:3" x14ac:dyDescent="0.25">
      <c r="A94" s="1" t="s">
        <v>263</v>
      </c>
      <c r="B94" t="s">
        <v>472</v>
      </c>
      <c r="C94" s="1" t="s">
        <v>372</v>
      </c>
    </row>
    <row r="95" spans="1:3" x14ac:dyDescent="0.25">
      <c r="A95" s="1" t="s">
        <v>255</v>
      </c>
      <c r="B95" t="s">
        <v>463</v>
      </c>
      <c r="C95" s="1" t="s">
        <v>728</v>
      </c>
    </row>
    <row r="96" spans="1:3" x14ac:dyDescent="0.25">
      <c r="A96" s="1" t="s">
        <v>256</v>
      </c>
      <c r="B96" t="s">
        <v>463</v>
      </c>
      <c r="C96" s="1" t="s">
        <v>728</v>
      </c>
    </row>
    <row r="97" spans="1:3" x14ac:dyDescent="0.25">
      <c r="A97" t="s">
        <v>222</v>
      </c>
      <c r="B97" t="s">
        <v>463</v>
      </c>
      <c r="C97" s="1" t="s">
        <v>728</v>
      </c>
    </row>
    <row r="98" spans="1:3" x14ac:dyDescent="0.25">
      <c r="A98" s="1" t="s">
        <v>259</v>
      </c>
      <c r="B98" t="s">
        <v>463</v>
      </c>
      <c r="C98" s="1" t="s">
        <v>728</v>
      </c>
    </row>
    <row r="99" spans="1:3" x14ac:dyDescent="0.25">
      <c r="A99" s="1" t="s">
        <v>303</v>
      </c>
      <c r="B99" t="s">
        <v>456</v>
      </c>
      <c r="C99" s="1" t="s">
        <v>364</v>
      </c>
    </row>
    <row r="100" spans="1:3" x14ac:dyDescent="0.25">
      <c r="A100" s="1" t="s">
        <v>264</v>
      </c>
      <c r="B100" t="s">
        <v>456</v>
      </c>
      <c r="C100" s="1" t="s">
        <v>364</v>
      </c>
    </row>
    <row r="101" spans="1:3" x14ac:dyDescent="0.25">
      <c r="A101" s="1" t="s">
        <v>270</v>
      </c>
      <c r="B101" t="s">
        <v>454</v>
      </c>
      <c r="C101" s="1" t="s">
        <v>366</v>
      </c>
    </row>
    <row r="102" spans="1:3" x14ac:dyDescent="0.25">
      <c r="A102" s="1" t="s">
        <v>171</v>
      </c>
      <c r="B102" t="s">
        <v>461</v>
      </c>
      <c r="C102" t="s">
        <v>369</v>
      </c>
    </row>
    <row r="103" spans="1:3" x14ac:dyDescent="0.25">
      <c r="A103" s="1" t="s">
        <v>249</v>
      </c>
      <c r="B103" t="s">
        <v>454</v>
      </c>
      <c r="C103" s="1" t="s">
        <v>366</v>
      </c>
    </row>
    <row r="104" spans="1:3" x14ac:dyDescent="0.25">
      <c r="A104" s="1" t="s">
        <v>168</v>
      </c>
      <c r="B104" t="s">
        <v>454</v>
      </c>
      <c r="C104" s="1" t="s">
        <v>366</v>
      </c>
    </row>
    <row r="105" spans="1:3" x14ac:dyDescent="0.25">
      <c r="A105" t="s">
        <v>197</v>
      </c>
      <c r="B105" t="s">
        <v>454</v>
      </c>
      <c r="C105" s="1" t="s">
        <v>366</v>
      </c>
    </row>
    <row r="106" spans="1:3" x14ac:dyDescent="0.25">
      <c r="A106" t="s">
        <v>192</v>
      </c>
      <c r="B106" t="s">
        <v>454</v>
      </c>
      <c r="C106" s="1" t="s">
        <v>366</v>
      </c>
    </row>
    <row r="107" spans="1:3" x14ac:dyDescent="0.25">
      <c r="A107" s="1" t="s">
        <v>258</v>
      </c>
      <c r="B107" s="1" t="s">
        <v>456</v>
      </c>
      <c r="C107" s="1" t="s">
        <v>364</v>
      </c>
    </row>
    <row r="108" spans="1:3" x14ac:dyDescent="0.25">
      <c r="A108" s="1" t="s">
        <v>178</v>
      </c>
      <c r="B108" s="1" t="s">
        <v>454</v>
      </c>
      <c r="C108" s="1" t="s">
        <v>366</v>
      </c>
    </row>
    <row r="109" spans="1:3" x14ac:dyDescent="0.25">
      <c r="A109" s="1" t="s">
        <v>155</v>
      </c>
      <c r="B109" s="1" t="s">
        <v>462</v>
      </c>
      <c r="C109" t="s">
        <v>729</v>
      </c>
    </row>
    <row r="110" spans="1:3" x14ac:dyDescent="0.25">
      <c r="A110" t="s">
        <v>235</v>
      </c>
      <c r="B110" s="1" t="s">
        <v>462</v>
      </c>
      <c r="C110" t="s">
        <v>729</v>
      </c>
    </row>
    <row r="111" spans="1:3" x14ac:dyDescent="0.25">
      <c r="A111" t="s">
        <v>203</v>
      </c>
      <c r="B111" s="1" t="s">
        <v>465</v>
      </c>
      <c r="C111" t="s">
        <v>737</v>
      </c>
    </row>
    <row r="112" spans="1:3" x14ac:dyDescent="0.25">
      <c r="A112" s="1" t="s">
        <v>295</v>
      </c>
      <c r="B112" s="1" t="s">
        <v>465</v>
      </c>
      <c r="C112" t="s">
        <v>737</v>
      </c>
    </row>
    <row r="113" spans="1:3" x14ac:dyDescent="0.25">
      <c r="A113" s="1" t="s">
        <v>322</v>
      </c>
      <c r="B113" s="1" t="s">
        <v>465</v>
      </c>
      <c r="C113" t="s">
        <v>737</v>
      </c>
    </row>
    <row r="114" spans="1:3" x14ac:dyDescent="0.25">
      <c r="A114" s="1" t="s">
        <v>320</v>
      </c>
      <c r="B114" s="1" t="s">
        <v>454</v>
      </c>
      <c r="C114" s="1" t="s">
        <v>366</v>
      </c>
    </row>
    <row r="115" spans="1:3" x14ac:dyDescent="0.25">
      <c r="A115" s="1" t="s">
        <v>343</v>
      </c>
      <c r="B115" s="1" t="s">
        <v>460</v>
      </c>
      <c r="C115" s="1" t="s">
        <v>363</v>
      </c>
    </row>
    <row r="116" spans="1:3" x14ac:dyDescent="0.25">
      <c r="A116" s="1" t="s">
        <v>148</v>
      </c>
      <c r="B116" s="1" t="s">
        <v>465</v>
      </c>
      <c r="C116" t="s">
        <v>737</v>
      </c>
    </row>
    <row r="117" spans="1:3" x14ac:dyDescent="0.25">
      <c r="A117" s="1" t="s">
        <v>187</v>
      </c>
      <c r="B117" s="1" t="s">
        <v>465</v>
      </c>
      <c r="C117" t="s">
        <v>737</v>
      </c>
    </row>
    <row r="118" spans="1:3" x14ac:dyDescent="0.25">
      <c r="A118" s="1" t="s">
        <v>315</v>
      </c>
      <c r="B118" s="1" t="s">
        <v>465</v>
      </c>
      <c r="C118" t="s">
        <v>737</v>
      </c>
    </row>
    <row r="119" spans="1:3" x14ac:dyDescent="0.25">
      <c r="A119" s="1" t="s">
        <v>286</v>
      </c>
      <c r="B119" s="1" t="s">
        <v>460</v>
      </c>
      <c r="C119" s="1" t="s">
        <v>363</v>
      </c>
    </row>
    <row r="120" spans="1:3" x14ac:dyDescent="0.25">
      <c r="A120" s="1" t="s">
        <v>306</v>
      </c>
      <c r="B120" s="1" t="s">
        <v>465</v>
      </c>
      <c r="C120" t="s">
        <v>737</v>
      </c>
    </row>
    <row r="121" spans="1:3" x14ac:dyDescent="0.25">
      <c r="A121" s="1" t="s">
        <v>308</v>
      </c>
      <c r="B121" s="1" t="s">
        <v>465</v>
      </c>
      <c r="C121" t="s">
        <v>737</v>
      </c>
    </row>
    <row r="122" spans="1:3" x14ac:dyDescent="0.25">
      <c r="A122" s="1" t="s">
        <v>294</v>
      </c>
      <c r="B122" s="1" t="s">
        <v>465</v>
      </c>
      <c r="C122" t="s">
        <v>737</v>
      </c>
    </row>
    <row r="123" spans="1:3" x14ac:dyDescent="0.25">
      <c r="A123" s="1" t="s">
        <v>154</v>
      </c>
      <c r="B123" s="1" t="s">
        <v>465</v>
      </c>
      <c r="C123" t="s">
        <v>737</v>
      </c>
    </row>
    <row r="124" spans="1:3" x14ac:dyDescent="0.25">
      <c r="A124" t="s">
        <v>229</v>
      </c>
      <c r="B124" t="s">
        <v>456</v>
      </c>
      <c r="C124" s="1" t="s">
        <v>364</v>
      </c>
    </row>
    <row r="125" spans="1:3" x14ac:dyDescent="0.25">
      <c r="A125" s="1" t="s">
        <v>164</v>
      </c>
      <c r="B125" s="1" t="s">
        <v>458</v>
      </c>
      <c r="C125" s="1" t="s">
        <v>362</v>
      </c>
    </row>
    <row r="126" spans="1:3" x14ac:dyDescent="0.25">
      <c r="A126" s="1" t="s">
        <v>266</v>
      </c>
      <c r="B126" s="1" t="s">
        <v>458</v>
      </c>
      <c r="C126" s="1" t="s">
        <v>362</v>
      </c>
    </row>
    <row r="127" spans="1:3" x14ac:dyDescent="0.25">
      <c r="A127" t="s">
        <v>200</v>
      </c>
      <c r="B127" t="s">
        <v>464</v>
      </c>
      <c r="C127" t="s">
        <v>736</v>
      </c>
    </row>
    <row r="128" spans="1:3" x14ac:dyDescent="0.25">
      <c r="A128" t="s">
        <v>199</v>
      </c>
      <c r="B128" s="1" t="s">
        <v>454</v>
      </c>
      <c r="C128" s="1" t="s">
        <v>366</v>
      </c>
    </row>
    <row r="129" spans="1:3" x14ac:dyDescent="0.25">
      <c r="A129" t="s">
        <v>208</v>
      </c>
      <c r="B129" t="s">
        <v>464</v>
      </c>
      <c r="C129" t="s">
        <v>736</v>
      </c>
    </row>
    <row r="130" spans="1:3" x14ac:dyDescent="0.25">
      <c r="A130" s="1" t="s">
        <v>296</v>
      </c>
      <c r="B130" s="1" t="s">
        <v>454</v>
      </c>
      <c r="C130" s="1" t="s">
        <v>366</v>
      </c>
    </row>
    <row r="131" spans="1:3" x14ac:dyDescent="0.25">
      <c r="A131" s="1" t="s">
        <v>273</v>
      </c>
      <c r="B131" s="1" t="s">
        <v>465</v>
      </c>
      <c r="C131" t="s">
        <v>737</v>
      </c>
    </row>
    <row r="132" spans="1:3" x14ac:dyDescent="0.25">
      <c r="A132" s="1" t="s">
        <v>141</v>
      </c>
      <c r="B132" s="1" t="s">
        <v>458</v>
      </c>
      <c r="C132" s="1" t="s">
        <v>362</v>
      </c>
    </row>
    <row r="133" spans="1:3" x14ac:dyDescent="0.25">
      <c r="A133" s="1" t="s">
        <v>359</v>
      </c>
      <c r="B133" s="1" t="s">
        <v>466</v>
      </c>
      <c r="C133" t="s">
        <v>738</v>
      </c>
    </row>
    <row r="134" spans="1:3" x14ac:dyDescent="0.25">
      <c r="A134" s="1" t="s">
        <v>174</v>
      </c>
      <c r="B134" s="1" t="s">
        <v>454</v>
      </c>
      <c r="C134" s="1" t="s">
        <v>366</v>
      </c>
    </row>
    <row r="135" spans="1:3" x14ac:dyDescent="0.25">
      <c r="A135" s="1" t="s">
        <v>289</v>
      </c>
      <c r="B135" s="1" t="s">
        <v>466</v>
      </c>
      <c r="C135" t="s">
        <v>738</v>
      </c>
    </row>
    <row r="136" spans="1:3" x14ac:dyDescent="0.25">
      <c r="A136" s="1" t="s">
        <v>191</v>
      </c>
      <c r="B136" s="1" t="s">
        <v>461</v>
      </c>
      <c r="C136" t="s">
        <v>369</v>
      </c>
    </row>
    <row r="137" spans="1:3" x14ac:dyDescent="0.25">
      <c r="A137" s="1" t="s">
        <v>305</v>
      </c>
      <c r="B137" s="1" t="s">
        <v>467</v>
      </c>
      <c r="C137" s="1" t="s">
        <v>731</v>
      </c>
    </row>
    <row r="138" spans="1:3" x14ac:dyDescent="0.25">
      <c r="A138" s="1" t="s">
        <v>158</v>
      </c>
      <c r="B138" s="1" t="s">
        <v>459</v>
      </c>
      <c r="C138" s="1" t="s">
        <v>365</v>
      </c>
    </row>
    <row r="139" spans="1:3" x14ac:dyDescent="0.25">
      <c r="A139" s="1" t="s">
        <v>319</v>
      </c>
      <c r="B139" s="1" t="s">
        <v>466</v>
      </c>
      <c r="C139" t="s">
        <v>738</v>
      </c>
    </row>
    <row r="140" spans="1:3" x14ac:dyDescent="0.25">
      <c r="A140" s="1" t="s">
        <v>253</v>
      </c>
      <c r="B140" s="1" t="s">
        <v>454</v>
      </c>
      <c r="C140" s="1" t="s">
        <v>366</v>
      </c>
    </row>
    <row r="141" spans="1:3" x14ac:dyDescent="0.25">
      <c r="A141" t="s">
        <v>239</v>
      </c>
      <c r="B141" t="s">
        <v>453</v>
      </c>
      <c r="C141" t="s">
        <v>370</v>
      </c>
    </row>
    <row r="142" spans="1:3" x14ac:dyDescent="0.25">
      <c r="A142" t="s">
        <v>218</v>
      </c>
      <c r="B142" t="s">
        <v>459</v>
      </c>
      <c r="C142" s="1" t="s">
        <v>365</v>
      </c>
    </row>
    <row r="143" spans="1:3" x14ac:dyDescent="0.25">
      <c r="A143" t="s">
        <v>245</v>
      </c>
      <c r="B143" t="s">
        <v>464</v>
      </c>
      <c r="C143" t="s">
        <v>736</v>
      </c>
    </row>
    <row r="144" spans="1:3" x14ac:dyDescent="0.25">
      <c r="A144" t="s">
        <v>358</v>
      </c>
      <c r="B144" t="s">
        <v>468</v>
      </c>
      <c r="C144" t="s">
        <v>733</v>
      </c>
    </row>
    <row r="145" spans="1:3" x14ac:dyDescent="0.25">
      <c r="A145" s="1" t="s">
        <v>138</v>
      </c>
      <c r="B145" s="1" t="s">
        <v>462</v>
      </c>
      <c r="C145" t="s">
        <v>729</v>
      </c>
    </row>
    <row r="146" spans="1:3" x14ac:dyDescent="0.25">
      <c r="A146" s="1" t="s">
        <v>145</v>
      </c>
      <c r="B146" s="1" t="s">
        <v>464</v>
      </c>
      <c r="C146" t="s">
        <v>736</v>
      </c>
    </row>
    <row r="147" spans="1:3" x14ac:dyDescent="0.25">
      <c r="A147" s="1" t="s">
        <v>140</v>
      </c>
      <c r="B147" s="1" t="s">
        <v>466</v>
      </c>
      <c r="C147" t="s">
        <v>738</v>
      </c>
    </row>
    <row r="148" spans="1:3" x14ac:dyDescent="0.25">
      <c r="A148" s="1" t="s">
        <v>342</v>
      </c>
      <c r="B148" s="1" t="s">
        <v>469</v>
      </c>
      <c r="C148" s="1" t="s">
        <v>735</v>
      </c>
    </row>
    <row r="149" spans="1:3" x14ac:dyDescent="0.25">
      <c r="A149" t="s">
        <v>349</v>
      </c>
      <c r="B149" t="s">
        <v>469</v>
      </c>
      <c r="C149" s="1" t="s">
        <v>735</v>
      </c>
    </row>
    <row r="150" spans="1:3" x14ac:dyDescent="0.25">
      <c r="A150" s="1" t="s">
        <v>152</v>
      </c>
      <c r="B150" s="1" t="s">
        <v>469</v>
      </c>
      <c r="C150" s="1" t="s">
        <v>735</v>
      </c>
    </row>
    <row r="151" spans="1:3" x14ac:dyDescent="0.25">
      <c r="A151" s="1" t="s">
        <v>250</v>
      </c>
      <c r="B151" s="1" t="s">
        <v>469</v>
      </c>
      <c r="C151" s="1" t="s">
        <v>735</v>
      </c>
    </row>
    <row r="152" spans="1:3" x14ac:dyDescent="0.25">
      <c r="A152" t="s">
        <v>352</v>
      </c>
      <c r="B152" t="s">
        <v>458</v>
      </c>
      <c r="C152" s="1" t="s">
        <v>362</v>
      </c>
    </row>
    <row r="153" spans="1:3" x14ac:dyDescent="0.25">
      <c r="A153" t="s">
        <v>228</v>
      </c>
      <c r="B153" t="s">
        <v>459</v>
      </c>
      <c r="C153" s="1" t="s">
        <v>365</v>
      </c>
    </row>
    <row r="154" spans="1:3" x14ac:dyDescent="0.25">
      <c r="A154" t="s">
        <v>246</v>
      </c>
      <c r="B154" t="s">
        <v>459</v>
      </c>
      <c r="C154" s="1" t="s">
        <v>365</v>
      </c>
    </row>
    <row r="155" spans="1:3" x14ac:dyDescent="0.25">
      <c r="A155" s="1" t="s">
        <v>318</v>
      </c>
      <c r="B155" s="1" t="s">
        <v>467</v>
      </c>
      <c r="C155" s="1" t="s">
        <v>731</v>
      </c>
    </row>
    <row r="156" spans="1:3" x14ac:dyDescent="0.25">
      <c r="A156" s="1" t="s">
        <v>277</v>
      </c>
      <c r="B156" t="s">
        <v>468</v>
      </c>
      <c r="C156" t="s">
        <v>733</v>
      </c>
    </row>
    <row r="157" spans="1:3" x14ac:dyDescent="0.25">
      <c r="A157" s="1" t="s">
        <v>344</v>
      </c>
      <c r="B157" t="s">
        <v>468</v>
      </c>
      <c r="C157" t="s">
        <v>733</v>
      </c>
    </row>
    <row r="158" spans="1:3" x14ac:dyDescent="0.25">
      <c r="A158" t="s">
        <v>214</v>
      </c>
      <c r="B158" t="s">
        <v>468</v>
      </c>
      <c r="C158" t="s">
        <v>733</v>
      </c>
    </row>
    <row r="159" spans="1:3" x14ac:dyDescent="0.25">
      <c r="A159" s="1" t="s">
        <v>170</v>
      </c>
      <c r="B159" s="1" t="s">
        <v>470</v>
      </c>
      <c r="C159" s="1" t="s">
        <v>730</v>
      </c>
    </row>
    <row r="160" spans="1:3" x14ac:dyDescent="0.25">
      <c r="A160" s="1" t="s">
        <v>268</v>
      </c>
      <c r="B160" s="1" t="s">
        <v>460</v>
      </c>
      <c r="C160" s="1" t="s">
        <v>363</v>
      </c>
    </row>
    <row r="161" spans="1:3" x14ac:dyDescent="0.25">
      <c r="A161" s="1" t="s">
        <v>143</v>
      </c>
      <c r="B161" s="1" t="s">
        <v>459</v>
      </c>
      <c r="C161" s="1" t="s">
        <v>365</v>
      </c>
    </row>
    <row r="162" spans="1:3" x14ac:dyDescent="0.25">
      <c r="A162" t="s">
        <v>215</v>
      </c>
      <c r="B162" t="s">
        <v>459</v>
      </c>
      <c r="C162" s="1" t="s">
        <v>365</v>
      </c>
    </row>
    <row r="163" spans="1:3" x14ac:dyDescent="0.25">
      <c r="A163" t="s">
        <v>348</v>
      </c>
      <c r="B163" t="s">
        <v>459</v>
      </c>
      <c r="C163" s="1" t="s">
        <v>365</v>
      </c>
    </row>
    <row r="164" spans="1:3" x14ac:dyDescent="0.25">
      <c r="A164" t="s">
        <v>241</v>
      </c>
      <c r="B164" t="s">
        <v>459</v>
      </c>
      <c r="C164" s="1" t="s">
        <v>365</v>
      </c>
    </row>
    <row r="165" spans="1:3" x14ac:dyDescent="0.25">
      <c r="A165" t="s">
        <v>227</v>
      </c>
      <c r="B165" t="s">
        <v>468</v>
      </c>
      <c r="C165" t="s">
        <v>733</v>
      </c>
    </row>
    <row r="166" spans="1:3" x14ac:dyDescent="0.25">
      <c r="A166" s="1" t="s">
        <v>247</v>
      </c>
      <c r="B166" t="s">
        <v>470</v>
      </c>
      <c r="C166" s="1" t="s">
        <v>730</v>
      </c>
    </row>
    <row r="167" spans="1:3" x14ac:dyDescent="0.25">
      <c r="A167" s="1" t="s">
        <v>254</v>
      </c>
      <c r="B167" s="1" t="s">
        <v>460</v>
      </c>
      <c r="C167" s="1" t="s">
        <v>363</v>
      </c>
    </row>
    <row r="168" spans="1:3" x14ac:dyDescent="0.25">
      <c r="A168" s="1" t="s">
        <v>169</v>
      </c>
      <c r="B168" s="1" t="s">
        <v>452</v>
      </c>
      <c r="C168" t="s">
        <v>732</v>
      </c>
    </row>
    <row r="169" spans="1:3" x14ac:dyDescent="0.25">
      <c r="A169" s="1" t="s">
        <v>182</v>
      </c>
      <c r="B169" s="1" t="s">
        <v>452</v>
      </c>
      <c r="C169" t="s">
        <v>732</v>
      </c>
    </row>
    <row r="170" spans="1:3" x14ac:dyDescent="0.25">
      <c r="A170" s="1" t="s">
        <v>297</v>
      </c>
      <c r="B170" s="1" t="s">
        <v>452</v>
      </c>
      <c r="C170" t="s">
        <v>732</v>
      </c>
    </row>
    <row r="171" spans="1:3" x14ac:dyDescent="0.25">
      <c r="A171" s="1" t="s">
        <v>180</v>
      </c>
      <c r="B171" s="1" t="s">
        <v>452</v>
      </c>
      <c r="C171" t="s">
        <v>732</v>
      </c>
    </row>
    <row r="172" spans="1:3" x14ac:dyDescent="0.25">
      <c r="A172" s="1" t="s">
        <v>321</v>
      </c>
      <c r="B172" s="1" t="s">
        <v>452</v>
      </c>
      <c r="C172" t="s">
        <v>732</v>
      </c>
    </row>
    <row r="173" spans="1:3" x14ac:dyDescent="0.25">
      <c r="A173" s="1" t="s">
        <v>190</v>
      </c>
      <c r="B173" s="1" t="s">
        <v>452</v>
      </c>
      <c r="C173" t="s">
        <v>732</v>
      </c>
    </row>
    <row r="174" spans="1:3" x14ac:dyDescent="0.25">
      <c r="A174" s="1" t="s">
        <v>360</v>
      </c>
      <c r="B174" s="1" t="s">
        <v>470</v>
      </c>
      <c r="C174" s="1" t="s">
        <v>730</v>
      </c>
    </row>
    <row r="175" spans="1:3" x14ac:dyDescent="0.25">
      <c r="A175" s="1" t="s">
        <v>269</v>
      </c>
      <c r="B175" s="1" t="s">
        <v>470</v>
      </c>
      <c r="C175" s="1" t="s">
        <v>730</v>
      </c>
    </row>
    <row r="176" spans="1:3" x14ac:dyDescent="0.25">
      <c r="A176" t="s">
        <v>347</v>
      </c>
      <c r="B176" s="1" t="s">
        <v>454</v>
      </c>
      <c r="C176" s="1" t="s">
        <v>366</v>
      </c>
    </row>
    <row r="177" spans="1:3" x14ac:dyDescent="0.25">
      <c r="A177" s="1" t="s">
        <v>166</v>
      </c>
      <c r="B177" t="s">
        <v>468</v>
      </c>
      <c r="C177" t="s">
        <v>733</v>
      </c>
    </row>
    <row r="178" spans="1:3" x14ac:dyDescent="0.25">
      <c r="A178" t="s">
        <v>207</v>
      </c>
      <c r="B178" s="1" t="s">
        <v>464</v>
      </c>
      <c r="C178" t="s">
        <v>736</v>
      </c>
    </row>
    <row r="179" spans="1:3" x14ac:dyDescent="0.25">
      <c r="A179" s="1" t="s">
        <v>299</v>
      </c>
      <c r="B179" s="1" t="s">
        <v>467</v>
      </c>
      <c r="C179" s="1" t="s">
        <v>731</v>
      </c>
    </row>
    <row r="180" spans="1:3" x14ac:dyDescent="0.25">
      <c r="A180" s="1" t="s">
        <v>260</v>
      </c>
      <c r="B180" t="s">
        <v>472</v>
      </c>
      <c r="C180" s="1" t="s">
        <v>372</v>
      </c>
    </row>
    <row r="181" spans="1:3" x14ac:dyDescent="0.25">
      <c r="A181" t="s">
        <v>346</v>
      </c>
      <c r="B181" s="1" t="s">
        <v>456</v>
      </c>
      <c r="C181" s="1" t="s">
        <v>364</v>
      </c>
    </row>
    <row r="182" spans="1:3" x14ac:dyDescent="0.25">
      <c r="A182" t="s">
        <v>217</v>
      </c>
      <c r="B182" t="s">
        <v>468</v>
      </c>
      <c r="C182" t="s">
        <v>733</v>
      </c>
    </row>
    <row r="183" spans="1:3" x14ac:dyDescent="0.25">
      <c r="A183" t="s">
        <v>211</v>
      </c>
      <c r="B183" s="1" t="s">
        <v>467</v>
      </c>
      <c r="C183" s="1" t="s">
        <v>731</v>
      </c>
    </row>
    <row r="184" spans="1:3" x14ac:dyDescent="0.25">
      <c r="A184" s="1" t="s">
        <v>298</v>
      </c>
      <c r="B184" t="s">
        <v>471</v>
      </c>
      <c r="C184" s="1" t="s">
        <v>371</v>
      </c>
    </row>
    <row r="185" spans="1:3" x14ac:dyDescent="0.25">
      <c r="A185" t="s">
        <v>350</v>
      </c>
      <c r="B185" s="1" t="s">
        <v>471</v>
      </c>
      <c r="C185" s="1" t="s">
        <v>371</v>
      </c>
    </row>
    <row r="186" spans="1:3" x14ac:dyDescent="0.25">
      <c r="A186" s="1" t="s">
        <v>272</v>
      </c>
      <c r="B186" t="s">
        <v>454</v>
      </c>
      <c r="C186" s="1" t="s">
        <v>366</v>
      </c>
    </row>
    <row r="187" spans="1:3" x14ac:dyDescent="0.25">
      <c r="A187" s="1" t="s">
        <v>278</v>
      </c>
      <c r="B187" s="1" t="s">
        <v>458</v>
      </c>
      <c r="C187" s="1" t="s">
        <v>362</v>
      </c>
    </row>
    <row r="188" spans="1:3" x14ac:dyDescent="0.25">
      <c r="A188" t="s">
        <v>194</v>
      </c>
      <c r="B188" s="1" t="s">
        <v>466</v>
      </c>
      <c r="C188" t="s">
        <v>738</v>
      </c>
    </row>
    <row r="189" spans="1:3" x14ac:dyDescent="0.25">
      <c r="A189" s="1" t="s">
        <v>275</v>
      </c>
      <c r="B189" s="1" t="s">
        <v>471</v>
      </c>
      <c r="C189" s="1" t="s">
        <v>371</v>
      </c>
    </row>
    <row r="190" spans="1:3" x14ac:dyDescent="0.25">
      <c r="A190" s="1" t="s">
        <v>323</v>
      </c>
      <c r="B190" s="1" t="s">
        <v>459</v>
      </c>
      <c r="C190" s="1" t="s">
        <v>365</v>
      </c>
    </row>
    <row r="191" spans="1:3" x14ac:dyDescent="0.25">
      <c r="A191" s="1" t="s">
        <v>361</v>
      </c>
      <c r="B191" s="1" t="s">
        <v>454</v>
      </c>
      <c r="C191" s="1" t="s">
        <v>366</v>
      </c>
    </row>
    <row r="192" spans="1:3" x14ac:dyDescent="0.25">
      <c r="A192" s="1" t="s">
        <v>189</v>
      </c>
      <c r="B192" s="1" t="s">
        <v>454</v>
      </c>
      <c r="C192" s="1" t="s">
        <v>366</v>
      </c>
    </row>
    <row r="193" spans="1:3" x14ac:dyDescent="0.25">
      <c r="A193" s="1" t="s">
        <v>283</v>
      </c>
      <c r="B193" s="1" t="s">
        <v>457</v>
      </c>
      <c r="C193" s="1" t="s">
        <v>734</v>
      </c>
    </row>
    <row r="194" spans="1:3" x14ac:dyDescent="0.25">
      <c r="A194" s="1" t="s">
        <v>159</v>
      </c>
      <c r="B194" s="1" t="s">
        <v>471</v>
      </c>
      <c r="C194" s="1" t="s">
        <v>371</v>
      </c>
    </row>
    <row r="195" spans="1:3" x14ac:dyDescent="0.25">
      <c r="A195" t="s">
        <v>355</v>
      </c>
      <c r="B195" s="1" t="s">
        <v>453</v>
      </c>
      <c r="C195" t="s">
        <v>370</v>
      </c>
    </row>
    <row r="196" spans="1:3" x14ac:dyDescent="0.25">
      <c r="A196" s="1" t="s">
        <v>261</v>
      </c>
      <c r="B196" t="s">
        <v>452</v>
      </c>
      <c r="C196" t="s">
        <v>732</v>
      </c>
    </row>
    <row r="197" spans="1:3" x14ac:dyDescent="0.25">
      <c r="A197" s="1" t="s">
        <v>173</v>
      </c>
      <c r="B197" s="1" t="s">
        <v>456</v>
      </c>
      <c r="C197" s="1" t="s">
        <v>364</v>
      </c>
    </row>
    <row r="198" spans="1:3" x14ac:dyDescent="0.25">
      <c r="A198" t="s">
        <v>224</v>
      </c>
      <c r="B198" s="1" t="s">
        <v>470</v>
      </c>
      <c r="C198" s="1" t="s">
        <v>730</v>
      </c>
    </row>
    <row r="199" spans="1:3" x14ac:dyDescent="0.25">
      <c r="A199" s="1" t="s">
        <v>160</v>
      </c>
      <c r="B199" t="s">
        <v>456</v>
      </c>
      <c r="C199" s="1" t="s">
        <v>364</v>
      </c>
    </row>
    <row r="200" spans="1:3" x14ac:dyDescent="0.25">
      <c r="A200" t="s">
        <v>233</v>
      </c>
      <c r="B200" t="s">
        <v>456</v>
      </c>
      <c r="C200" s="1" t="s">
        <v>364</v>
      </c>
    </row>
    <row r="201" spans="1:3" x14ac:dyDescent="0.25">
      <c r="A201" s="1" t="s">
        <v>142</v>
      </c>
      <c r="B201" t="s">
        <v>470</v>
      </c>
      <c r="C201" s="1" t="s">
        <v>730</v>
      </c>
    </row>
    <row r="202" spans="1:3" x14ac:dyDescent="0.25">
      <c r="A202" t="s">
        <v>234</v>
      </c>
      <c r="B202" s="1" t="s">
        <v>470</v>
      </c>
      <c r="C202" s="1" t="s">
        <v>730</v>
      </c>
    </row>
    <row r="203" spans="1:3" x14ac:dyDescent="0.25">
      <c r="A203" t="s">
        <v>357</v>
      </c>
      <c r="B203" s="1" t="s">
        <v>466</v>
      </c>
      <c r="C203" t="s">
        <v>738</v>
      </c>
    </row>
    <row r="204" spans="1:3" x14ac:dyDescent="0.25">
      <c r="A204" s="1" t="s">
        <v>340</v>
      </c>
      <c r="B204" t="s">
        <v>465</v>
      </c>
      <c r="C204" t="s">
        <v>737</v>
      </c>
    </row>
    <row r="205" spans="1:3" x14ac:dyDescent="0.25">
      <c r="A205" t="s">
        <v>193</v>
      </c>
      <c r="B205" s="1" t="s">
        <v>461</v>
      </c>
      <c r="C205" t="s">
        <v>369</v>
      </c>
    </row>
    <row r="206" spans="1:3" x14ac:dyDescent="0.25">
      <c r="A206" t="s">
        <v>209</v>
      </c>
      <c r="B206" t="s">
        <v>470</v>
      </c>
      <c r="C206" s="1" t="s">
        <v>730</v>
      </c>
    </row>
    <row r="207" spans="1:3" x14ac:dyDescent="0.25">
      <c r="A207" s="1" t="s">
        <v>338</v>
      </c>
      <c r="B207" t="s">
        <v>464</v>
      </c>
      <c r="C207" t="s">
        <v>736</v>
      </c>
    </row>
    <row r="208" spans="1:3" x14ac:dyDescent="0.25">
      <c r="A208" s="1" t="s">
        <v>172</v>
      </c>
      <c r="B208" s="1" t="s">
        <v>465</v>
      </c>
      <c r="C208" t="s">
        <v>737</v>
      </c>
    </row>
    <row r="209" spans="1:3" x14ac:dyDescent="0.25">
      <c r="A209" s="1" t="s">
        <v>179</v>
      </c>
      <c r="B209" s="1" t="s">
        <v>459</v>
      </c>
      <c r="C209" s="1" t="s">
        <v>365</v>
      </c>
    </row>
    <row r="210" spans="1:3" x14ac:dyDescent="0.25">
      <c r="A210" s="1" t="s">
        <v>312</v>
      </c>
      <c r="B210" s="1" t="s">
        <v>459</v>
      </c>
      <c r="C210" s="1" t="s">
        <v>365</v>
      </c>
    </row>
    <row r="211" spans="1:3" x14ac:dyDescent="0.25">
      <c r="A211" s="1" t="s">
        <v>316</v>
      </c>
      <c r="B211" s="1" t="s">
        <v>465</v>
      </c>
      <c r="C211" t="s">
        <v>737</v>
      </c>
    </row>
    <row r="212" spans="1:3" x14ac:dyDescent="0.25">
      <c r="A212" s="1" t="s">
        <v>257</v>
      </c>
      <c r="B212" t="s">
        <v>472</v>
      </c>
      <c r="C212" s="1" t="s">
        <v>372</v>
      </c>
    </row>
    <row r="213" spans="1:3" x14ac:dyDescent="0.25">
      <c r="A213" t="s">
        <v>196</v>
      </c>
      <c r="B213" s="1" t="s">
        <v>464</v>
      </c>
      <c r="C213" t="s">
        <v>736</v>
      </c>
    </row>
    <row r="214" spans="1:3" x14ac:dyDescent="0.25">
      <c r="A214" t="s">
        <v>353</v>
      </c>
      <c r="B214" t="s">
        <v>456</v>
      </c>
      <c r="C214" s="1" t="s">
        <v>364</v>
      </c>
    </row>
    <row r="215" spans="1:3" x14ac:dyDescent="0.25">
      <c r="A215" s="1" t="s">
        <v>177</v>
      </c>
      <c r="B215" t="s">
        <v>459</v>
      </c>
      <c r="C215" s="1" t="s">
        <v>365</v>
      </c>
    </row>
    <row r="216" spans="1:3" x14ac:dyDescent="0.25">
      <c r="A216" t="s">
        <v>351</v>
      </c>
      <c r="B216" s="1" t="s">
        <v>467</v>
      </c>
      <c r="C216" s="1" t="s">
        <v>731</v>
      </c>
    </row>
    <row r="217" spans="1:3" x14ac:dyDescent="0.25">
      <c r="A217" s="1" t="s">
        <v>185</v>
      </c>
      <c r="B217" s="1" t="s">
        <v>459</v>
      </c>
      <c r="C217" s="1" t="s">
        <v>365</v>
      </c>
    </row>
    <row r="218" spans="1:3" x14ac:dyDescent="0.25">
      <c r="A218" t="s">
        <v>220</v>
      </c>
      <c r="B218" s="1" t="s">
        <v>466</v>
      </c>
      <c r="C218" t="s">
        <v>738</v>
      </c>
    </row>
    <row r="219" spans="1:3" x14ac:dyDescent="0.25">
      <c r="A219" s="29" t="s">
        <v>484</v>
      </c>
      <c r="C219" s="29">
        <f>SUBTOTAL(103,Table2[Sub Groups])</f>
        <v>213</v>
      </c>
    </row>
  </sheetData>
  <mergeCells count="2">
    <mergeCell ref="A3:C3"/>
    <mergeCell ref="G4:H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7</xdr:col>
                    <xdr:colOff>1123950</xdr:colOff>
                    <xdr:row>1</xdr:row>
                    <xdr:rowOff>485775</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E218"/>
  <sheetViews>
    <sheetView workbookViewId="0">
      <pane ySplit="4" topLeftCell="A5" activePane="bottomLeft" state="frozen"/>
      <selection pane="bottomLeft" activeCell="A3" sqref="A3"/>
    </sheetView>
  </sheetViews>
  <sheetFormatPr defaultRowHeight="15" x14ac:dyDescent="0.25"/>
  <cols>
    <col min="1" max="1" width="34.28515625" bestFit="1" customWidth="1"/>
    <col min="2" max="2" width="51" customWidth="1"/>
    <col min="3" max="3" width="52.140625" customWidth="1"/>
    <col min="5" max="6" width="14.140625" bestFit="1" customWidth="1"/>
  </cols>
  <sheetData>
    <row r="1" spans="1:5" ht="15.75" thickBot="1" x14ac:dyDescent="0.3"/>
    <row r="2" spans="1:5" ht="15.75" thickBot="1" x14ac:dyDescent="0.3">
      <c r="A2" s="50" t="s">
        <v>1099</v>
      </c>
      <c r="B2" s="50"/>
      <c r="C2" s="50"/>
      <c r="E2" s="17" t="s">
        <v>480</v>
      </c>
    </row>
    <row r="3" spans="1:5" x14ac:dyDescent="0.25">
      <c r="A3" s="34" t="str">
        <f>'Thematic Analysis'!E6</f>
        <v>Concern</v>
      </c>
      <c r="B3" s="35" t="s">
        <v>474</v>
      </c>
      <c r="C3" s="36" t="s">
        <v>475</v>
      </c>
    </row>
    <row r="4" spans="1:5" x14ac:dyDescent="0.25">
      <c r="A4" s="11" t="s">
        <v>499</v>
      </c>
      <c r="B4" s="11" t="s">
        <v>492</v>
      </c>
      <c r="C4" s="11" t="s">
        <v>493</v>
      </c>
    </row>
    <row r="5" spans="1:5" ht="30" x14ac:dyDescent="0.25">
      <c r="A5" s="1" t="str">
        <f>Glossary!A6</f>
        <v>Access to information</v>
      </c>
      <c r="B5" s="38" t="s">
        <v>500</v>
      </c>
      <c r="C5" s="38" t="s">
        <v>858</v>
      </c>
    </row>
    <row r="6" spans="1:5" ht="30" x14ac:dyDescent="0.25">
      <c r="A6" s="1" t="str">
        <f>Glossary!A7</f>
        <v>Accuracy of data</v>
      </c>
      <c r="B6" s="38" t="s">
        <v>502</v>
      </c>
      <c r="C6" s="38" t="s">
        <v>859</v>
      </c>
    </row>
    <row r="7" spans="1:5" ht="30" x14ac:dyDescent="0.25">
      <c r="A7" s="1" t="str">
        <f>Glossary!A8</f>
        <v>Accuracy of Reporting</v>
      </c>
      <c r="B7" s="38" t="s">
        <v>503</v>
      </c>
      <c r="C7" s="38" t="s">
        <v>953</v>
      </c>
    </row>
    <row r="8" spans="1:5" ht="30" x14ac:dyDescent="0.25">
      <c r="A8" s="1" t="str">
        <f>Glossary!A9</f>
        <v>Achieving business priorities</v>
      </c>
      <c r="B8" s="38" t="s">
        <v>504</v>
      </c>
      <c r="C8" s="38" t="s">
        <v>984</v>
      </c>
    </row>
    <row r="9" spans="1:5" ht="30" x14ac:dyDescent="0.25">
      <c r="A9" s="1" t="str">
        <f>Glossary!A10</f>
        <v>Achieving outcomes</v>
      </c>
      <c r="B9" s="38" t="s">
        <v>505</v>
      </c>
      <c r="C9" s="38" t="s">
        <v>926</v>
      </c>
    </row>
    <row r="10" spans="1:5" ht="30" x14ac:dyDescent="0.25">
      <c r="A10" s="1" t="str">
        <f>Glossary!A11</f>
        <v>Alignment</v>
      </c>
      <c r="B10" s="38" t="s">
        <v>506</v>
      </c>
      <c r="C10" s="38" t="s">
        <v>986</v>
      </c>
    </row>
    <row r="11" spans="1:5" ht="30" x14ac:dyDescent="0.25">
      <c r="A11" s="1" t="str">
        <f>Glossary!A12</f>
        <v>Alignment with business benefits</v>
      </c>
      <c r="B11" s="38" t="s">
        <v>830</v>
      </c>
      <c r="C11" s="38" t="s">
        <v>831</v>
      </c>
    </row>
    <row r="12" spans="1:5" ht="30" x14ac:dyDescent="0.25">
      <c r="A12" s="1" t="str">
        <f>Glossary!A13</f>
        <v>Alignment with initiatives</v>
      </c>
      <c r="B12" s="38" t="s">
        <v>507</v>
      </c>
      <c r="C12" s="38" t="s">
        <v>946</v>
      </c>
    </row>
    <row r="13" spans="1:5" ht="30" x14ac:dyDescent="0.25">
      <c r="A13" s="1" t="str">
        <f>Glossary!A14</f>
        <v>Alignment with national initiatives</v>
      </c>
      <c r="B13" s="38" t="s">
        <v>508</v>
      </c>
      <c r="C13" s="38" t="s">
        <v>932</v>
      </c>
    </row>
    <row r="14" spans="1:5" ht="30" x14ac:dyDescent="0.25">
      <c r="A14" s="1" t="str">
        <f>Glossary!A15</f>
        <v>Alignment with reform programs</v>
      </c>
      <c r="B14" s="38" t="s">
        <v>509</v>
      </c>
      <c r="C14" s="38" t="s">
        <v>841</v>
      </c>
    </row>
    <row r="15" spans="1:5" ht="30" x14ac:dyDescent="0.25">
      <c r="A15" s="1" t="str">
        <f>Glossary!A16</f>
        <v>Alignment with Results and Services Plan</v>
      </c>
      <c r="B15" s="38" t="s">
        <v>510</v>
      </c>
      <c r="C15" s="38" t="s">
        <v>960</v>
      </c>
    </row>
    <row r="16" spans="1:5" ht="30" x14ac:dyDescent="0.25">
      <c r="A16" s="1" t="str">
        <f>Glossary!A17</f>
        <v>Allocation of resources</v>
      </c>
      <c r="B16" s="38" t="s">
        <v>511</v>
      </c>
      <c r="C16" s="38" t="s">
        <v>956</v>
      </c>
    </row>
    <row r="17" spans="1:3" ht="30" x14ac:dyDescent="0.25">
      <c r="A17" s="1" t="str">
        <f>Glossary!A18</f>
        <v>Appropriate consumer delivery</v>
      </c>
      <c r="B17" s="38" t="s">
        <v>512</v>
      </c>
      <c r="C17" s="38" t="s">
        <v>974</v>
      </c>
    </row>
    <row r="18" spans="1:3" ht="30" x14ac:dyDescent="0.25">
      <c r="A18" s="1" t="str">
        <f>Glossary!A19</f>
        <v>Appropriate resource utilization</v>
      </c>
      <c r="B18" s="38" t="s">
        <v>513</v>
      </c>
      <c r="C18" s="38" t="s">
        <v>957</v>
      </c>
    </row>
    <row r="19" spans="1:3" ht="30" x14ac:dyDescent="0.25">
      <c r="A19" s="1" t="str">
        <f>Glossary!A20</f>
        <v>Availability of services</v>
      </c>
      <c r="B19" s="38" t="s">
        <v>514</v>
      </c>
      <c r="C19" s="38" t="s">
        <v>971</v>
      </c>
    </row>
    <row r="20" spans="1:3" ht="30" x14ac:dyDescent="0.25">
      <c r="A20" s="1" t="str">
        <f>Glossary!A21</f>
        <v>Benefit to the organization</v>
      </c>
      <c r="B20" s="38" t="s">
        <v>515</v>
      </c>
      <c r="C20" s="38" t="s">
        <v>924</v>
      </c>
    </row>
    <row r="21" spans="1:3" ht="30" x14ac:dyDescent="0.25">
      <c r="A21" s="1" t="str">
        <f>Glossary!A22</f>
        <v>Benefits realization</v>
      </c>
      <c r="B21" s="38" t="s">
        <v>821</v>
      </c>
      <c r="C21" s="38" t="s">
        <v>822</v>
      </c>
    </row>
    <row r="22" spans="1:3" ht="30" x14ac:dyDescent="0.25">
      <c r="A22" s="1" t="str">
        <f>Glossary!A23</f>
        <v>Budget negotiation</v>
      </c>
      <c r="B22" s="38" t="s">
        <v>516</v>
      </c>
      <c r="C22" s="38" t="s">
        <v>878</v>
      </c>
    </row>
    <row r="23" spans="1:3" ht="30" x14ac:dyDescent="0.25">
      <c r="A23" s="1" t="str">
        <f>Glossary!A24</f>
        <v>Business reform</v>
      </c>
      <c r="B23" s="38" t="s">
        <v>517</v>
      </c>
      <c r="C23" s="38" t="s">
        <v>840</v>
      </c>
    </row>
    <row r="24" spans="1:3" ht="30" x14ac:dyDescent="0.25">
      <c r="A24" s="1" t="str">
        <f>Glossary!A25</f>
        <v>Business strategy</v>
      </c>
      <c r="B24" s="38" t="s">
        <v>506</v>
      </c>
      <c r="C24" s="38" t="s">
        <v>986</v>
      </c>
    </row>
    <row r="25" spans="1:3" ht="30" x14ac:dyDescent="0.25">
      <c r="A25" s="1" t="str">
        <f>Glossary!A26</f>
        <v>Capacity for large-scale change</v>
      </c>
      <c r="B25" s="38" t="s">
        <v>518</v>
      </c>
      <c r="C25" s="38" t="s">
        <v>842</v>
      </c>
    </row>
    <row r="26" spans="1:3" ht="30" x14ac:dyDescent="0.25">
      <c r="A26" s="1" t="str">
        <f>Glossary!A27</f>
        <v>Capacity optimization</v>
      </c>
      <c r="B26" s="38" t="s">
        <v>519</v>
      </c>
      <c r="C26" s="38" t="s">
        <v>927</v>
      </c>
    </row>
    <row r="27" spans="1:3" ht="30" x14ac:dyDescent="0.25">
      <c r="A27" s="1" t="str">
        <f>Glossary!A28</f>
        <v>Change control process</v>
      </c>
      <c r="B27" s="38" t="s">
        <v>157</v>
      </c>
      <c r="C27" s="38" t="s">
        <v>882</v>
      </c>
    </row>
    <row r="28" spans="1:3" ht="30" x14ac:dyDescent="0.25">
      <c r="A28" s="1" t="str">
        <f>Glossary!A29</f>
        <v>Change management</v>
      </c>
      <c r="B28" s="38" t="s">
        <v>520</v>
      </c>
      <c r="C28" s="38" t="s">
        <v>1005</v>
      </c>
    </row>
    <row r="29" spans="1:3" ht="30" x14ac:dyDescent="0.25">
      <c r="A29" s="1" t="str">
        <f>Glossary!A30</f>
        <v>Classification of applications</v>
      </c>
      <c r="B29" s="38" t="s">
        <v>813</v>
      </c>
      <c r="C29" s="38" t="s">
        <v>814</v>
      </c>
    </row>
    <row r="30" spans="1:3" ht="30" x14ac:dyDescent="0.25">
      <c r="A30" s="1" t="str">
        <f>Glossary!A31</f>
        <v>Collaboration</v>
      </c>
      <c r="B30" s="38" t="s">
        <v>521</v>
      </c>
      <c r="C30" s="38" t="s">
        <v>981</v>
      </c>
    </row>
    <row r="31" spans="1:3" ht="30" x14ac:dyDescent="0.25">
      <c r="A31" s="1" t="str">
        <f>Glossary!A32</f>
        <v>Collaboration across jurisdictions</v>
      </c>
      <c r="B31" s="38" t="s">
        <v>522</v>
      </c>
      <c r="C31" s="38" t="s">
        <v>900</v>
      </c>
    </row>
    <row r="32" spans="1:3" ht="30" x14ac:dyDescent="0.25">
      <c r="A32" s="1" t="str">
        <f>Glossary!A33</f>
        <v>Collaborative framework</v>
      </c>
      <c r="B32" s="38" t="s">
        <v>523</v>
      </c>
      <c r="C32" s="38" t="s">
        <v>884</v>
      </c>
    </row>
    <row r="33" spans="1:3" ht="30" x14ac:dyDescent="0.25">
      <c r="A33" s="1" t="str">
        <f>Glossary!A34</f>
        <v>Collaborative implementation</v>
      </c>
      <c r="B33" s="38" t="s">
        <v>524</v>
      </c>
      <c r="C33" s="38" t="s">
        <v>903</v>
      </c>
    </row>
    <row r="34" spans="1:3" ht="30" x14ac:dyDescent="0.25">
      <c r="A34" s="1" t="str">
        <f>Glossary!A35</f>
        <v>Common processes across ICT</v>
      </c>
      <c r="B34" s="38" t="s">
        <v>525</v>
      </c>
      <c r="C34" s="38" t="s">
        <v>943</v>
      </c>
    </row>
    <row r="35" spans="1:3" ht="30" x14ac:dyDescent="0.25">
      <c r="A35" s="1" t="str">
        <f>Glossary!A36</f>
        <v>Communication</v>
      </c>
      <c r="B35" s="38" t="s">
        <v>497</v>
      </c>
      <c r="C35" s="38" t="s">
        <v>845</v>
      </c>
    </row>
    <row r="36" spans="1:3" ht="30" x14ac:dyDescent="0.25">
      <c r="A36" s="1" t="str">
        <f>Glossary!A37</f>
        <v>Compatibility</v>
      </c>
      <c r="B36" s="38" t="s">
        <v>526</v>
      </c>
      <c r="C36" s="38" t="s">
        <v>993</v>
      </c>
    </row>
    <row r="37" spans="1:3" ht="30" x14ac:dyDescent="0.25">
      <c r="A37" s="1" t="str">
        <f>Glossary!A38</f>
        <v>Compatibility between systems</v>
      </c>
      <c r="B37" s="38" t="s">
        <v>527</v>
      </c>
      <c r="C37" s="38" t="s">
        <v>899</v>
      </c>
    </row>
    <row r="38" spans="1:3" ht="30" x14ac:dyDescent="0.25">
      <c r="A38" s="1" t="str">
        <f>Glossary!A39</f>
        <v>Competing demands for ICT funds</v>
      </c>
      <c r="B38" s="38" t="s">
        <v>827</v>
      </c>
      <c r="C38" s="38" t="s">
        <v>828</v>
      </c>
    </row>
    <row r="39" spans="1:3" ht="30" x14ac:dyDescent="0.25">
      <c r="A39" s="1" t="str">
        <f>Glossary!A40</f>
        <v>Complex needs problems</v>
      </c>
      <c r="B39" s="38" t="s">
        <v>539</v>
      </c>
      <c r="C39" s="38" t="s">
        <v>838</v>
      </c>
    </row>
    <row r="40" spans="1:3" ht="30" x14ac:dyDescent="0.25">
      <c r="A40" s="1" t="str">
        <f>Glossary!A41</f>
        <v>Complexity and duplication in service delivery</v>
      </c>
      <c r="B40" s="38" t="s">
        <v>529</v>
      </c>
      <c r="C40" s="38" t="s">
        <v>942</v>
      </c>
    </row>
    <row r="41" spans="1:3" ht="30" x14ac:dyDescent="0.25">
      <c r="A41" s="1" t="str">
        <f>Glossary!A42</f>
        <v>Compliance</v>
      </c>
      <c r="B41" s="38" t="s">
        <v>530</v>
      </c>
      <c r="C41" s="38" t="s">
        <v>930</v>
      </c>
    </row>
    <row r="42" spans="1:3" ht="30" x14ac:dyDescent="0.25">
      <c r="A42" s="1" t="str">
        <f>Glossary!A43</f>
        <v>Consideration of whole-of-government strategies</v>
      </c>
      <c r="B42" s="38" t="s">
        <v>531</v>
      </c>
      <c r="C42" s="38" t="s">
        <v>931</v>
      </c>
    </row>
    <row r="43" spans="1:3" ht="30" x14ac:dyDescent="0.25">
      <c r="A43" s="1" t="str">
        <f>Glossary!A44</f>
        <v>Consistency</v>
      </c>
      <c r="B43" s="38" t="s">
        <v>532</v>
      </c>
      <c r="C43" s="38" t="s">
        <v>982</v>
      </c>
    </row>
    <row r="44" spans="1:3" ht="30" x14ac:dyDescent="0.25">
      <c r="A44" s="1" t="str">
        <f>Glossary!A45</f>
        <v>Consistency in application development</v>
      </c>
      <c r="B44" s="38" t="s">
        <v>533</v>
      </c>
      <c r="C44" s="38" t="s">
        <v>867</v>
      </c>
    </row>
    <row r="45" spans="1:3" ht="30" x14ac:dyDescent="0.25">
      <c r="A45" s="1" t="str">
        <f>Glossary!A46</f>
        <v>Consistency in systems approaches</v>
      </c>
      <c r="B45" s="38" t="s">
        <v>534</v>
      </c>
      <c r="C45" s="38" t="s">
        <v>989</v>
      </c>
    </row>
    <row r="46" spans="1:3" ht="30" x14ac:dyDescent="0.25">
      <c r="A46" s="1" t="str">
        <f>Glossary!A47</f>
        <v>Constraints and opportunities</v>
      </c>
      <c r="B46" s="38" t="s">
        <v>535</v>
      </c>
      <c r="C46" s="38" t="s">
        <v>961</v>
      </c>
    </row>
    <row r="47" spans="1:3" ht="30" x14ac:dyDescent="0.25">
      <c r="A47" s="1" t="str">
        <f>Glossary!A48</f>
        <v>Constraints in funding</v>
      </c>
      <c r="B47" s="38" t="s">
        <v>825</v>
      </c>
      <c r="C47" s="38" t="s">
        <v>826</v>
      </c>
    </row>
    <row r="48" spans="1:3" ht="30" x14ac:dyDescent="0.25">
      <c r="A48" s="1" t="str">
        <f>Glossary!A49</f>
        <v>Consumer experience improvement</v>
      </c>
      <c r="B48" s="38" t="s">
        <v>536</v>
      </c>
      <c r="C48" s="38" t="s">
        <v>1010</v>
      </c>
    </row>
    <row r="49" spans="1:3" ht="30" x14ac:dyDescent="0.25">
      <c r="A49" s="1" t="str">
        <f>Glossary!A50</f>
        <v>Consumer support</v>
      </c>
      <c r="B49" s="38" t="s">
        <v>537</v>
      </c>
      <c r="C49" s="38" t="s">
        <v>886</v>
      </c>
    </row>
    <row r="50" spans="1:3" ht="30" x14ac:dyDescent="0.25">
      <c r="A50" s="1" t="str">
        <f>Glossary!A51</f>
        <v>Convergence of issues</v>
      </c>
      <c r="B50" s="38" t="s">
        <v>538</v>
      </c>
      <c r="C50" s="38" t="s">
        <v>898</v>
      </c>
    </row>
    <row r="51" spans="1:3" ht="30" x14ac:dyDescent="0.25">
      <c r="A51" s="1" t="str">
        <f>Glossary!A52</f>
        <v>Coordination of care</v>
      </c>
      <c r="B51" s="38" t="s">
        <v>599</v>
      </c>
      <c r="C51" s="38" t="s">
        <v>837</v>
      </c>
    </row>
    <row r="52" spans="1:3" ht="30" x14ac:dyDescent="0.25">
      <c r="A52" s="1" t="str">
        <f>Glossary!A53</f>
        <v>Core function delivery &amp; Urgent issue resolution</v>
      </c>
      <c r="B52" s="38" t="s">
        <v>540</v>
      </c>
      <c r="C52" s="38" t="s">
        <v>851</v>
      </c>
    </row>
    <row r="53" spans="1:3" ht="30" x14ac:dyDescent="0.25">
      <c r="A53" s="1" t="str">
        <f>Glossary!A54</f>
        <v>Core functionality vs area-specific needs</v>
      </c>
      <c r="B53" s="38" t="s">
        <v>815</v>
      </c>
      <c r="C53" s="38" t="s">
        <v>816</v>
      </c>
    </row>
    <row r="54" spans="1:3" ht="30" x14ac:dyDescent="0.25">
      <c r="A54" s="1" t="str">
        <f>Glossary!A55</f>
        <v>Corporate reform program</v>
      </c>
      <c r="B54" s="38" t="s">
        <v>541</v>
      </c>
      <c r="C54" s="38" t="s">
        <v>923</v>
      </c>
    </row>
    <row r="55" spans="1:3" ht="30" x14ac:dyDescent="0.25">
      <c r="A55" s="1" t="str">
        <f>Glossary!A56</f>
        <v>Cost savings</v>
      </c>
      <c r="B55" s="38" t="s">
        <v>542</v>
      </c>
      <c r="C55" s="38" t="s">
        <v>853</v>
      </c>
    </row>
    <row r="56" spans="1:3" ht="30" x14ac:dyDescent="0.25">
      <c r="A56" s="1" t="str">
        <f>Glossary!A57</f>
        <v>Costly materials</v>
      </c>
      <c r="B56" s="38" t="s">
        <v>543</v>
      </c>
      <c r="C56" s="38" t="s">
        <v>944</v>
      </c>
    </row>
    <row r="57" spans="1:3" ht="30" x14ac:dyDescent="0.25">
      <c r="A57" s="1" t="str">
        <f>Glossary!A58</f>
        <v>Costs of services</v>
      </c>
      <c r="B57" s="38" t="s">
        <v>544</v>
      </c>
      <c r="C57" s="38" t="s">
        <v>973</v>
      </c>
    </row>
    <row r="58" spans="1:3" ht="30" x14ac:dyDescent="0.25">
      <c r="A58" s="1" t="str">
        <f>Glossary!A59</f>
        <v>Critical areas</v>
      </c>
      <c r="B58" s="38" t="s">
        <v>545</v>
      </c>
      <c r="C58" s="38" t="s">
        <v>939</v>
      </c>
    </row>
    <row r="59" spans="1:3" x14ac:dyDescent="0.25">
      <c r="A59" s="1" t="str">
        <f>Glossary!A60</f>
        <v>Data accessibility</v>
      </c>
      <c r="B59" s="38" t="s">
        <v>546</v>
      </c>
      <c r="C59" s="38" t="s">
        <v>921</v>
      </c>
    </row>
    <row r="60" spans="1:3" ht="30" x14ac:dyDescent="0.25">
      <c r="A60" s="1" t="str">
        <f>Glossary!A61</f>
        <v>Data privacy</v>
      </c>
      <c r="B60" s="38" t="s">
        <v>547</v>
      </c>
      <c r="C60" s="38" t="s">
        <v>941</v>
      </c>
    </row>
    <row r="61" spans="1:3" ht="30" x14ac:dyDescent="0.25">
      <c r="A61" s="1" t="str">
        <f>Glossary!A62</f>
        <v>Data quality</v>
      </c>
      <c r="B61" s="38" t="s">
        <v>548</v>
      </c>
      <c r="C61" s="38" t="s">
        <v>856</v>
      </c>
    </row>
    <row r="62" spans="1:3" ht="30" x14ac:dyDescent="0.25">
      <c r="A62" s="1" t="str">
        <f>Glossary!A63</f>
        <v>Data security</v>
      </c>
      <c r="B62" s="38" t="s">
        <v>549</v>
      </c>
      <c r="C62" s="38" t="s">
        <v>854</v>
      </c>
    </row>
    <row r="63" spans="1:3" ht="30" x14ac:dyDescent="0.25">
      <c r="A63" s="1" t="str">
        <f>Glossary!A64</f>
        <v>Data sharing</v>
      </c>
      <c r="B63" s="38" t="s">
        <v>550</v>
      </c>
      <c r="C63" s="38" t="s">
        <v>895</v>
      </c>
    </row>
    <row r="64" spans="1:3" ht="30" x14ac:dyDescent="0.25">
      <c r="A64" s="1" t="str">
        <f>Glossary!A65</f>
        <v>Decision support</v>
      </c>
      <c r="B64" s="38" t="s">
        <v>551</v>
      </c>
      <c r="C64" s="38" t="s">
        <v>862</v>
      </c>
    </row>
    <row r="65" spans="1:3" ht="30" x14ac:dyDescent="0.25">
      <c r="A65" s="1" t="str">
        <f>Glossary!A66</f>
        <v>Demand for services</v>
      </c>
      <c r="B65" s="38" t="s">
        <v>552</v>
      </c>
      <c r="C65" s="38" t="s">
        <v>978</v>
      </c>
    </row>
    <row r="66" spans="1:3" ht="30" x14ac:dyDescent="0.25">
      <c r="A66" s="1" t="str">
        <f>Glossary!A67</f>
        <v>Dependency</v>
      </c>
      <c r="B66" s="38" t="s">
        <v>553</v>
      </c>
      <c r="C66" s="38" t="s">
        <v>991</v>
      </c>
    </row>
    <row r="67" spans="1:3" ht="30" x14ac:dyDescent="0.25">
      <c r="A67" s="1" t="str">
        <f>Glossary!A68</f>
        <v>Development of ICT strategy</v>
      </c>
      <c r="B67" s="38" t="s">
        <v>554</v>
      </c>
      <c r="C67" s="38" t="s">
        <v>890</v>
      </c>
    </row>
    <row r="68" spans="1:3" ht="30" x14ac:dyDescent="0.25">
      <c r="A68" s="1" t="str">
        <f>Glossary!A69</f>
        <v>Development process</v>
      </c>
      <c r="B68" s="38" t="s">
        <v>555</v>
      </c>
      <c r="C68" s="38" t="s">
        <v>980</v>
      </c>
    </row>
    <row r="69" spans="1:3" ht="30" x14ac:dyDescent="0.25">
      <c r="A69" s="1" t="str">
        <f>Glossary!A70</f>
        <v>Disconnect of strategy and implementation</v>
      </c>
      <c r="B69" s="38" t="s">
        <v>556</v>
      </c>
      <c r="C69" s="38" t="s">
        <v>876</v>
      </c>
    </row>
    <row r="70" spans="1:3" ht="30" x14ac:dyDescent="0.25">
      <c r="A70" s="1" t="str">
        <f>Glossary!A71</f>
        <v>Disparate systems</v>
      </c>
      <c r="B70" s="38" t="s">
        <v>557</v>
      </c>
      <c r="C70" s="38" t="s">
        <v>909</v>
      </c>
    </row>
    <row r="71" spans="1:3" ht="30" x14ac:dyDescent="0.25">
      <c r="A71" s="1" t="str">
        <f>Glossary!A72</f>
        <v>Disruption to processes</v>
      </c>
      <c r="B71" s="38" t="s">
        <v>832</v>
      </c>
      <c r="C71" s="38" t="s">
        <v>833</v>
      </c>
    </row>
    <row r="72" spans="1:3" ht="30" x14ac:dyDescent="0.25">
      <c r="A72" s="1" t="str">
        <f>Glossary!A73</f>
        <v>Duplication</v>
      </c>
      <c r="B72" s="38" t="s">
        <v>558</v>
      </c>
      <c r="C72" s="38" t="s">
        <v>952</v>
      </c>
    </row>
    <row r="73" spans="1:3" ht="30" x14ac:dyDescent="0.25">
      <c r="A73" s="1" t="str">
        <f>Glossary!A74</f>
        <v>Effectiveness</v>
      </c>
      <c r="B73" s="38" t="s">
        <v>619</v>
      </c>
      <c r="C73" s="38" t="s">
        <v>906</v>
      </c>
    </row>
    <row r="74" spans="1:3" ht="30" x14ac:dyDescent="0.25">
      <c r="A74" s="1" t="str">
        <f>Glossary!A75</f>
        <v>Effectiveness of services</v>
      </c>
      <c r="B74" s="38" t="s">
        <v>559</v>
      </c>
      <c r="C74" s="38" t="s">
        <v>976</v>
      </c>
    </row>
    <row r="75" spans="1:3" ht="30" x14ac:dyDescent="0.25">
      <c r="A75" s="1" t="str">
        <f>Glossary!A76</f>
        <v>Efficient structures</v>
      </c>
      <c r="B75" s="38" t="s">
        <v>560</v>
      </c>
      <c r="C75" s="38" t="s">
        <v>907</v>
      </c>
    </row>
    <row r="76" spans="1:3" ht="30" x14ac:dyDescent="0.25">
      <c r="A76" s="1" t="str">
        <f>Glossary!A77</f>
        <v>Employee management</v>
      </c>
      <c r="B76" s="38" t="s">
        <v>561</v>
      </c>
      <c r="C76" s="38" t="s">
        <v>888</v>
      </c>
    </row>
    <row r="77" spans="1:3" ht="30" x14ac:dyDescent="0.25">
      <c r="A77" s="1" t="str">
        <f>Glossary!A78</f>
        <v>Enhancement of coordination</v>
      </c>
      <c r="B77" s="38" t="s">
        <v>562</v>
      </c>
      <c r="C77" s="38" t="s">
        <v>1014</v>
      </c>
    </row>
    <row r="78" spans="1:3" ht="30" x14ac:dyDescent="0.25">
      <c r="A78" s="1" t="str">
        <f>Glossary!A79</f>
        <v>Equal system participation</v>
      </c>
      <c r="B78" s="38" t="s">
        <v>805</v>
      </c>
      <c r="C78" s="38" t="s">
        <v>806</v>
      </c>
    </row>
    <row r="79" spans="1:3" x14ac:dyDescent="0.25">
      <c r="A79" s="1" t="str">
        <f>Glossary!A80</f>
        <v>Evaluation criteria</v>
      </c>
      <c r="B79" s="38" t="s">
        <v>563</v>
      </c>
      <c r="C79" s="38" t="s">
        <v>951</v>
      </c>
    </row>
    <row r="80" spans="1:3" ht="30" x14ac:dyDescent="0.25">
      <c r="A80" s="1" t="str">
        <f>Glossary!A81</f>
        <v>Expensive technologies</v>
      </c>
      <c r="B80" s="38" t="s">
        <v>564</v>
      </c>
      <c r="C80" s="38" t="s">
        <v>852</v>
      </c>
    </row>
    <row r="81" spans="1:3" ht="30" x14ac:dyDescent="0.25">
      <c r="A81" s="1" t="str">
        <f>Glossary!A82</f>
        <v>Financial management</v>
      </c>
      <c r="B81" s="38" t="s">
        <v>565</v>
      </c>
      <c r="C81" s="38" t="s">
        <v>829</v>
      </c>
    </row>
    <row r="82" spans="1:3" ht="30" x14ac:dyDescent="0.25">
      <c r="A82" s="1" t="str">
        <f>Glossary!A83</f>
        <v>Fragmentation</v>
      </c>
      <c r="B82" s="38" t="s">
        <v>566</v>
      </c>
      <c r="C82" s="38" t="s">
        <v>998</v>
      </c>
    </row>
    <row r="83" spans="1:3" ht="30" x14ac:dyDescent="0.25">
      <c r="A83" s="1" t="str">
        <f>Glossary!A84</f>
        <v>Funding availability</v>
      </c>
      <c r="B83" s="38" t="s">
        <v>567</v>
      </c>
      <c r="C83" s="38" t="s">
        <v>880</v>
      </c>
    </row>
    <row r="84" spans="1:3" ht="30" x14ac:dyDescent="0.25">
      <c r="A84" s="1" t="str">
        <f>Glossary!A85</f>
        <v>Future benefits</v>
      </c>
      <c r="B84" s="38" t="s">
        <v>367</v>
      </c>
      <c r="C84" s="38" t="s">
        <v>879</v>
      </c>
    </row>
    <row r="85" spans="1:3" ht="30" x14ac:dyDescent="0.25">
      <c r="A85" s="1" t="str">
        <f>Glossary!A86</f>
        <v>Future system demand</v>
      </c>
      <c r="B85" s="38" t="s">
        <v>680</v>
      </c>
      <c r="C85" s="38" t="s">
        <v>835</v>
      </c>
    </row>
    <row r="86" spans="1:3" ht="30" x14ac:dyDescent="0.25">
      <c r="A86" s="1" t="str">
        <f>Glossary!A87</f>
        <v>Governance</v>
      </c>
      <c r="B86" s="38" t="s">
        <v>569</v>
      </c>
      <c r="C86" s="38" t="s">
        <v>947</v>
      </c>
    </row>
    <row r="87" spans="1:3" ht="30" x14ac:dyDescent="0.25">
      <c r="A87" s="1" t="str">
        <f>Glossary!A88</f>
        <v>Government priorities</v>
      </c>
      <c r="B87" s="38" t="s">
        <v>570</v>
      </c>
      <c r="C87" s="38" t="s">
        <v>934</v>
      </c>
    </row>
    <row r="88" spans="1:3" ht="30" x14ac:dyDescent="0.25">
      <c r="A88" s="1" t="str">
        <f>Glossary!A89</f>
        <v>Guidelines application</v>
      </c>
      <c r="B88" s="38" t="s">
        <v>823</v>
      </c>
      <c r="C88" s="38" t="s">
        <v>824</v>
      </c>
    </row>
    <row r="89" spans="1:3" ht="30" x14ac:dyDescent="0.25">
      <c r="A89" s="1" t="str">
        <f>Glossary!A90</f>
        <v>Hardware management</v>
      </c>
      <c r="B89" s="38" t="s">
        <v>817</v>
      </c>
      <c r="C89" s="38" t="s">
        <v>818</v>
      </c>
    </row>
    <row r="90" spans="1:3" ht="30" x14ac:dyDescent="0.25">
      <c r="A90" s="1" t="str">
        <f>Glossary!A91</f>
        <v>High expectations</v>
      </c>
      <c r="B90" s="38" t="s">
        <v>521</v>
      </c>
      <c r="C90" s="38" t="s">
        <v>981</v>
      </c>
    </row>
    <row r="91" spans="1:3" ht="30" x14ac:dyDescent="0.25">
      <c r="A91" s="1" t="str">
        <f>Glossary!A92</f>
        <v>High user rates</v>
      </c>
      <c r="B91" s="38" t="s">
        <v>571</v>
      </c>
      <c r="C91" s="38" t="s">
        <v>997</v>
      </c>
    </row>
    <row r="92" spans="1:3" ht="30" x14ac:dyDescent="0.25">
      <c r="A92" s="1" t="str">
        <f>Glossary!A93</f>
        <v>ICT Alignment</v>
      </c>
      <c r="B92" s="38" t="s">
        <v>572</v>
      </c>
      <c r="C92" s="38" t="s">
        <v>901</v>
      </c>
    </row>
    <row r="93" spans="1:3" ht="30" x14ac:dyDescent="0.25">
      <c r="A93" s="1" t="str">
        <f>Glossary!A94</f>
        <v>ICT reform program</v>
      </c>
      <c r="B93" s="38" t="s">
        <v>573</v>
      </c>
      <c r="C93" s="38" t="s">
        <v>1004</v>
      </c>
    </row>
    <row r="94" spans="1:3" ht="30" x14ac:dyDescent="0.25">
      <c r="A94" s="1" t="str">
        <f>Glossary!A95</f>
        <v>ICT standards</v>
      </c>
      <c r="B94" s="38" t="s">
        <v>574</v>
      </c>
      <c r="C94" s="38" t="s">
        <v>846</v>
      </c>
    </row>
    <row r="95" spans="1:3" ht="30" x14ac:dyDescent="0.25">
      <c r="A95" s="1" t="str">
        <f>Glossary!A96</f>
        <v>ICT strategic plan</v>
      </c>
      <c r="B95" s="38" t="s">
        <v>575</v>
      </c>
      <c r="C95" s="38" t="s">
        <v>912</v>
      </c>
    </row>
    <row r="96" spans="1:3" ht="30" x14ac:dyDescent="0.25">
      <c r="A96" s="1" t="str">
        <f>Glossary!A97</f>
        <v>ICT strategies</v>
      </c>
      <c r="B96" s="38" t="s">
        <v>576</v>
      </c>
      <c r="C96" s="38" t="s">
        <v>893</v>
      </c>
    </row>
    <row r="97" spans="1:3" ht="30" x14ac:dyDescent="0.25">
      <c r="A97" s="1" t="str">
        <f>Glossary!A98</f>
        <v>Identity management standards</v>
      </c>
      <c r="B97" s="38" t="s">
        <v>577</v>
      </c>
      <c r="C97" s="38" t="s">
        <v>889</v>
      </c>
    </row>
    <row r="98" spans="1:3" ht="30" x14ac:dyDescent="0.25">
      <c r="A98" s="1" t="str">
        <f>Glossary!A99</f>
        <v>Implementation delays</v>
      </c>
      <c r="B98" s="38" t="s">
        <v>578</v>
      </c>
      <c r="C98" s="38" t="s">
        <v>1002</v>
      </c>
    </row>
    <row r="99" spans="1:3" ht="30" x14ac:dyDescent="0.25">
      <c r="A99" s="1" t="str">
        <f>Glossary!A100</f>
        <v>Implementation of IT solutions</v>
      </c>
      <c r="B99" s="38" t="s">
        <v>579</v>
      </c>
      <c r="C99" s="38" t="s">
        <v>967</v>
      </c>
    </row>
    <row r="100" spans="1:3" ht="30" x14ac:dyDescent="0.25">
      <c r="A100" s="1" t="str">
        <f>Glossary!A101</f>
        <v>Implementation of system</v>
      </c>
      <c r="B100" s="38" t="s">
        <v>580</v>
      </c>
      <c r="C100" s="38" t="s">
        <v>865</v>
      </c>
    </row>
    <row r="101" spans="1:3" ht="30" x14ac:dyDescent="0.25">
      <c r="A101" s="1" t="str">
        <f>Glossary!A102</f>
        <v>Implementation timeline</v>
      </c>
      <c r="B101" s="38" t="s">
        <v>581</v>
      </c>
      <c r="C101" s="38" t="s">
        <v>969</v>
      </c>
    </row>
    <row r="102" spans="1:3" ht="30" x14ac:dyDescent="0.25">
      <c r="A102" s="1" t="str">
        <f>Glossary!A103</f>
        <v>Improvements to Indigenous consumers</v>
      </c>
      <c r="B102" s="38" t="s">
        <v>582</v>
      </c>
      <c r="C102" s="38" t="s">
        <v>894</v>
      </c>
    </row>
    <row r="103" spans="1:3" ht="30" x14ac:dyDescent="0.25">
      <c r="A103" s="1" t="str">
        <f>Glossary!A104</f>
        <v>Inclusion</v>
      </c>
      <c r="B103" s="38" t="s">
        <v>583</v>
      </c>
      <c r="C103" s="38" t="s">
        <v>875</v>
      </c>
    </row>
    <row r="104" spans="1:3" ht="30" x14ac:dyDescent="0.25">
      <c r="A104" s="1" t="str">
        <f>Glossary!A105</f>
        <v>Increase database</v>
      </c>
      <c r="B104" s="38" t="s">
        <v>584</v>
      </c>
      <c r="C104" s="38" t="s">
        <v>855</v>
      </c>
    </row>
    <row r="105" spans="1:3" ht="30" x14ac:dyDescent="0.25">
      <c r="A105" s="1" t="str">
        <f>Glossary!A106</f>
        <v>Increased services demand</v>
      </c>
      <c r="B105" s="38" t="s">
        <v>368</v>
      </c>
      <c r="C105" s="38" t="s">
        <v>968</v>
      </c>
    </row>
    <row r="106" spans="1:3" ht="30" x14ac:dyDescent="0.25">
      <c r="A106" s="1" t="str">
        <f>Glossary!A107</f>
        <v>Individual Electronic Record</v>
      </c>
      <c r="B106" s="38" t="s">
        <v>585</v>
      </c>
      <c r="C106" s="38" t="s">
        <v>868</v>
      </c>
    </row>
    <row r="107" spans="1:3" ht="30" x14ac:dyDescent="0.25">
      <c r="A107" s="1" t="str">
        <f>Glossary!A108</f>
        <v>Information accessibility</v>
      </c>
      <c r="B107" s="38" t="s">
        <v>586</v>
      </c>
      <c r="C107" s="38" t="s">
        <v>920</v>
      </c>
    </row>
    <row r="108" spans="1:3" ht="30" x14ac:dyDescent="0.25">
      <c r="A108" s="1" t="str">
        <f>Glossary!A109</f>
        <v>Information flow</v>
      </c>
      <c r="B108" s="38" t="s">
        <v>587</v>
      </c>
      <c r="C108" s="38" t="s">
        <v>1013</v>
      </c>
    </row>
    <row r="109" spans="1:3" ht="30" x14ac:dyDescent="0.25">
      <c r="A109" s="1" t="str">
        <f>Glossary!A110</f>
        <v>Information flow along consumer journey</v>
      </c>
      <c r="B109" s="38" t="s">
        <v>588</v>
      </c>
      <c r="C109" s="38" t="s">
        <v>904</v>
      </c>
    </row>
    <row r="110" spans="1:3" ht="30" x14ac:dyDescent="0.25">
      <c r="A110" s="1" t="str">
        <f>Glossary!A111</f>
        <v>Informed consumers</v>
      </c>
      <c r="B110" s="38" t="s">
        <v>589</v>
      </c>
      <c r="C110" s="38" t="s">
        <v>885</v>
      </c>
    </row>
    <row r="111" spans="1:3" ht="30" x14ac:dyDescent="0.25">
      <c r="A111" s="1" t="str">
        <f>Glossary!A112</f>
        <v>Informed decision-making</v>
      </c>
      <c r="B111" s="38" t="s">
        <v>807</v>
      </c>
      <c r="C111" s="38" t="s">
        <v>808</v>
      </c>
    </row>
    <row r="112" spans="1:3" ht="30" x14ac:dyDescent="0.25">
      <c r="A112" s="1" t="str">
        <f>Glossary!A113</f>
        <v>Infrastructure coherence</v>
      </c>
      <c r="B112" s="38" t="s">
        <v>590</v>
      </c>
      <c r="C112" s="38" t="s">
        <v>992</v>
      </c>
    </row>
    <row r="113" spans="1:3" ht="30" x14ac:dyDescent="0.25">
      <c r="A113" s="1" t="str">
        <f>Glossary!A114</f>
        <v>Infrastructure efficiency</v>
      </c>
      <c r="B113" s="38" t="s">
        <v>591</v>
      </c>
      <c r="C113" s="38" t="s">
        <v>896</v>
      </c>
    </row>
    <row r="114" spans="1:3" ht="30" x14ac:dyDescent="0.25">
      <c r="A114" s="1" t="str">
        <f>Glossary!A115</f>
        <v>Integrated analysis &amp; System outcome indicators</v>
      </c>
      <c r="B114" s="38" t="s">
        <v>809</v>
      </c>
      <c r="C114" s="38" t="s">
        <v>810</v>
      </c>
    </row>
    <row r="115" spans="1:3" x14ac:dyDescent="0.25">
      <c r="A115" s="1" t="str">
        <f>Glossary!A116</f>
        <v>Integration</v>
      </c>
      <c r="B115" s="38" t="s">
        <v>592</v>
      </c>
      <c r="C115" s="38" t="s">
        <v>1000</v>
      </c>
    </row>
    <row r="116" spans="1:3" ht="30" x14ac:dyDescent="0.25">
      <c r="A116" s="1" t="str">
        <f>Glossary!A117</f>
        <v>Integration of core systems</v>
      </c>
      <c r="B116" s="38" t="s">
        <v>593</v>
      </c>
      <c r="C116" s="38" t="s">
        <v>850</v>
      </c>
    </row>
    <row r="117" spans="1:3" ht="30" x14ac:dyDescent="0.25">
      <c r="A117" s="1" t="str">
        <f>Glossary!A118</f>
        <v>Integration of data</v>
      </c>
      <c r="B117" s="38" t="s">
        <v>594</v>
      </c>
      <c r="C117" s="38" t="s">
        <v>857</v>
      </c>
    </row>
    <row r="118" spans="1:3" ht="30" x14ac:dyDescent="0.25">
      <c r="A118" s="1" t="str">
        <f>Glossary!A119</f>
        <v>Integration of governance models</v>
      </c>
      <c r="B118" s="38" t="s">
        <v>595</v>
      </c>
      <c r="C118" s="38" t="s">
        <v>883</v>
      </c>
    </row>
    <row r="119" spans="1:3" ht="30" x14ac:dyDescent="0.25">
      <c r="A119" s="1" t="str">
        <f>Glossary!A120</f>
        <v>Integration of systems</v>
      </c>
      <c r="B119" s="38" t="s">
        <v>596</v>
      </c>
      <c r="C119" s="38" t="s">
        <v>1006</v>
      </c>
    </row>
    <row r="120" spans="1:3" ht="30" x14ac:dyDescent="0.25">
      <c r="A120" s="1" t="str">
        <f>Glossary!A121</f>
        <v>Integration of unified systems</v>
      </c>
      <c r="B120" s="38" t="s">
        <v>528</v>
      </c>
      <c r="C120" s="38" t="s">
        <v>839</v>
      </c>
    </row>
    <row r="121" spans="1:3" ht="30" x14ac:dyDescent="0.25">
      <c r="A121" s="1" t="str">
        <f>Glossary!A122</f>
        <v>Integration with existing methodology</v>
      </c>
      <c r="B121" s="38" t="s">
        <v>597</v>
      </c>
      <c r="C121" s="38" t="s">
        <v>913</v>
      </c>
    </row>
    <row r="122" spans="1:3" ht="30" x14ac:dyDescent="0.25">
      <c r="A122" s="1" t="str">
        <f>Glossary!A123</f>
        <v>Interoperability</v>
      </c>
      <c r="B122" s="38" t="s">
        <v>598</v>
      </c>
      <c r="C122" s="38" t="s">
        <v>983</v>
      </c>
    </row>
    <row r="123" spans="1:3" ht="30" x14ac:dyDescent="0.25">
      <c r="A123" s="1" t="str">
        <f>Glossary!A124</f>
        <v>Interventions for high-risk consumers</v>
      </c>
      <c r="B123" s="38" t="s">
        <v>498</v>
      </c>
      <c r="C123" s="38" t="s">
        <v>936</v>
      </c>
    </row>
    <row r="124" spans="1:3" ht="30" x14ac:dyDescent="0.25">
      <c r="A124" s="1" t="str">
        <f>Glossary!A125</f>
        <v>Investment plans</v>
      </c>
      <c r="B124" s="38" t="s">
        <v>568</v>
      </c>
      <c r="C124" s="38" t="s">
        <v>836</v>
      </c>
    </row>
    <row r="125" spans="1:3" ht="30" x14ac:dyDescent="0.25">
      <c r="A125" s="1" t="str">
        <f>Glossary!A126</f>
        <v>Investment priorities</v>
      </c>
      <c r="B125" s="38" t="s">
        <v>600</v>
      </c>
      <c r="C125" s="38" t="s">
        <v>940</v>
      </c>
    </row>
    <row r="126" spans="1:3" ht="30" x14ac:dyDescent="0.25">
      <c r="A126" s="1" t="str">
        <f>Glossary!A127</f>
        <v>IT system advancement</v>
      </c>
      <c r="B126" s="38" t="s">
        <v>601</v>
      </c>
      <c r="C126" s="38" t="s">
        <v>869</v>
      </c>
    </row>
    <row r="127" spans="1:3" ht="30" x14ac:dyDescent="0.25">
      <c r="A127" s="1" t="str">
        <f>Glossary!A128</f>
        <v>Knowledge management</v>
      </c>
      <c r="B127" s="38" t="s">
        <v>602</v>
      </c>
      <c r="C127" s="38" t="s">
        <v>905</v>
      </c>
    </row>
    <row r="128" spans="1:3" ht="30" x14ac:dyDescent="0.25">
      <c r="A128" s="1" t="str">
        <f>Glossary!A129</f>
        <v>Lack of core ICT systems</v>
      </c>
      <c r="B128" s="38" t="s">
        <v>603</v>
      </c>
      <c r="C128" s="38" t="s">
        <v>990</v>
      </c>
    </row>
    <row r="129" spans="1:3" ht="30" x14ac:dyDescent="0.25">
      <c r="A129" s="1" t="str">
        <f>Glossary!A130</f>
        <v>Large content management</v>
      </c>
      <c r="B129" s="38" t="s">
        <v>604</v>
      </c>
      <c r="C129" s="38" t="s">
        <v>871</v>
      </c>
    </row>
    <row r="130" spans="1:3" ht="30" x14ac:dyDescent="0.25">
      <c r="A130" s="1" t="str">
        <f>Glossary!A131</f>
        <v>Local implementations</v>
      </c>
      <c r="B130" s="38" t="s">
        <v>605</v>
      </c>
      <c r="C130" s="38" t="s">
        <v>979</v>
      </c>
    </row>
    <row r="131" spans="1:3" ht="30" x14ac:dyDescent="0.25">
      <c r="A131" s="1" t="str">
        <f>Glossary!A132</f>
        <v>Maintenance costs</v>
      </c>
      <c r="B131" s="38" t="s">
        <v>606</v>
      </c>
      <c r="C131" s="38" t="s">
        <v>919</v>
      </c>
    </row>
    <row r="132" spans="1:3" ht="30" x14ac:dyDescent="0.25">
      <c r="A132" s="1" t="str">
        <f>Glossary!A133</f>
        <v>Maintenance of systems</v>
      </c>
      <c r="B132" s="38" t="s">
        <v>607</v>
      </c>
      <c r="C132" s="38" t="s">
        <v>996</v>
      </c>
    </row>
    <row r="133" spans="1:3" ht="30" x14ac:dyDescent="0.25">
      <c r="A133" s="1" t="str">
        <f>Glossary!A134</f>
        <v>Management information</v>
      </c>
      <c r="B133" s="38" t="s">
        <v>608</v>
      </c>
      <c r="C133" s="38" t="s">
        <v>914</v>
      </c>
    </row>
    <row r="134" spans="1:3" ht="30" x14ac:dyDescent="0.25">
      <c r="A134" s="1" t="str">
        <f>Glossary!A135</f>
        <v>Management of applications</v>
      </c>
      <c r="B134" s="38" t="s">
        <v>811</v>
      </c>
      <c r="C134" s="38" t="s">
        <v>812</v>
      </c>
    </row>
    <row r="135" spans="1:3" ht="30" x14ac:dyDescent="0.25">
      <c r="A135" s="1" t="str">
        <f>Glossary!A136</f>
        <v>Management of future demand</v>
      </c>
      <c r="B135" s="38" t="s">
        <v>609</v>
      </c>
      <c r="C135" s="38" t="s">
        <v>863</v>
      </c>
    </row>
    <row r="136" spans="1:3" ht="30" x14ac:dyDescent="0.25">
      <c r="A136" s="1" t="str">
        <f>Glossary!A137</f>
        <v>Management of programs</v>
      </c>
      <c r="B136" s="38" t="s">
        <v>569</v>
      </c>
      <c r="C136" s="38" t="s">
        <v>947</v>
      </c>
    </row>
    <row r="137" spans="1:3" ht="30" x14ac:dyDescent="0.25">
      <c r="A137" s="1" t="str">
        <f>Glossary!A138</f>
        <v>Minimizing impact</v>
      </c>
      <c r="B137" s="38" t="s">
        <v>610</v>
      </c>
      <c r="C137" s="38" t="s">
        <v>965</v>
      </c>
    </row>
    <row r="138" spans="1:3" ht="30" x14ac:dyDescent="0.25">
      <c r="A138" s="1" t="str">
        <f>Glossary!A139</f>
        <v>Monitoring</v>
      </c>
      <c r="B138" s="38" t="s">
        <v>611</v>
      </c>
      <c r="C138" s="38" t="s">
        <v>995</v>
      </c>
    </row>
    <row r="139" spans="1:3" ht="30" x14ac:dyDescent="0.25">
      <c r="A139" s="1" t="str">
        <f>Glossary!A140</f>
        <v>National information network</v>
      </c>
      <c r="B139" s="38" t="s">
        <v>612</v>
      </c>
      <c r="C139" s="38" t="s">
        <v>917</v>
      </c>
    </row>
    <row r="140" spans="1:3" ht="30" x14ac:dyDescent="0.25">
      <c r="A140" s="1" t="str">
        <f>Glossary!A141</f>
        <v>Need for improved collaboration</v>
      </c>
      <c r="B140" s="38" t="s">
        <v>613</v>
      </c>
      <c r="C140" s="38" t="s">
        <v>844</v>
      </c>
    </row>
    <row r="141" spans="1:3" ht="30" x14ac:dyDescent="0.25">
      <c r="A141" s="1" t="str">
        <f>Glossary!A142</f>
        <v>Need for service delivery change</v>
      </c>
      <c r="B141" s="38" t="s">
        <v>614</v>
      </c>
      <c r="C141" s="38" t="s">
        <v>977</v>
      </c>
    </row>
    <row r="142" spans="1:3" ht="30" x14ac:dyDescent="0.25">
      <c r="A142" s="1" t="str">
        <f>Glossary!A143</f>
        <v>New directions for IT</v>
      </c>
      <c r="B142" s="38" t="s">
        <v>615</v>
      </c>
      <c r="C142" s="38" t="s">
        <v>897</v>
      </c>
    </row>
    <row r="143" spans="1:3" ht="30" x14ac:dyDescent="0.25">
      <c r="A143" s="1" t="str">
        <f>Glossary!A144</f>
        <v>New risk potential</v>
      </c>
      <c r="B143" s="38" t="s">
        <v>616</v>
      </c>
      <c r="C143" s="38" t="s">
        <v>962</v>
      </c>
    </row>
    <row r="144" spans="1:3" ht="30" x14ac:dyDescent="0.25">
      <c r="A144" s="1" t="str">
        <f>Glossary!A145</f>
        <v>Outdated infrastructure</v>
      </c>
      <c r="B144" s="38" t="s">
        <v>617</v>
      </c>
      <c r="C144" s="38" t="s">
        <v>908</v>
      </c>
    </row>
    <row r="145" spans="1:3" ht="30" x14ac:dyDescent="0.25">
      <c r="A145" s="1" t="str">
        <f>Glossary!A146</f>
        <v>Outdated systems</v>
      </c>
      <c r="B145" s="38" t="s">
        <v>618</v>
      </c>
      <c r="C145" s="38" t="s">
        <v>994</v>
      </c>
    </row>
    <row r="146" spans="1:3" ht="30" x14ac:dyDescent="0.25">
      <c r="A146" s="1" t="str">
        <f>Glossary!A147</f>
        <v>Performance monitoring</v>
      </c>
      <c r="B146" s="38" t="s">
        <v>619</v>
      </c>
      <c r="C146" s="38" t="s">
        <v>906</v>
      </c>
    </row>
    <row r="147" spans="1:3" ht="30" x14ac:dyDescent="0.25">
      <c r="A147" s="1" t="str">
        <f>Glossary!A148</f>
        <v>Planning</v>
      </c>
      <c r="B147" s="38" t="s">
        <v>506</v>
      </c>
      <c r="C147" s="38" t="s">
        <v>986</v>
      </c>
    </row>
    <row r="148" spans="1:3" ht="30" x14ac:dyDescent="0.25">
      <c r="A148" s="1" t="str">
        <f>Glossary!A149</f>
        <v>Policies &amp; Procedures</v>
      </c>
      <c r="B148" s="38" t="s">
        <v>157</v>
      </c>
      <c r="C148" s="38" t="s">
        <v>882</v>
      </c>
    </row>
    <row r="149" spans="1:3" ht="30" x14ac:dyDescent="0.25">
      <c r="A149" s="1" t="str">
        <f>Glossary!A150</f>
        <v>Predictability</v>
      </c>
      <c r="B149" s="38" t="s">
        <v>620</v>
      </c>
      <c r="C149" s="38" t="s">
        <v>864</v>
      </c>
    </row>
    <row r="150" spans="1:3" ht="30" x14ac:dyDescent="0.25">
      <c r="A150" s="1" t="str">
        <f>Glossary!A151</f>
        <v>Preventative services</v>
      </c>
      <c r="B150" s="38" t="s">
        <v>621</v>
      </c>
      <c r="C150" s="38" t="s">
        <v>937</v>
      </c>
    </row>
    <row r="151" spans="1:3" ht="30" x14ac:dyDescent="0.25">
      <c r="A151" s="1" t="str">
        <f>Glossary!A152</f>
        <v>Preventative solutions</v>
      </c>
      <c r="B151" s="38" t="s">
        <v>622</v>
      </c>
      <c r="C151" s="38" t="s">
        <v>870</v>
      </c>
    </row>
    <row r="152" spans="1:3" ht="30" x14ac:dyDescent="0.25">
      <c r="A152" s="1" t="str">
        <f>Glossary!A153</f>
        <v>Preventing consumer issues</v>
      </c>
      <c r="B152" s="38" t="s">
        <v>623</v>
      </c>
      <c r="C152" s="38" t="s">
        <v>963</v>
      </c>
    </row>
    <row r="153" spans="1:3" ht="30" x14ac:dyDescent="0.25">
      <c r="A153" s="1" t="str">
        <f>Glossary!A154</f>
        <v>Primary goals of Executive Council</v>
      </c>
      <c r="B153" s="38" t="s">
        <v>624</v>
      </c>
      <c r="C153" s="38" t="s">
        <v>985</v>
      </c>
    </row>
    <row r="154" spans="1:3" ht="30" x14ac:dyDescent="0.25">
      <c r="A154" s="1" t="str">
        <f>Glossary!A155</f>
        <v>Prioritization</v>
      </c>
      <c r="B154" s="38" t="s">
        <v>625</v>
      </c>
      <c r="C154" s="38" t="s">
        <v>861</v>
      </c>
    </row>
    <row r="155" spans="1:3" ht="30" x14ac:dyDescent="0.25">
      <c r="A155" s="1" t="str">
        <f>Glossary!A156</f>
        <v>Prioritization of programs and projects</v>
      </c>
      <c r="B155" s="38" t="s">
        <v>626</v>
      </c>
      <c r="C155" s="38" t="s">
        <v>935</v>
      </c>
    </row>
    <row r="156" spans="1:3" ht="30" x14ac:dyDescent="0.25">
      <c r="A156" s="1" t="str">
        <f>Glossary!A157</f>
        <v>Priority areas &amp; Resource allocation</v>
      </c>
      <c r="B156" s="38" t="s">
        <v>627</v>
      </c>
      <c r="C156" s="38" t="s">
        <v>958</v>
      </c>
    </row>
    <row r="157" spans="1:3" ht="30" x14ac:dyDescent="0.25">
      <c r="A157" s="1" t="str">
        <f>Glossary!A158</f>
        <v>Priority determination</v>
      </c>
      <c r="B157" s="38" t="s">
        <v>628</v>
      </c>
      <c r="C157" s="38" t="s">
        <v>938</v>
      </c>
    </row>
    <row r="158" spans="1:3" ht="30" x14ac:dyDescent="0.25">
      <c r="A158" s="1" t="str">
        <f>Glossary!A159</f>
        <v>Procurement</v>
      </c>
      <c r="B158" s="38" t="s">
        <v>629</v>
      </c>
      <c r="C158" s="38" t="s">
        <v>1011</v>
      </c>
    </row>
    <row r="159" spans="1:3" ht="30" x14ac:dyDescent="0.25">
      <c r="A159" s="1" t="str">
        <f>Glossary!A160</f>
        <v>Program delivery</v>
      </c>
      <c r="B159" s="38" t="s">
        <v>630</v>
      </c>
      <c r="C159" s="38" t="s">
        <v>877</v>
      </c>
    </row>
    <row r="160" spans="1:3" ht="30" x14ac:dyDescent="0.25">
      <c r="A160" s="1" t="str">
        <f>Glossary!A161</f>
        <v>Program effectiveness</v>
      </c>
      <c r="B160" s="38" t="s">
        <v>631</v>
      </c>
      <c r="C160" s="38" t="s">
        <v>925</v>
      </c>
    </row>
    <row r="161" spans="1:3" ht="30" x14ac:dyDescent="0.25">
      <c r="A161" s="1" t="str">
        <f>Glossary!A162</f>
        <v>Project scheduling complexity</v>
      </c>
      <c r="B161" s="38" t="s">
        <v>632</v>
      </c>
      <c r="C161" s="38" t="s">
        <v>950</v>
      </c>
    </row>
    <row r="162" spans="1:3" ht="30" x14ac:dyDescent="0.25">
      <c r="A162" s="1" t="str">
        <f>Glossary!A163</f>
        <v>Quality &amp; Safety standards</v>
      </c>
      <c r="B162" s="38" t="s">
        <v>633</v>
      </c>
      <c r="C162" s="38" t="s">
        <v>847</v>
      </c>
    </row>
    <row r="163" spans="1:3" ht="30" x14ac:dyDescent="0.25">
      <c r="A163" s="1" t="str">
        <f>Glossary!A164</f>
        <v>Quality and safety improvement</v>
      </c>
      <c r="B163" s="38" t="s">
        <v>634</v>
      </c>
      <c r="C163" s="38" t="s">
        <v>849</v>
      </c>
    </row>
    <row r="164" spans="1:3" ht="30" x14ac:dyDescent="0.25">
      <c r="A164" s="1" t="str">
        <f>Glossary!A165</f>
        <v>Reducing risk factors</v>
      </c>
      <c r="B164" s="38" t="s">
        <v>610</v>
      </c>
      <c r="C164" s="38" t="s">
        <v>965</v>
      </c>
    </row>
    <row r="165" spans="1:3" ht="30" x14ac:dyDescent="0.25">
      <c r="A165" s="1" t="str">
        <f>Glossary!A166</f>
        <v>Reform agenda</v>
      </c>
      <c r="B165" s="38" t="s">
        <v>635</v>
      </c>
      <c r="C165" s="38" t="s">
        <v>843</v>
      </c>
    </row>
    <row r="166" spans="1:3" ht="30" x14ac:dyDescent="0.25">
      <c r="A166" s="1" t="str">
        <f>Glossary!A167</f>
        <v>Regulatory frameworks</v>
      </c>
      <c r="B166" s="38" t="s">
        <v>636</v>
      </c>
      <c r="C166" s="38" t="s">
        <v>933</v>
      </c>
    </row>
    <row r="167" spans="1:3" ht="30" x14ac:dyDescent="0.25">
      <c r="A167" s="1" t="str">
        <f>Glossary!A168</f>
        <v>Replacement</v>
      </c>
      <c r="B167" s="38" t="s">
        <v>637</v>
      </c>
      <c r="C167" s="38" t="s">
        <v>999</v>
      </c>
    </row>
    <row r="168" spans="1:3" ht="30" x14ac:dyDescent="0.25">
      <c r="A168" s="1" t="str">
        <f>Glossary!A169</f>
        <v>Resource availability</v>
      </c>
      <c r="B168" s="38" t="s">
        <v>638</v>
      </c>
      <c r="C168" s="38" t="s">
        <v>1015</v>
      </c>
    </row>
    <row r="169" spans="1:3" ht="30" x14ac:dyDescent="0.25">
      <c r="A169" s="1" t="str">
        <f>Glossary!A170</f>
        <v>Resource constraints</v>
      </c>
      <c r="B169" s="38" t="s">
        <v>639</v>
      </c>
      <c r="C169" s="38" t="s">
        <v>955</v>
      </c>
    </row>
    <row r="170" spans="1:3" ht="30" x14ac:dyDescent="0.25">
      <c r="A170" s="1" t="str">
        <f>Glossary!A171</f>
        <v>Resource management</v>
      </c>
      <c r="B170" s="38" t="s">
        <v>640</v>
      </c>
      <c r="C170" s="38" t="s">
        <v>954</v>
      </c>
    </row>
    <row r="171" spans="1:3" ht="30" x14ac:dyDescent="0.25">
      <c r="A171" s="1" t="str">
        <f>Glossary!A172</f>
        <v>Resource optimization</v>
      </c>
      <c r="B171" s="38" t="s">
        <v>641</v>
      </c>
      <c r="C171" s="38" t="s">
        <v>872</v>
      </c>
    </row>
    <row r="172" spans="1:3" ht="30" x14ac:dyDescent="0.25">
      <c r="A172" s="1" t="str">
        <f>Glossary!A173</f>
        <v>Resource utilization</v>
      </c>
      <c r="B172" s="38" t="s">
        <v>642</v>
      </c>
      <c r="C172" s="38" t="s">
        <v>1009</v>
      </c>
    </row>
    <row r="173" spans="1:3" ht="30" x14ac:dyDescent="0.25">
      <c r="A173" s="1" t="str">
        <f>Glossary!A174</f>
        <v>Responsibilities of Services</v>
      </c>
      <c r="B173" s="38" t="s">
        <v>643</v>
      </c>
      <c r="C173" s="38" t="s">
        <v>972</v>
      </c>
    </row>
    <row r="174" spans="1:3" ht="30" x14ac:dyDescent="0.25">
      <c r="A174" s="1" t="str">
        <f>Glossary!A175</f>
        <v>Responsibilities of Support Services</v>
      </c>
      <c r="B174" s="38" t="s">
        <v>644</v>
      </c>
      <c r="C174" s="38" t="s">
        <v>922</v>
      </c>
    </row>
    <row r="175" spans="1:3" ht="30" x14ac:dyDescent="0.25">
      <c r="A175" s="1" t="str">
        <f>Glossary!A176</f>
        <v>Rising system usage</v>
      </c>
      <c r="B175" s="38" t="s">
        <v>368</v>
      </c>
      <c r="C175" s="38" t="s">
        <v>968</v>
      </c>
    </row>
    <row r="176" spans="1:3" ht="30" x14ac:dyDescent="0.25">
      <c r="A176" s="1" t="str">
        <f>Glossary!A177</f>
        <v>Risk Identification</v>
      </c>
      <c r="B176" s="38" t="s">
        <v>645</v>
      </c>
      <c r="C176" s="38" t="s">
        <v>964</v>
      </c>
    </row>
    <row r="177" spans="1:3" ht="30" x14ac:dyDescent="0.25">
      <c r="A177" s="1" t="str">
        <f>Glossary!A178</f>
        <v>Safe working capacity</v>
      </c>
      <c r="B177" s="38" t="s">
        <v>646</v>
      </c>
      <c r="C177" s="38" t="s">
        <v>918</v>
      </c>
    </row>
    <row r="178" spans="1:3" ht="30" x14ac:dyDescent="0.25">
      <c r="A178" s="1" t="str">
        <f>Glossary!A179</f>
        <v>Scope creep</v>
      </c>
      <c r="B178" s="38" t="s">
        <v>647</v>
      </c>
      <c r="C178" s="38" t="s">
        <v>949</v>
      </c>
    </row>
    <row r="179" spans="1:3" ht="30" x14ac:dyDescent="0.25">
      <c r="A179" s="1" t="str">
        <f>Glossary!A180</f>
        <v>Secure messaging</v>
      </c>
      <c r="B179" s="38" t="s">
        <v>648</v>
      </c>
      <c r="C179" s="38" t="s">
        <v>873</v>
      </c>
    </row>
    <row r="180" spans="1:3" ht="30" x14ac:dyDescent="0.25">
      <c r="A180" s="1" t="str">
        <f>Glossary!A181</f>
        <v>Service delivery</v>
      </c>
      <c r="B180" s="38" t="s">
        <v>512</v>
      </c>
      <c r="C180" s="38" t="s">
        <v>974</v>
      </c>
    </row>
    <row r="181" spans="1:3" ht="30" x14ac:dyDescent="0.25">
      <c r="A181" s="1" t="str">
        <f>Glossary!A182</f>
        <v>Significant risk environment</v>
      </c>
      <c r="B181" s="38" t="s">
        <v>649</v>
      </c>
      <c r="C181" s="38" t="s">
        <v>1017</v>
      </c>
    </row>
    <row r="182" spans="1:3" ht="30" x14ac:dyDescent="0.25">
      <c r="A182" s="1" t="str">
        <f>Glossary!A183</f>
        <v>Skilled project management</v>
      </c>
      <c r="B182" s="38" t="s">
        <v>650</v>
      </c>
      <c r="C182" s="38" t="s">
        <v>948</v>
      </c>
    </row>
    <row r="183" spans="1:3" ht="30" x14ac:dyDescent="0.25">
      <c r="A183" s="1" t="str">
        <f>Glossary!A184</f>
        <v>Skills / Training</v>
      </c>
      <c r="B183" s="38" t="s">
        <v>651</v>
      </c>
      <c r="C183" s="38" t="s">
        <v>910</v>
      </c>
    </row>
    <row r="184" spans="1:3" x14ac:dyDescent="0.25">
      <c r="A184" s="1" t="str">
        <f>Glossary!A185</f>
        <v>Skills and competence</v>
      </c>
      <c r="B184" s="38" t="s">
        <v>652</v>
      </c>
      <c r="C184" s="38" t="s">
        <v>1016</v>
      </c>
    </row>
    <row r="185" spans="1:3" ht="30" x14ac:dyDescent="0.25">
      <c r="A185" s="1" t="str">
        <f>Glossary!A186</f>
        <v>Software management</v>
      </c>
      <c r="B185" s="38" t="s">
        <v>653</v>
      </c>
      <c r="C185" s="38" t="s">
        <v>1012</v>
      </c>
    </row>
    <row r="186" spans="1:3" ht="30" x14ac:dyDescent="0.25">
      <c r="A186" s="1" t="str">
        <f>Glossary!A187</f>
        <v>Sound investment decisions</v>
      </c>
      <c r="B186" s="38" t="s">
        <v>654</v>
      </c>
      <c r="C186" s="38" t="s">
        <v>966</v>
      </c>
    </row>
    <row r="187" spans="1:3" ht="30" x14ac:dyDescent="0.25">
      <c r="A187" s="1" t="str">
        <f>Glossary!A188</f>
        <v>Staff shortages</v>
      </c>
      <c r="B187" s="38" t="s">
        <v>655</v>
      </c>
      <c r="C187" s="38" t="s">
        <v>1018</v>
      </c>
    </row>
    <row r="188" spans="1:3" ht="30" x14ac:dyDescent="0.25">
      <c r="A188" s="1" t="str">
        <f>Glossary!A189</f>
        <v>Staff training</v>
      </c>
      <c r="B188" s="38" t="s">
        <v>656</v>
      </c>
      <c r="C188" s="38" t="s">
        <v>945</v>
      </c>
    </row>
    <row r="189" spans="1:3" ht="30" x14ac:dyDescent="0.25">
      <c r="A189" s="1" t="str">
        <f>Glossary!A190</f>
        <v>Standard adherence</v>
      </c>
      <c r="B189" s="38" t="s">
        <v>657</v>
      </c>
      <c r="C189" s="38" t="s">
        <v>848</v>
      </c>
    </row>
    <row r="190" spans="1:3" ht="30" x14ac:dyDescent="0.25">
      <c r="A190" s="1" t="str">
        <f>Glossary!A191</f>
        <v>Standardized information</v>
      </c>
      <c r="B190" s="38" t="s">
        <v>658</v>
      </c>
      <c r="C190" s="38" t="s">
        <v>860</v>
      </c>
    </row>
    <row r="191" spans="1:3" ht="30" x14ac:dyDescent="0.25">
      <c r="A191" s="1" t="str">
        <f>Glossary!A192</f>
        <v>Standardized information access</v>
      </c>
      <c r="B191" s="38" t="s">
        <v>659</v>
      </c>
      <c r="C191" s="38" t="s">
        <v>1007</v>
      </c>
    </row>
    <row r="192" spans="1:3" ht="30" x14ac:dyDescent="0.25">
      <c r="A192" s="1" t="str">
        <f>Glossary!A193</f>
        <v>Standardizing processes across ICT</v>
      </c>
      <c r="B192" s="38" t="s">
        <v>660</v>
      </c>
      <c r="C192" s="38" t="s">
        <v>902</v>
      </c>
    </row>
    <row r="193" spans="1:3" ht="30" x14ac:dyDescent="0.25">
      <c r="A193" s="1" t="str">
        <f>Glossary!A194</f>
        <v>Streamlined training processes</v>
      </c>
      <c r="B193" s="38" t="s">
        <v>661</v>
      </c>
      <c r="C193" s="38" t="s">
        <v>1003</v>
      </c>
    </row>
    <row r="194" spans="1:3" ht="30" x14ac:dyDescent="0.25">
      <c r="A194" s="1" t="str">
        <f>Glossary!A195</f>
        <v>Strengthening relationships</v>
      </c>
      <c r="B194" s="38" t="s">
        <v>521</v>
      </c>
      <c r="C194" s="38" t="s">
        <v>981</v>
      </c>
    </row>
    <row r="195" spans="1:3" ht="30" x14ac:dyDescent="0.25">
      <c r="A195" s="1" t="str">
        <f>Glossary!A196</f>
        <v>Supply chain management</v>
      </c>
      <c r="B195" s="38" t="s">
        <v>662</v>
      </c>
      <c r="C195" s="38" t="s">
        <v>911</v>
      </c>
    </row>
    <row r="196" spans="1:3" ht="30" x14ac:dyDescent="0.25">
      <c r="A196" s="1" t="str">
        <f>Glossary!A197</f>
        <v>Support for Consumers</v>
      </c>
      <c r="B196" s="38" t="s">
        <v>663</v>
      </c>
      <c r="C196" s="38" t="s">
        <v>975</v>
      </c>
    </row>
    <row r="197" spans="1:3" ht="30" x14ac:dyDescent="0.25">
      <c r="A197" s="1" t="str">
        <f>Glossary!A198</f>
        <v>Support for strategic programs</v>
      </c>
      <c r="B197" s="38" t="s">
        <v>664</v>
      </c>
      <c r="C197" s="38" t="s">
        <v>987</v>
      </c>
    </row>
    <row r="198" spans="1:3" ht="30" x14ac:dyDescent="0.25">
      <c r="A198" s="1" t="str">
        <f>Glossary!A199</f>
        <v>Support for users</v>
      </c>
      <c r="B198" s="38" t="s">
        <v>665</v>
      </c>
      <c r="C198" s="38" t="s">
        <v>874</v>
      </c>
    </row>
    <row r="199" spans="1:3" ht="30" x14ac:dyDescent="0.25">
      <c r="A199" s="1" t="str">
        <f>Glossary!A200</f>
        <v>Supporting new care models</v>
      </c>
      <c r="B199" s="38" t="s">
        <v>666</v>
      </c>
      <c r="C199" s="38" t="s">
        <v>915</v>
      </c>
    </row>
    <row r="200" spans="1:3" ht="30" x14ac:dyDescent="0.25">
      <c r="A200" s="1" t="str">
        <f>Glossary!A201</f>
        <v>Sustainability</v>
      </c>
      <c r="B200" s="38" t="s">
        <v>667</v>
      </c>
      <c r="C200" s="38" t="s">
        <v>988</v>
      </c>
    </row>
    <row r="201" spans="1:3" ht="30" x14ac:dyDescent="0.25">
      <c r="A201" s="1" t="str">
        <f>Glossary!A202</f>
        <v>Sustainability of reform</v>
      </c>
      <c r="B201" s="38" t="s">
        <v>575</v>
      </c>
      <c r="C201" s="38" t="s">
        <v>912</v>
      </c>
    </row>
    <row r="202" spans="1:3" ht="30" x14ac:dyDescent="0.25">
      <c r="A202" s="1" t="str">
        <f>Glossary!A203</f>
        <v>Sustainable Workforce</v>
      </c>
      <c r="B202" s="38" t="s">
        <v>668</v>
      </c>
      <c r="C202" s="38" t="s">
        <v>887</v>
      </c>
    </row>
    <row r="203" spans="1:3" ht="30" x14ac:dyDescent="0.25">
      <c r="A203" s="1" t="str">
        <f>Glossary!A204</f>
        <v>System deployment &amp; Integration</v>
      </c>
      <c r="B203" s="38" t="s">
        <v>669</v>
      </c>
      <c r="C203" s="38" t="s">
        <v>866</v>
      </c>
    </row>
    <row r="204" spans="1:3" ht="30" x14ac:dyDescent="0.25">
      <c r="A204" s="1" t="str">
        <f>Glossary!A205</f>
        <v>System projections</v>
      </c>
      <c r="B204" s="38" t="s">
        <v>670</v>
      </c>
      <c r="C204" s="38" t="s">
        <v>881</v>
      </c>
    </row>
    <row r="205" spans="1:3" ht="30" x14ac:dyDescent="0.25">
      <c r="A205" s="1" t="str">
        <f>Glossary!A206</f>
        <v>System reform</v>
      </c>
      <c r="B205" s="38" t="s">
        <v>671</v>
      </c>
      <c r="C205" s="38" t="s">
        <v>916</v>
      </c>
    </row>
    <row r="206" spans="1:3" ht="30" x14ac:dyDescent="0.25">
      <c r="A206" s="1" t="str">
        <f>Glossary!A207</f>
        <v>System Support</v>
      </c>
      <c r="B206" s="38" t="s">
        <v>672</v>
      </c>
      <c r="C206" s="38" t="s">
        <v>1001</v>
      </c>
    </row>
    <row r="207" spans="1:3" ht="30" x14ac:dyDescent="0.25">
      <c r="A207" s="1" t="str">
        <f>Glossary!A208</f>
        <v>Systems implementation</v>
      </c>
      <c r="B207" s="38" t="s">
        <v>673</v>
      </c>
      <c r="C207" s="38" t="s">
        <v>892</v>
      </c>
    </row>
    <row r="208" spans="1:3" ht="30" x14ac:dyDescent="0.25">
      <c r="A208" s="1" t="str">
        <f>Glossary!A209</f>
        <v>Time efficiency</v>
      </c>
      <c r="B208" s="38" t="s">
        <v>819</v>
      </c>
      <c r="C208" s="38" t="s">
        <v>820</v>
      </c>
    </row>
    <row r="209" spans="1:3" ht="30" x14ac:dyDescent="0.25">
      <c r="A209" s="1" t="str">
        <f>Glossary!A210</f>
        <v>Timeliness</v>
      </c>
      <c r="B209" s="38" t="s">
        <v>674</v>
      </c>
      <c r="C209" s="38" t="s">
        <v>959</v>
      </c>
    </row>
    <row r="210" spans="1:3" ht="30" x14ac:dyDescent="0.25">
      <c r="A210" s="1" t="str">
        <f>Glossary!A211</f>
        <v>Unified platform</v>
      </c>
      <c r="B210" s="38" t="s">
        <v>675</v>
      </c>
      <c r="C210" s="38" t="s">
        <v>929</v>
      </c>
    </row>
    <row r="211" spans="1:3" ht="30" x14ac:dyDescent="0.25">
      <c r="A211" s="1" t="str">
        <f>Glossary!A212</f>
        <v>Unique Identifiers</v>
      </c>
      <c r="B211" s="38" t="s">
        <v>676</v>
      </c>
      <c r="C211" s="38" t="s">
        <v>891</v>
      </c>
    </row>
    <row r="212" spans="1:3" ht="30" x14ac:dyDescent="0.25">
      <c r="A212" s="1" t="str">
        <f>Glossary!A213</f>
        <v>User capacity</v>
      </c>
      <c r="B212" s="38" t="s">
        <v>677</v>
      </c>
      <c r="C212" s="38" t="s">
        <v>1008</v>
      </c>
    </row>
    <row r="213" spans="1:3" ht="30" x14ac:dyDescent="0.25">
      <c r="A213" s="1" t="str">
        <f>Glossary!A214</f>
        <v>User experience</v>
      </c>
      <c r="B213" s="38" t="s">
        <v>536</v>
      </c>
      <c r="C213" s="38" t="s">
        <v>1010</v>
      </c>
    </row>
    <row r="214" spans="1:3" ht="30" x14ac:dyDescent="0.25">
      <c r="A214" s="1" t="str">
        <f>Glossary!A215</f>
        <v>User optimization</v>
      </c>
      <c r="B214" s="38" t="s">
        <v>678</v>
      </c>
      <c r="C214" s="38" t="s">
        <v>928</v>
      </c>
    </row>
    <row r="215" spans="1:3" ht="30" x14ac:dyDescent="0.25">
      <c r="A215" s="1" t="str">
        <f>Glossary!A216</f>
        <v>Work scheduling</v>
      </c>
      <c r="B215" s="38" t="s">
        <v>679</v>
      </c>
      <c r="C215" s="38" t="s">
        <v>970</v>
      </c>
    </row>
    <row r="216" spans="1:3" ht="30" x14ac:dyDescent="0.25">
      <c r="A216" s="1" t="str">
        <f>Glossary!A217</f>
        <v>Workflow improvement</v>
      </c>
      <c r="B216" s="38" t="s">
        <v>680</v>
      </c>
      <c r="C216" s="38" t="s">
        <v>834</v>
      </c>
    </row>
    <row r="217" spans="1:3" x14ac:dyDescent="0.25">
      <c r="A217" s="1" t="str">
        <f>Glossary!A218</f>
        <v>Workforce shortages</v>
      </c>
      <c r="B217" s="38" t="s">
        <v>680</v>
      </c>
      <c r="C217" s="38" t="s">
        <v>501</v>
      </c>
    </row>
    <row r="218" spans="1:3" x14ac:dyDescent="0.25">
      <c r="A218" s="29" t="s">
        <v>484</v>
      </c>
      <c r="C218" s="41">
        <f>SUBTOTAL(103,table5[Sub Catergories])</f>
        <v>213</v>
      </c>
    </row>
  </sheetData>
  <mergeCells count="1">
    <mergeCell ref="A2:C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zoomScaleNormal="100" workbookViewId="0">
      <pane ySplit="4" topLeftCell="A5" activePane="bottomLeft" state="frozen"/>
      <selection pane="bottomLeft" activeCell="C5" sqref="C5"/>
    </sheetView>
  </sheetViews>
  <sheetFormatPr defaultRowHeight="15" x14ac:dyDescent="0.25"/>
  <cols>
    <col min="1" max="1" width="11" style="11" customWidth="1"/>
    <col min="2" max="2" width="34.7109375" customWidth="1"/>
    <col min="3" max="3" width="36.7109375" customWidth="1"/>
    <col min="4" max="4" width="39.5703125" customWidth="1"/>
    <col min="5" max="5" width="31.5703125" customWidth="1"/>
    <col min="6" max="6" width="88.5703125" bestFit="1" customWidth="1"/>
    <col min="7" max="7" width="30.85546875" customWidth="1"/>
  </cols>
  <sheetData>
    <row r="1" spans="1:7" ht="48" customHeight="1" x14ac:dyDescent="0.25"/>
    <row r="2" spans="1:7" x14ac:dyDescent="0.25">
      <c r="A2" s="51" t="s">
        <v>483</v>
      </c>
      <c r="B2" s="52"/>
      <c r="C2" s="52"/>
      <c r="D2" s="52"/>
      <c r="E2" s="52"/>
      <c r="F2" s="52"/>
      <c r="G2" s="52"/>
    </row>
    <row r="3" spans="1:7" x14ac:dyDescent="0.25">
      <c r="A3" s="27"/>
      <c r="B3" s="33" t="str">
        <f>'Thematic Analysis'!E6</f>
        <v>Concern</v>
      </c>
      <c r="C3" s="33" t="str">
        <f>'Thematic Analysis'!F6</f>
        <v>Possible Solutions</v>
      </c>
      <c r="D3" s="33" t="str">
        <f>'Thematic Analysis'!G6</f>
        <v>Organizational Values</v>
      </c>
      <c r="E3" s="34" t="str">
        <f>'Search Data'!B3</f>
        <v>Tech Concept</v>
      </c>
      <c r="F3" s="34" t="str">
        <f>'Search Data'!C3</f>
        <v>Tech Layers</v>
      </c>
      <c r="G3" s="28"/>
    </row>
    <row r="4" spans="1:7" s="11" customFormat="1" x14ac:dyDescent="0.25">
      <c r="A4" s="11" t="s">
        <v>476</v>
      </c>
      <c r="B4" s="37" t="s">
        <v>485</v>
      </c>
      <c r="C4" s="37" t="s">
        <v>486</v>
      </c>
      <c r="D4" s="11" t="s">
        <v>487</v>
      </c>
      <c r="E4" s="11" t="s">
        <v>492</v>
      </c>
      <c r="F4" s="11" t="s">
        <v>493</v>
      </c>
      <c r="G4" s="11" t="s">
        <v>494</v>
      </c>
    </row>
    <row r="5" spans="1:7" s="6" customFormat="1" ht="174" customHeight="1" x14ac:dyDescent="0.25">
      <c r="A5" s="2">
        <v>1</v>
      </c>
      <c r="B5" s="1" t="str">
        <f>'Thematic Analysis'!E8</f>
        <v>Accuracy of Reporting
Duplication</v>
      </c>
      <c r="C5" s="1" t="str">
        <f>'Thematic Analysis'!F8</f>
        <v>Data Security, Quality and Privacy
Resource Management and Utilization</v>
      </c>
      <c r="D5" s="1" t="str">
        <f>'Thematic Analysis'!G8</f>
        <v>Data integrity
Sustainable Efficiency</v>
      </c>
      <c r="E5" s="1" t="s">
        <v>681</v>
      </c>
      <c r="F5" s="1" t="s">
        <v>1036</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6" customFormat="1" ht="120" x14ac:dyDescent="0.25">
      <c r="A6" s="2">
        <f t="shared" ref="A6:A37" si="0">A5+1</f>
        <v>2</v>
      </c>
      <c r="B6" s="1" t="str">
        <f>'Thematic Analysis'!E9</f>
        <v>Disparate systems</v>
      </c>
      <c r="C6" s="1" t="str">
        <f>'Thematic Analysis'!F9</f>
        <v>Operational Effectiveness and Efficiency</v>
      </c>
      <c r="D6" s="1" t="str">
        <f>'Thematic Analysis'!G9</f>
        <v>Process optimization</v>
      </c>
      <c r="E6" s="1" t="s">
        <v>557</v>
      </c>
      <c r="F6" s="1" t="s">
        <v>909</v>
      </c>
      <c r="G6" s="1" t="str">
        <f>'Thematic Analysis'!$D9</f>
        <v>Because of all this, it's hard to share patient info and coordinate care properly. Managers struggle to get accurate info on how well the systems are doing. And keeping them running costs a lot of money.</v>
      </c>
    </row>
    <row r="7" spans="1:7" s="6" customFormat="1" ht="150" x14ac:dyDescent="0.25">
      <c r="A7" s="2">
        <f t="shared" si="0"/>
        <v>3</v>
      </c>
      <c r="B7" s="1" t="str">
        <f>'Thematic Analysis'!E10</f>
        <v>Outdated infrastructure</v>
      </c>
      <c r="C7" s="1" t="str">
        <f>'Thematic Analysis'!F10</f>
        <v>Infrastructure and Hardware Management</v>
      </c>
      <c r="D7" s="1" t="str">
        <f>'Thematic Analysis'!G10</f>
        <v>Sustainable Systems</v>
      </c>
      <c r="E7" s="1" t="s">
        <v>617</v>
      </c>
      <c r="F7" s="1" t="s">
        <v>908</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6" customFormat="1" ht="165" x14ac:dyDescent="0.25">
      <c r="A8" s="2">
        <f t="shared" si="0"/>
        <v>4</v>
      </c>
      <c r="B8" s="1" t="str">
        <f>'Thematic Analysis'!E11</f>
        <v>Fragmentation
Outdated systems
Compatibility</v>
      </c>
      <c r="C8" s="1" t="str">
        <f>'Thematic Analysis'!F11</f>
        <v>Compliance and Governance
System and Technology Improvement
Standardization and Streamlining Processes</v>
      </c>
      <c r="D8" s="1" t="str">
        <f>'Thematic Analysis'!G11</f>
        <v>Regulatory adherence
Innovative Evolution
Consistent Excellence</v>
      </c>
      <c r="E8" s="1" t="s">
        <v>682</v>
      </c>
      <c r="F8" s="1" t="s">
        <v>1037</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6" customFormat="1" ht="105" x14ac:dyDescent="0.25">
      <c r="A9" s="2">
        <f t="shared" si="0"/>
        <v>5</v>
      </c>
      <c r="B9" s="1" t="str">
        <f>'Thematic Analysis'!E12</f>
        <v>Alignment
Effectiveness
Integration
Sustainability
Compliance</v>
      </c>
      <c r="C9" s="1" t="str">
        <f>'Thematic Analysis'!F12</f>
        <v>Business Alignment
Consumer Experience and Support
System Deployment and Integration
Policy and Organizational Reform
Compliance and Governance</v>
      </c>
      <c r="D9" s="1" t="str">
        <f>'Thematic Analysis'!G12</f>
        <v>Strategic Cohesion
Customer service
Reliable Implementation
Governance with Integrity
Regulatory adherence</v>
      </c>
      <c r="E9" s="1" t="s">
        <v>1019</v>
      </c>
      <c r="F9" s="1" t="s">
        <v>1038</v>
      </c>
      <c r="G9" s="1" t="str">
        <f>'Thematic Analysis'!$D12</f>
        <v>Clinical Systems Strategy
Corporate Systems Strategy
Business Information Strategy
Sustainable Infrastructure Strategy
Whole of Government ICT Strategic Directions</v>
      </c>
    </row>
    <row r="10" spans="1:7" s="6" customFormat="1" ht="90" x14ac:dyDescent="0.25">
      <c r="A10" s="2">
        <f t="shared" si="0"/>
        <v>6</v>
      </c>
      <c r="B10" s="1" t="str">
        <f>'Thematic Analysis'!E13</f>
        <v>Access to information
Consistency
Predictability</v>
      </c>
      <c r="C10" s="1" t="str">
        <f>'Thematic Analysis'!F13</f>
        <v>Data and Information Management
Standardization and Streamlining Processes
Strategic Planning and Development</v>
      </c>
      <c r="D10" s="1" t="str">
        <f>'Thematic Analysis'!G13</f>
        <v>Data governance
Consistent Excellence
Forward-Thinking Leadership</v>
      </c>
      <c r="E10" s="1" t="s">
        <v>683</v>
      </c>
      <c r="F10" s="1" t="s">
        <v>1039</v>
      </c>
      <c r="G10" s="1" t="str">
        <f>'Thematic Analysis'!$D13</f>
        <v>They're making care safer and better by giving clinicians the info they need and setting up systems for consistent, predictable processes across the state.</v>
      </c>
    </row>
    <row r="11" spans="1:7" s="6" customFormat="1" ht="135" x14ac:dyDescent="0.25">
      <c r="A11" s="2">
        <f t="shared" si="0"/>
        <v>7</v>
      </c>
      <c r="B11" s="1" t="str">
        <f>'Thematic Analysis'!E14</f>
        <v>Collaboration
Interoperability
Information flow</v>
      </c>
      <c r="C11" s="1" t="str">
        <f>'Thematic Analysis'!F14</f>
        <v>Collaboration and Communication
System Deployment and Integration
Infrastructure and Hardware Management</v>
      </c>
      <c r="D11" s="1" t="str">
        <f>'Thematic Analysis'!G14</f>
        <v>Teamwork enhancement
Reliable Implementation
Sustainable Systems</v>
      </c>
      <c r="E11" s="1" t="s">
        <v>684</v>
      </c>
      <c r="F11" s="1" t="s">
        <v>1040</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6" customFormat="1" ht="165" x14ac:dyDescent="0.25">
      <c r="A12" s="2">
        <f t="shared" si="0"/>
        <v>8</v>
      </c>
      <c r="B12" s="1" t="str">
        <f>'Thematic Analysis'!E15</f>
        <v>Efficient structures
System deployment &amp; Integration
Sustainability
Minimizing impact
Streamlined training processes</v>
      </c>
      <c r="C12" s="1" t="str">
        <f>'Thematic Analysis'!F15</f>
        <v>Program and Project Management
System Deployment and Integration
Policy and Organizational Reform
Operational Effectiveness and Efficiency
Employee Training and Development</v>
      </c>
      <c r="D12" s="1" t="str">
        <f>'Thematic Analysis'!G15</f>
        <v>Strategic Project Leadership
Reliable Implementation
Governance with Integrity
Process optimization
Employee development</v>
      </c>
      <c r="E12" s="1" t="s">
        <v>685</v>
      </c>
      <c r="F12" s="1" t="s">
        <v>1041</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6" customFormat="1" ht="330" x14ac:dyDescent="0.25">
      <c r="A13" s="2">
        <f t="shared" si="0"/>
        <v>9</v>
      </c>
      <c r="B13" s="1" t="str">
        <f>'Thematic Analysis'!E16</f>
        <v>Support for users
Alignment with initiatives
Cost savings</v>
      </c>
      <c r="C13" s="1" t="str">
        <f>'Thematic Analysis'!F16</f>
        <v>Consumer Experience and Support
Business Alignment
Financial Management and Budgeting</v>
      </c>
      <c r="D13" s="1" t="str">
        <f>'Thematic Analysis'!G16</f>
        <v>Customer service
Strategic Cohesion
Budget control</v>
      </c>
      <c r="E13" s="1" t="s">
        <v>686</v>
      </c>
      <c r="F13" s="1" t="s">
        <v>1042</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6" customFormat="1" ht="210" x14ac:dyDescent="0.25">
      <c r="A14" s="2">
        <f t="shared" si="0"/>
        <v>10</v>
      </c>
      <c r="B14" s="1" t="str">
        <f>'Thematic Analysis'!E17</f>
        <v>ICT Alignment
Governance
Investment plans
Business strategy</v>
      </c>
      <c r="C14" s="1" t="str">
        <f>'Thematic Analysis'!F17</f>
        <v>Business Alignment
Consumer Experience and Support
Financial Management and Budgeting
Compliance and Governance</v>
      </c>
      <c r="D14" s="1" t="str">
        <f>'Thematic Analysis'!G17</f>
        <v>Strategic Cohesion
Customer service
Budget control
Regulatory adherence</v>
      </c>
      <c r="E14" s="1" t="s">
        <v>1020</v>
      </c>
      <c r="F14" s="1" t="s">
        <v>1043</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6" customFormat="1" ht="390" x14ac:dyDescent="0.25">
      <c r="A15" s="2">
        <f t="shared" si="0"/>
        <v>11</v>
      </c>
      <c r="B15" s="1" t="str">
        <f>'Thematic Analysis'!E18</f>
        <v>ICT Alignment
Risk Identification
Dependency</v>
      </c>
      <c r="C15" s="1" t="str">
        <f>'Thematic Analysis'!F18</f>
        <v>Business Alignment
Risk Identification and Management
System Deployment and Integration</v>
      </c>
      <c r="D15" s="1" t="str">
        <f>'Thematic Analysis'!G18</f>
        <v>Strategic Cohesion
Accountable Risk Management
Reliable Implementation</v>
      </c>
      <c r="E15" s="1" t="s">
        <v>687</v>
      </c>
      <c r="F15" s="1" t="s">
        <v>1044</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6" customFormat="1" ht="255" x14ac:dyDescent="0.25">
      <c r="A16" s="2">
        <f t="shared" si="0"/>
        <v>12</v>
      </c>
      <c r="B16" s="1" t="str">
        <f>'Thematic Analysis'!E19</f>
        <v>Evaluation criteria</v>
      </c>
      <c r="C16" s="1" t="str">
        <f>'Thematic Analysis'!F19</f>
        <v>Financial Management and Budgeting</v>
      </c>
      <c r="D16" s="1" t="str">
        <f>'Thematic Analysis'!G19</f>
        <v>Budget control</v>
      </c>
      <c r="E16" s="6" t="s">
        <v>563</v>
      </c>
      <c r="F16" s="6" t="s">
        <v>951</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6" customFormat="1" ht="75" x14ac:dyDescent="0.25">
      <c r="A17" s="2">
        <f t="shared" si="0"/>
        <v>13</v>
      </c>
      <c r="B17" s="1" t="str">
        <f>'Thematic Analysis'!E20</f>
        <v>Inclusion
Replacement
Procurement</v>
      </c>
      <c r="C17" s="1" t="str">
        <f>'Thematic Analysis'!F20</f>
        <v>Data and Information Management
Resource Management and Utilization
Policy and Organizational Reform</v>
      </c>
      <c r="D17" s="1" t="str">
        <f>'Thematic Analysis'!G20</f>
        <v>Data governance
Sustainable Efficiency
Governance with Integrity</v>
      </c>
      <c r="E17" s="1" t="s">
        <v>688</v>
      </c>
      <c r="F17" s="1" t="s">
        <v>1045</v>
      </c>
      <c r="G17" s="1" t="str">
        <f>'Thematic Analysis'!$D20</f>
        <v>They should only add new projects to their investment plan. When it's time to replace old systems, they can handle it through contracts with vendors.</v>
      </c>
    </row>
    <row r="18" spans="1:7" s="6" customFormat="1" ht="165" x14ac:dyDescent="0.25">
      <c r="A18" s="2">
        <f t="shared" si="0"/>
        <v>14</v>
      </c>
      <c r="B18" s="1" t="str">
        <f>'Thematic Analysis'!E21</f>
        <v>Implementation timeline
Systems implementation
Support for Consumers
Management information</v>
      </c>
      <c r="C18" s="1" t="str">
        <f>'Thematic Analysis'!F21</f>
        <v>Future Planning and System Demand
System Deployment and Integration
Consumer Experience and Support
Data and Information Management</v>
      </c>
      <c r="D18" s="1" t="str">
        <f>'Thematic Analysis'!G21</f>
        <v>Futureproofing
Reliable Implementation
Customer service
Data governance</v>
      </c>
      <c r="E18" s="1" t="s">
        <v>689</v>
      </c>
      <c r="F18" s="1" t="s">
        <v>1046</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6" customFormat="1" ht="165" x14ac:dyDescent="0.25">
      <c r="A19" s="2">
        <f t="shared" si="0"/>
        <v>15</v>
      </c>
      <c r="B19" s="1" t="str">
        <f>'Thematic Analysis'!E22</f>
        <v>Collaboration
Consumer support
Employee management</v>
      </c>
      <c r="C19" s="1" t="str">
        <f>'Thematic Analysis'!F22</f>
        <v>Collaboration and Communication
Collaboration and Communication
Program and Project Management</v>
      </c>
      <c r="D19" s="1" t="str">
        <f>'Thematic Analysis'!G22</f>
        <v>Teamwork enhancement
Teamwork enhancement
Strategic Project Leadership</v>
      </c>
      <c r="E19" s="1" t="s">
        <v>690</v>
      </c>
      <c r="F19" s="1" t="s">
        <v>1047</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6" customFormat="1" ht="165" x14ac:dyDescent="0.25">
      <c r="A20" s="2">
        <f t="shared" si="0"/>
        <v>16</v>
      </c>
      <c r="B20" s="1" t="str">
        <f>'Thematic Analysis'!E23</f>
        <v>User optimization
Information accessibility
Time efficiency</v>
      </c>
      <c r="C20" s="1" t="str">
        <f>'Thematic Analysis'!F23</f>
        <v>Operational Effectiveness and Efficiency
Data and Information Management
Operational Effectiveness and Efficiency</v>
      </c>
      <c r="D20" s="1" t="str">
        <f>'Thematic Analysis'!G23</f>
        <v>Process optimization
Data governance
Process optimization</v>
      </c>
      <c r="E20" s="1" t="s">
        <v>1021</v>
      </c>
      <c r="F20" s="1" t="s">
        <v>1048</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6" customFormat="1" ht="105" x14ac:dyDescent="0.25">
      <c r="A21" s="2">
        <f t="shared" si="0"/>
        <v>17</v>
      </c>
      <c r="B21" s="1" t="str">
        <f>'Thematic Analysis'!E24</f>
        <v>Resource management
Capacity optimization
Planning</v>
      </c>
      <c r="C21" s="1" t="str">
        <f>'Thematic Analysis'!F24</f>
        <v>Resource Management and Utilization
Compliance and Governance
Strategic Planning and Development</v>
      </c>
      <c r="D21" s="1" t="str">
        <f>'Thematic Analysis'!G24</f>
        <v>Sustainable Efficiency
Regulatory adherence
Forward-Thinking Leadership</v>
      </c>
      <c r="E21" s="1" t="s">
        <v>691</v>
      </c>
      <c r="F21" s="1" t="s">
        <v>1049</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6" customFormat="1" ht="105" x14ac:dyDescent="0.25">
      <c r="A22" s="2">
        <f t="shared" si="0"/>
        <v>18</v>
      </c>
      <c r="B22" s="1" t="str">
        <f>'Thematic Analysis'!E25</f>
        <v>Integrated analysis &amp; System outcome indicators
Resource availability
Financial management</v>
      </c>
      <c r="C22" s="1" t="str">
        <f>'Thematic Analysis'!F25</f>
        <v>Compliance and Governance
Resource Management and Utilization
Future Planning and System Demand</v>
      </c>
      <c r="D22" s="1" t="str">
        <f>'Thematic Analysis'!G25</f>
        <v>Regulatory adherence
Sustainable Efficiency
Futureproofing</v>
      </c>
      <c r="E22" s="1" t="s">
        <v>1022</v>
      </c>
      <c r="F22" s="1" t="s">
        <v>1050</v>
      </c>
      <c r="G22" s="1" t="str">
        <f>'Thematic Analysis'!$D25</f>
        <v>At hospital, area, and department executive levels, having a complete portfolio lets them look at health outcomes, service demand, resources, performance, and finances all together.</v>
      </c>
    </row>
    <row r="23" spans="1:7" s="6" customFormat="1" ht="105" x14ac:dyDescent="0.25">
      <c r="A23" s="2">
        <f t="shared" si="0"/>
        <v>19</v>
      </c>
      <c r="B23" s="1" t="str">
        <f>'Thematic Analysis'!E26</f>
        <v>Priority areas &amp; Resource allocation
Funding availability
Core function delivery &amp; Urgent issue resolution</v>
      </c>
      <c r="C23" s="1" t="str">
        <f>'Thematic Analysis'!F26</f>
        <v>Risk Identification and Management
Compliance and Governance
Collaboration and Communication</v>
      </c>
      <c r="D23" s="1" t="str">
        <f>'Thematic Analysis'!G26</f>
        <v>Accountable Risk Management
Regulatory adherence
Teamwork enhancement</v>
      </c>
      <c r="E23" s="1" t="s">
        <v>692</v>
      </c>
      <c r="F23" s="1" t="s">
        <v>1051</v>
      </c>
      <c r="G23" s="1" t="str">
        <f>'Thematic Analysis'!$D26</f>
        <v>The ICT Strategy focuses on key areas and will address them as resources allow. Other initiatives will only be added if they don't affect these core functions or if there's an urgent need.</v>
      </c>
    </row>
    <row r="24" spans="1:7" s="6" customFormat="1" ht="105" x14ac:dyDescent="0.25">
      <c r="A24" s="2">
        <f t="shared" si="0"/>
        <v>20</v>
      </c>
      <c r="B24" s="1" t="str">
        <f>'Thematic Analysis'!E27</f>
        <v>Workflow improvement
Decision support
Resource management
Information accessibility</v>
      </c>
      <c r="C24" s="1" t="str">
        <f>'Thematic Analysis'!F27</f>
        <v>Operational Effectiveness and Efficiency
Resource Management and Utilization
Resource Management and Utilization
Data and Information Management</v>
      </c>
      <c r="D24" s="1" t="str">
        <f>'Thematic Analysis'!G27</f>
        <v>Process optimization
Sustainable Efficiency
Sustainable Efficiency
Data governance</v>
      </c>
      <c r="E24" s="1" t="s">
        <v>693</v>
      </c>
      <c r="F24" s="1" t="s">
        <v>1052</v>
      </c>
      <c r="G24" s="1" t="str">
        <f>'Thematic Analysis'!$D27</f>
        <v>By 2011, clinical departments will have improved systems for workflow, decision-making support, and accessing necessary information. This helps clinicians make better decisions for patients, leading to safer care</v>
      </c>
    </row>
    <row r="25" spans="1:7" s="6" customFormat="1" ht="105" x14ac:dyDescent="0.25">
      <c r="A25" s="2">
        <f t="shared" si="0"/>
        <v>21</v>
      </c>
      <c r="B25" s="1" t="str">
        <f>'Thematic Analysis'!E28</f>
        <v>Integration of core systems
Information accessibility
Resource management</v>
      </c>
      <c r="C25" s="1" t="str">
        <f>'Thematic Analysis'!F28</f>
        <v>System Deployment and Integration
Data and Information Management
Resource Management and Utilization</v>
      </c>
      <c r="D25" s="1" t="str">
        <f>'Thematic Analysis'!G28</f>
        <v>Reliable Implementation
Data governance
Sustainable Efficiency</v>
      </c>
      <c r="E25" s="1" t="s">
        <v>694</v>
      </c>
      <c r="F25" s="1" t="s">
        <v>1053</v>
      </c>
      <c r="G25" s="1" t="str">
        <f>'Thematic Analysis'!$D28</f>
        <v>Integrated hospital systems mean information is collected once and available to all, reducing handover issues and improving resource management for smoother patient care.</v>
      </c>
    </row>
    <row r="26" spans="1:7" s="6" customFormat="1" ht="240" x14ac:dyDescent="0.25">
      <c r="A26" s="2">
        <f t="shared" si="0"/>
        <v>22</v>
      </c>
      <c r="B26" s="1" t="str">
        <f>'Thematic Analysis'!E29</f>
        <v>Integration of systems
Information accessibility
Resource management
Standardized information
Collaboration</v>
      </c>
      <c r="C26" s="1" t="str">
        <f>'Thematic Analysis'!F29</f>
        <v>System Deployment and Integration
Data and Information Management
Resource Management and Utilization
Data and Information Management
Collaboration and Communication</v>
      </c>
      <c r="D26" s="1" t="str">
        <f>'Thematic Analysis'!G29</f>
        <v>Reliable Implementation
Data governance
Sustainable Efficiency
Data governance
Teamwork enhancement</v>
      </c>
      <c r="E26" s="1" t="s">
        <v>695</v>
      </c>
      <c r="F26" s="1" t="s">
        <v>1054</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6" customFormat="1" ht="180" x14ac:dyDescent="0.25">
      <c r="A27" s="2">
        <f t="shared" si="0"/>
        <v>23</v>
      </c>
      <c r="B27" s="1" t="str">
        <f>'Thematic Analysis'!E30</f>
        <v>Systems implementation
Standardized information access
Resource utilization
Management of future demand</v>
      </c>
      <c r="C27" s="1" t="str">
        <f>'Thematic Analysis'!F30</f>
        <v>System Deployment and Integration
Data and Information Management
Resource Management and Utilization
Future Planning and System Demand</v>
      </c>
      <c r="D27" s="1" t="str">
        <f>'Thematic Analysis'!G30</f>
        <v>Reliable Implementation
Data governance
Sustainable Efficiency
Futureproofing</v>
      </c>
      <c r="E27" s="1" t="s">
        <v>696</v>
      </c>
      <c r="F27" s="1" t="s">
        <v>1055</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6" customFormat="1" ht="150" x14ac:dyDescent="0.25">
      <c r="A28" s="2">
        <f t="shared" si="0"/>
        <v>24</v>
      </c>
      <c r="B28" s="1" t="str">
        <f>'Thematic Analysis'!E31</f>
        <v>Increased services demand
Service delivery
System projections</v>
      </c>
      <c r="C28" s="1" t="str">
        <f>'Thematic Analysis'!F31</f>
        <v>Data and Information Management
Consumer Experience and Support
Future Planning and System Demand</v>
      </c>
      <c r="D28" s="1" t="str">
        <f>'Thematic Analysis'!G31</f>
        <v>Data governance
Customer service
Futureproofing</v>
      </c>
      <c r="E28" s="1" t="s">
        <v>697</v>
      </c>
      <c r="F28" s="1" t="s">
        <v>1056</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6" customFormat="1" ht="60" x14ac:dyDescent="0.25">
      <c r="A29" s="2">
        <f t="shared" si="0"/>
        <v>25</v>
      </c>
      <c r="B29" s="1" t="str">
        <f>'Thematic Analysis'!E32</f>
        <v>Staff shortages
Critical areas
User capacity</v>
      </c>
      <c r="C29" s="1" t="str">
        <f>'Thematic Analysis'!F32</f>
        <v>System Maintenance and Support
Data and Information Management
System and Technology Improvement</v>
      </c>
      <c r="D29" s="1" t="str">
        <f>'Thematic Analysis'!G32</f>
        <v>Responsive Support
Data governance
Innovative Evolution</v>
      </c>
      <c r="E29" s="1" t="s">
        <v>698</v>
      </c>
      <c r="F29" s="1" t="s">
        <v>1057</v>
      </c>
      <c r="G29" s="1" t="str">
        <f>'Thematic Analysis'!$D32</f>
        <v>Staff shortages in critical areas such as nursing and medicine Hospitals running at maximum capacity</v>
      </c>
    </row>
    <row r="30" spans="1:7" s="6" customFormat="1" ht="120" x14ac:dyDescent="0.25">
      <c r="A30" s="2">
        <f t="shared" si="0"/>
        <v>26</v>
      </c>
      <c r="B30" s="1" t="str">
        <f>'Thematic Analysis'!E33</f>
        <v>Increase database
Rising system usage
Future system demand</v>
      </c>
      <c r="C30" s="1" t="str">
        <f>'Thematic Analysis'!F33</f>
        <v>Data and Information Management
Data and Information Management
Infrastructure and Hardware Management</v>
      </c>
      <c r="D30" s="1" t="str">
        <f>'Thematic Analysis'!G33</f>
        <v>Data governance
Data governance
Sustainable Systems</v>
      </c>
      <c r="E30" s="1" t="s">
        <v>1023</v>
      </c>
      <c r="F30" s="1" t="s">
        <v>1058</v>
      </c>
      <c r="G30" s="1" t="str">
        <f>'Thematic Analysis'!$D33</f>
        <v>The rate of chronic diseases like heart disease, lung disease, diabetes, and cancer is rising. Obesity is becoming more common among young people, and our increasingly globalized society raises the risk of pandemics.</v>
      </c>
    </row>
    <row r="31" spans="1:7" s="6" customFormat="1" ht="60" x14ac:dyDescent="0.25">
      <c r="A31" s="2">
        <f t="shared" si="0"/>
        <v>27</v>
      </c>
      <c r="B31" s="1" t="str">
        <f>'Thematic Analysis'!E34</f>
        <v>Knowledge management
IT system advancement</v>
      </c>
      <c r="C31" s="1" t="str">
        <f>'Thematic Analysis'!F34</f>
        <v>Data and Information Management
System and Technology Improvement</v>
      </c>
      <c r="D31" s="1" t="str">
        <f>'Thematic Analysis'!G34</f>
        <v>Data governance
Innovative Evolution</v>
      </c>
      <c r="E31" s="1" t="s">
        <v>699</v>
      </c>
      <c r="F31" s="1" t="s">
        <v>1059</v>
      </c>
      <c r="G31" s="1" t="str">
        <f>'Thematic Analysis'!$D34</f>
        <v>An increasing body of medical knowledge that staff cannot manage and
use without advanced IT systems</v>
      </c>
    </row>
    <row r="32" spans="1:7" s="6" customFormat="1" ht="60" x14ac:dyDescent="0.25">
      <c r="A32" s="2">
        <f t="shared" si="0"/>
        <v>28</v>
      </c>
      <c r="B32" s="1" t="str">
        <f>'Thematic Analysis'!E35</f>
        <v>Expensive technologies
Costly materials</v>
      </c>
      <c r="C32" s="1" t="str">
        <f>'Thematic Analysis'!F35</f>
        <v>Future Planning and System Demand
Financial Management and Budgeting</v>
      </c>
      <c r="D32" s="1" t="str">
        <f>'Thematic Analysis'!G35</f>
        <v>Futureproofing
Budget control</v>
      </c>
      <c r="E32" s="1" t="s">
        <v>700</v>
      </c>
      <c r="F32" s="1" t="s">
        <v>1060</v>
      </c>
      <c r="G32" s="1" t="str">
        <f>'Thematic Analysis'!$D35</f>
        <v>Health services are increasingly challenged by more expensive medical technologies and pharmaceuticals</v>
      </c>
    </row>
    <row r="33" spans="1:7" s="6" customFormat="1" ht="60" x14ac:dyDescent="0.25">
      <c r="A33" s="2">
        <f t="shared" si="0"/>
        <v>29</v>
      </c>
      <c r="B33" s="1" t="str">
        <f>'Thematic Analysis'!E36</f>
        <v>Informed consumers
High expectations
Complex needs problems</v>
      </c>
      <c r="C33" s="1" t="str">
        <f>'Thematic Analysis'!F36</f>
        <v>System Deployment and Integration
Business Alignment
Operational Effectiveness and Efficiency</v>
      </c>
      <c r="D33" s="1" t="str">
        <f>'Thematic Analysis'!G36</f>
        <v>Reliable Implementation
Strategic Cohesion
Process optimization</v>
      </c>
      <c r="E33" s="1" t="s">
        <v>1024</v>
      </c>
      <c r="F33" s="1" t="s">
        <v>1061</v>
      </c>
      <c r="G33" s="1" t="str">
        <f>'Thematic Analysis'!$D36</f>
        <v>Consumers are becoming more informed, have higher expectations and more complex problems</v>
      </c>
    </row>
    <row r="34" spans="1:7" s="6" customFormat="1" ht="165" x14ac:dyDescent="0.25">
      <c r="A34" s="2">
        <f t="shared" si="0"/>
        <v>30</v>
      </c>
      <c r="B34" s="1" t="str">
        <f>'Thematic Analysis'!E37</f>
        <v>Quality &amp; Safety standards
High user rates
Safe working capacity</v>
      </c>
      <c r="C34" s="1" t="str">
        <f>'Thematic Analysis'!F37</f>
        <v>Operational Effectiveness and Efficiency
Business Alignment
System and Technology Improvement</v>
      </c>
      <c r="D34" s="1" t="str">
        <f>'Thematic Analysis'!G37</f>
        <v>Process optimization
Strategic Cohesion
Innovative Evolution</v>
      </c>
      <c r="E34" s="1" t="s">
        <v>701</v>
      </c>
      <c r="F34" s="1" t="s">
        <v>1062</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6" customFormat="1" ht="105" x14ac:dyDescent="0.25">
      <c r="A35" s="2">
        <f t="shared" si="0"/>
        <v>31</v>
      </c>
      <c r="B35" s="1" t="str">
        <f>'Thematic Analysis'!E38</f>
        <v>Communication
Policies &amp; Procedures
Skills and competence
Work scheduling</v>
      </c>
      <c r="C35" s="1" t="str">
        <f>'Thematic Analysis'!F38</f>
        <v>Standardization and Streamlining Processes
Strategic Planning and Development
Employee Training and Development
Program and Project Management</v>
      </c>
      <c r="D35" s="1" t="str">
        <f>'Thematic Analysis'!G38</f>
        <v>Consistent Excellence
Forward-Thinking Leadership
Employee development
Strategic Project Leadership</v>
      </c>
      <c r="E35" s="1" t="s">
        <v>702</v>
      </c>
      <c r="F35" s="1" t="s">
        <v>1063</v>
      </c>
      <c r="G35" s="1" t="str">
        <f>'Thematic Analysis'!$D38</f>
        <v>The key factors that cause these adverse events are:
_x0001_ Communication
_x0001_ Policies and procedures
_x0001_ Knowledge, skills and competence issues
_x0001_ Work scheduling</v>
      </c>
    </row>
    <row r="36" spans="1:7" s="6" customFormat="1" ht="105" x14ac:dyDescent="0.25">
      <c r="A36" s="2">
        <f t="shared" si="0"/>
        <v>32</v>
      </c>
      <c r="B36" s="1" t="str">
        <f>'Thematic Analysis'!E39</f>
        <v>Lack of core ICT systems
System reform</v>
      </c>
      <c r="C36" s="1" t="str">
        <f>'Thematic Analysis'!F39</f>
        <v>System and Technology Improvement
Policy and Organizational Reform</v>
      </c>
      <c r="D36" s="1" t="str">
        <f>'Thematic Analysis'!G39</f>
        <v>Innovative Evolution
Governance with Integrity</v>
      </c>
      <c r="E36" s="1" t="s">
        <v>703</v>
      </c>
      <c r="F36" s="1" t="s">
        <v>1064</v>
      </c>
      <c r="G36" s="1" t="str">
        <f>'Thematic Analysis'!$D39</f>
        <v>Clinical ICT is becoming an increasingly important enabler of health
system reform, yet the core systems to underpin reform are not
currently in place.</v>
      </c>
    </row>
    <row r="37" spans="1:7" s="6" customFormat="1" ht="150" x14ac:dyDescent="0.25">
      <c r="A37" s="2">
        <f t="shared" si="0"/>
        <v>33</v>
      </c>
      <c r="B37" s="1" t="str">
        <f>'Thematic Analysis'!E40</f>
        <v>Constraints in funding
Skilled project management
Capacity for large-scale change</v>
      </c>
      <c r="C37" s="1" t="str">
        <f>'Thematic Analysis'!F40</f>
        <v>Consumer Experience and Support
Program and Project Management
Resource Management and Utilization</v>
      </c>
      <c r="D37" s="1" t="str">
        <f>'Thematic Analysis'!G40</f>
        <v>Customer service
Strategic Project Leadership
Sustainable Efficiency</v>
      </c>
      <c r="E37" s="1" t="s">
        <v>1025</v>
      </c>
      <c r="F37" s="1" t="s">
        <v>1065</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6" customFormat="1" ht="105" x14ac:dyDescent="0.25">
      <c r="A38" s="2">
        <f t="shared" ref="A38:A70" si="1">A37+1</f>
        <v>34</v>
      </c>
      <c r="B38" s="1" t="str">
        <f>'Thematic Analysis'!E41</f>
        <v>Competing demands for ICT funds
Priority determination
Project scheduling complexity</v>
      </c>
      <c r="C38" s="1" t="str">
        <f>'Thematic Analysis'!F41</f>
        <v>Consumer Experience and Support
Risk Identification and Management
Operational Effectiveness and Efficiency</v>
      </c>
      <c r="D38" s="1" t="str">
        <f>'Thematic Analysis'!G41</f>
        <v>Customer service
Accountable Risk Management
Process optimization</v>
      </c>
      <c r="E38" s="1" t="s">
        <v>1026</v>
      </c>
      <c r="F38" s="1" t="s">
        <v>1066</v>
      </c>
      <c r="G38" s="1" t="str">
        <f>'Thematic Analysis'!$D41</f>
        <v>There are many competing demands for ICT funds. Deciding which projects to prioritize and schedule is complex and needs ongoing review to ensure funds are allocated where they will be most beneficial.</v>
      </c>
    </row>
    <row r="39" spans="1:7" s="6" customFormat="1" ht="105" x14ac:dyDescent="0.25">
      <c r="A39" s="2">
        <f t="shared" si="1"/>
        <v>35</v>
      </c>
      <c r="B39" s="1" t="str">
        <f>'Thematic Analysis'!E42</f>
        <v>Convergence of issues
Significant risk environment
Need for service delivery change</v>
      </c>
      <c r="C39" s="1" t="str">
        <f>'Thematic Analysis'!F42</f>
        <v>Consumer Experience and Support
Risk Identification and Management
Operational Effectiveness and Efficiency</v>
      </c>
      <c r="D39" s="1" t="str">
        <f>'Thematic Analysis'!G42</f>
        <v>Customer service
Accountable Risk Management
Process optimization</v>
      </c>
      <c r="E39" s="1" t="s">
        <v>704</v>
      </c>
      <c r="F39" s="1" t="s">
        <v>1067</v>
      </c>
      <c r="G39" s="1" t="str">
        <f>'Thematic Analysis'!$D42</f>
        <v>NSW Health needs to change how it delivers services to meet these challenges. They've started a big reform program and need the right IT solutions to support staff and make these changes last</v>
      </c>
    </row>
    <row r="40" spans="1:7" s="6" customFormat="1" ht="135" x14ac:dyDescent="0.25">
      <c r="A40" s="2">
        <f t="shared" si="1"/>
        <v>36</v>
      </c>
      <c r="B40" s="1" t="str">
        <f>'Thematic Analysis'!E43</f>
        <v>Demand for services
Workforce shortages
Government priorities
ICT strategies</v>
      </c>
      <c r="C40" s="1" t="str">
        <f>'Thematic Analysis'!F43</f>
        <v>System Deployment and Integration
System Maintenance and Support
Consumer Experience and Support
Implementation Challenges and Delays</v>
      </c>
      <c r="D40" s="1" t="str">
        <f>'Thematic Analysis'!G43</f>
        <v>Reliable Implementation
Responsive Support
Customer service
Resilient Execution</v>
      </c>
      <c r="E40" s="1" t="s">
        <v>705</v>
      </c>
      <c r="F40" s="1" t="s">
        <v>1068</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6" customFormat="1" ht="135" x14ac:dyDescent="0.25">
      <c r="A41" s="2">
        <f t="shared" si="1"/>
        <v>37</v>
      </c>
      <c r="B41" s="1" t="str">
        <f>'Thematic Analysis'!E44</f>
        <v>Alignment with Results and Services Plan
Support for strategic programs
Alignment with reform programs
Consideration of whole-of-government strategies</v>
      </c>
      <c r="C41" s="1" t="str">
        <f>'Thematic Analysis'!F44</f>
        <v>Resource Management and Utilization
Policy and Organizational Reform
Business Alignment
Standardization and Streamlining Processes</v>
      </c>
      <c r="D41" s="1" t="str">
        <f>'Thematic Analysis'!G44</f>
        <v>Sustainable Efficiency
Governance with Integrity
Strategic Cohesion
Consistent Excellence</v>
      </c>
      <c r="E41" s="1" t="s">
        <v>706</v>
      </c>
      <c r="F41" s="1" t="s">
        <v>1069</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6" customFormat="1" ht="345" x14ac:dyDescent="0.25">
      <c r="A42" s="2">
        <f t="shared" si="1"/>
        <v>38</v>
      </c>
      <c r="B42" s="1" t="str">
        <f>'Thematic Analysis'!E45</f>
        <v>Preventative solutions
User experience
Future benefits
Strengthening relationships
Costs of services
Sustainable Workforce
New risk potential</v>
      </c>
      <c r="C42" s="1" t="str">
        <f>'Thematic Analysis'!F45</f>
        <v>Financial Management and Budgeting
Consumer Experience and Support
Compliance and Governance
Collaboration and Communication
Collaboration and Communication
System Maintenance and Support
Risk Identification and Management</v>
      </c>
      <c r="D42" s="1" t="str">
        <f>'Thematic Analysis'!G45</f>
        <v>Budget control
Customer service
Regulatory adherence
Teamwork enhancement
Teamwork enhancement
Responsive Support
Accountable Risk Management</v>
      </c>
      <c r="E42" s="1" t="s">
        <v>707</v>
      </c>
      <c r="F42" s="1" t="s">
        <v>1070</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6" customFormat="1" ht="150" x14ac:dyDescent="0.25">
      <c r="A43" s="2">
        <f t="shared" si="1"/>
        <v>39</v>
      </c>
      <c r="B43" s="1" t="str">
        <f>'Thematic Analysis'!E46</f>
        <v>Reducing risk factors
Preventing consumer issues
Interventions for high-risk consumers</v>
      </c>
      <c r="C43" s="1" t="str">
        <f>'Thematic Analysis'!F46</f>
        <v>Risk Identification and Management
Operational Effectiveness and Efficiency
Consumer Experience and Support</v>
      </c>
      <c r="D43" s="1" t="str">
        <f>'Thematic Analysis'!G46</f>
        <v>Accountable Risk Management
Process optimization
Customer service</v>
      </c>
      <c r="E43" s="1" t="s">
        <v>708</v>
      </c>
      <c r="F43" s="1" t="s">
        <v>1071</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6" customFormat="1" ht="150" x14ac:dyDescent="0.25">
      <c r="A44" s="2">
        <f t="shared" si="1"/>
        <v>40</v>
      </c>
      <c r="B44" s="1" t="str">
        <f>'Thematic Analysis'!E47</f>
        <v>Availability of services
Effectiveness of services
Coordination of care
Supporting new care models
Sustainability of reform
Information flow along consumer journey
Consumer experience improvement
Appropriate consumer delivery</v>
      </c>
      <c r="C44" s="1" t="str">
        <f>'Thematic Analysis'!F47</f>
        <v>Business Alignment
Consumer Experience and Support
Collaboration and Communication
Consumer Experience and Support
Policy and Organizational Reform
Infrastructure and Hardware Management
Consumer Experience and Support
Resource Management and Utilization</v>
      </c>
      <c r="D44" s="1" t="str">
        <f>'Thematic Analysis'!G47</f>
        <v>Strategic Cohesion
Customer service
Teamwork enhancement
Customer service
Governance with Integrity
Sustainable Systems
Customer service
Sustainable Efficiency</v>
      </c>
      <c r="E44" s="1" t="s">
        <v>1027</v>
      </c>
      <c r="F44" s="1" t="s">
        <v>1072</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6" customFormat="1" ht="120" x14ac:dyDescent="0.25">
      <c r="A45" s="2">
        <f t="shared" si="1"/>
        <v>41</v>
      </c>
      <c r="B45" s="1" t="str">
        <f>'Thematic Analysis'!E48</f>
        <v>Complexity and duplication in service delivery
Need for improved collaboration
Enhancement of coordination
Quality and safety improvement
Appropriate resource utilization</v>
      </c>
      <c r="C45" s="1" t="str">
        <f>'Thematic Analysis'!F48</f>
        <v>Compliance and Governance
Collaboration and Communication
Financial Management and Budgeting
Operational Effectiveness and Efficiency
Consumer Experience and Support</v>
      </c>
      <c r="D45" s="1" t="str">
        <f>'Thematic Analysis'!G48</f>
        <v>Regulatory adherence
Teamwork enhancement
Budget control
Process optimization
Customer service</v>
      </c>
      <c r="E45" s="1" t="s">
        <v>709</v>
      </c>
      <c r="F45" s="1" t="s">
        <v>1073</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6" customFormat="1" ht="90" x14ac:dyDescent="0.25">
      <c r="A46" s="2">
        <f t="shared" si="1"/>
        <v>42</v>
      </c>
      <c r="B46" s="1" t="str">
        <f>'Thematic Analysis'!E49</f>
        <v>Constraints and opportunities
Alignment with national initiatives</v>
      </c>
      <c r="C46" s="1" t="str">
        <f>'Thematic Analysis'!F49</f>
        <v>Financial Management and Budgeting
Business Alignment</v>
      </c>
      <c r="D46" s="1" t="str">
        <f>'Thematic Analysis'!G49</f>
        <v>Budget control
Strategic Cohesion</v>
      </c>
      <c r="E46" s="1" t="s">
        <v>710</v>
      </c>
      <c r="F46" s="1" t="s">
        <v>1074</v>
      </c>
      <c r="G46" s="1" t="str">
        <f>'Thematic Analysis'!$D49</f>
        <v>The NSW Government's IT setup influences NSW Health's ICT plan. They aim to make sure NSW initiatives match up with and sometimes even help shape national and statewide plans</v>
      </c>
    </row>
    <row r="47" spans="1:7" s="6" customFormat="1" ht="240" x14ac:dyDescent="0.25">
      <c r="A47" s="2">
        <f t="shared" si="1"/>
        <v>43</v>
      </c>
      <c r="B47" s="1" t="str">
        <f>'Thematic Analysis'!E50</f>
        <v>New directions for IT
Primary goals of Executive Council</v>
      </c>
      <c r="C47" s="1" t="str">
        <f>'Thematic Analysis'!F50</f>
        <v>System and Technology Improvement
Operational Effectiveness and Efficiency</v>
      </c>
      <c r="D47" s="1" t="str">
        <f>'Thematic Analysis'!G50</f>
        <v>Innovative Evolution
Process optimization</v>
      </c>
      <c r="E47" s="1" t="s">
        <v>711</v>
      </c>
      <c r="F47" s="1" t="s">
        <v>1075</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6" customFormat="1" ht="180" x14ac:dyDescent="0.25">
      <c r="A48" s="2">
        <f t="shared" si="1"/>
        <v>44</v>
      </c>
      <c r="B48" s="1" t="str">
        <f>'Thematic Analysis'!E51</f>
        <v>Government priorities
Reform agenda
Business reform
Improvements to Indigenous consumers
Preventative services</v>
      </c>
      <c r="C48" s="1" t="str">
        <f>'Thematic Analysis'!F51</f>
        <v>Consumer Experience and Support
Policy and Organizational Reform
Business Alignment
Data and Information Management
Strategic Planning and Development</v>
      </c>
      <c r="D48" s="1" t="str">
        <f>'Thematic Analysis'!G51</f>
        <v>Customer service
Governance with Integrity
Strategic Cohesion
Data governance
Forward-Thinking Leadership</v>
      </c>
      <c r="E48" s="1" t="s">
        <v>712</v>
      </c>
      <c r="F48" s="1" t="s">
        <v>1076</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6" customFormat="1" ht="255" x14ac:dyDescent="0.25">
      <c r="A49" s="2">
        <f t="shared" si="1"/>
        <v>45</v>
      </c>
      <c r="B49" s="1" t="str">
        <f>'Thematic Analysis'!E52</f>
        <v>Collaboration across jurisdictions
Consistency in systems approaches
National information network
Regulatory frameworks</v>
      </c>
      <c r="C49" s="1" t="str">
        <f>'Thematic Analysis'!F52</f>
        <v>Collaboration and Communication
Standardization and Streamlining Processes
Data and Information Management
Compliance and Governance</v>
      </c>
      <c r="D49" s="1" t="str">
        <f>'Thematic Analysis'!G52</f>
        <v>Teamwork enhancement
Consistent Excellence
Data governance
Regulatory adherence</v>
      </c>
      <c r="E49" s="1" t="s">
        <v>713</v>
      </c>
      <c r="F49" s="1" t="s">
        <v>1077</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6" customFormat="1" ht="210" x14ac:dyDescent="0.25">
      <c r="A50" s="2">
        <f t="shared" si="1"/>
        <v>46</v>
      </c>
      <c r="B50" s="1" t="str">
        <f>'Thematic Analysis'!E53</f>
        <v>ICT standards
ICT strategic plan
Interoperability
Standardized information
Unique Identifiers
Individual Electronic Record
Identity management standards
Secure messaging
Supply chain management</v>
      </c>
      <c r="C50" s="1" t="str">
        <f>'Thematic Analysis'!F53</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50" s="1" t="str">
        <f>'Thematic Analysis'!G53</f>
        <v>Resilient Execution
Resilient Execution
Reliable Implementation
Data governance
Data integrity
Customer service
Resilient Execution
Data integrity
Sustainable Efficiency</v>
      </c>
      <c r="E50" s="1" t="s">
        <v>714</v>
      </c>
      <c r="F50" s="1" t="s">
        <v>1078</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6" customFormat="1" ht="120" x14ac:dyDescent="0.25">
      <c r="A51" s="2">
        <f t="shared" si="1"/>
        <v>47</v>
      </c>
      <c r="B51" s="1" t="str">
        <f>'Thematic Analysis'!E54</f>
        <v>Corporate reform program
ICT reform program
Implementation of IT solutions</v>
      </c>
      <c r="C51" s="1" t="str">
        <f>'Thematic Analysis'!F54</f>
        <v>Financial Management and Budgeting
Data Security, Quality and Privacy
Consumer Experience and Support</v>
      </c>
      <c r="D51" s="1" t="str">
        <f>'Thematic Analysis'!G54</f>
        <v>Budget control
Data integrity
Customer service</v>
      </c>
      <c r="E51" s="1" t="s">
        <v>715</v>
      </c>
      <c r="F51" s="1" t="s">
        <v>1079</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6" customFormat="1" ht="195" x14ac:dyDescent="0.25">
      <c r="A52" s="2">
        <f t="shared" si="1"/>
        <v>48</v>
      </c>
      <c r="B52" s="1" t="str">
        <f>'Thematic Analysis'!E55</f>
        <v>Development of ICT strategy
Investment priorities
Budget negotiation
Program delivery</v>
      </c>
      <c r="C52" s="1" t="str">
        <f>'Thematic Analysis'!F55</f>
        <v>Collaboration and Communication
Financial Management and Budgeting
Business Alignment
Compliance and Governance</v>
      </c>
      <c r="D52" s="1" t="str">
        <f>'Thematic Analysis'!G55</f>
        <v>Teamwork enhancement
Budget control
Strategic Cohesion
Regulatory adherence</v>
      </c>
      <c r="E52" s="1" t="s">
        <v>716</v>
      </c>
      <c r="F52" s="1" t="s">
        <v>1080</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6" customFormat="1" ht="120" x14ac:dyDescent="0.25">
      <c r="A53" s="2">
        <f t="shared" si="1"/>
        <v>49</v>
      </c>
      <c r="B53" s="1" t="str">
        <f>'Thematic Analysis'!E56</f>
        <v>Responsibilities of Support Services
Implementation of system
Maintenance of systems
Support for Consumers
Hardware management
Software management</v>
      </c>
      <c r="C53" s="1" t="str">
        <f>'Thematic Analysis'!F56</f>
        <v>Policy and Organizational Reform
Data and Information Management
System Maintenance and Support
Consumer Experience and Support
Business Alignment
Data and Information Management</v>
      </c>
      <c r="D53" s="1" t="str">
        <f>'Thematic Analysis'!G56</f>
        <v>Governance with Integrity
Data governance
Responsive Support
Customer service
Strategic Cohesion
Data governance</v>
      </c>
      <c r="E53" s="1" t="s">
        <v>1028</v>
      </c>
      <c r="F53" s="1" t="s">
        <v>1081</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6" customFormat="1" ht="105" x14ac:dyDescent="0.25">
      <c r="A54" s="2">
        <f t="shared" si="1"/>
        <v>50</v>
      </c>
      <c r="B54" s="1" t="str">
        <f>'Thematic Analysis'!E57</f>
        <v>Responsibilities of Services
Local implementations
Change management
Staff training
Benefits realization</v>
      </c>
      <c r="C54" s="1" t="str">
        <f>'Thematic Analysis'!F57</f>
        <v>Policy and Organizational Reform
System Deployment and Integration
Collaboration and Communication
Employee Training and Development
Resource Management and Utilization</v>
      </c>
      <c r="D54" s="1" t="str">
        <f>'Thematic Analysis'!G57</f>
        <v>Governance with Integrity
Reliable Implementation
Teamwork enhancement
Employee development
Sustainable Efficiency</v>
      </c>
      <c r="E54" s="1" t="s">
        <v>1029</v>
      </c>
      <c r="F54" s="1" t="s">
        <v>1082</v>
      </c>
      <c r="G54" s="1" t="str">
        <f>'Thematic Analysis'!$D57</f>
        <v>Area Health Services are responsible for the management of local
implementations, change management and training of staff and benefits
realisation.</v>
      </c>
    </row>
    <row r="55" spans="1:7" s="6" customFormat="1" ht="105" x14ac:dyDescent="0.25">
      <c r="A55" s="2">
        <f t="shared" si="1"/>
        <v>51</v>
      </c>
      <c r="B55" s="1" t="str">
        <f>'Thematic Analysis'!E58</f>
        <v>Prioritization of programs and projects
Sound investment decisions
Benefit to the organization
Common processes across ICT
Collaborative framework</v>
      </c>
      <c r="C55" s="1" t="str">
        <f>'Thematic Analysis'!F58</f>
        <v>Risk Identification and Management
Financial Management and Budgeting
Business Alignment
Collaboration and Communication
Collaboration and Communication</v>
      </c>
      <c r="D55" s="1" t="str">
        <f>'Thematic Analysis'!G58</f>
        <v>Accountable Risk Management
Budget control
Strategic Cohesion
Teamwork enhancement
Teamwork enhancement</v>
      </c>
      <c r="E55" s="1" t="s">
        <v>717</v>
      </c>
      <c r="F55" s="1" t="s">
        <v>1083</v>
      </c>
      <c r="G55" s="1" t="str">
        <f>'Thematic Analysis'!$D58</f>
        <v>They pick the most important projects and invest wisely for the health system. We work together on ICT stuff and have clear rules. This helps us decide what to build and how to run things</v>
      </c>
    </row>
    <row r="56" spans="1:7" s="6" customFormat="1" ht="105" x14ac:dyDescent="0.25">
      <c r="A56" s="2">
        <f t="shared" si="1"/>
        <v>52</v>
      </c>
      <c r="B56" s="1" t="str">
        <f>'Thematic Analysis'!E59</f>
        <v>Evaluation criteria
Prioritization
Monitoring
Achieving business priorities</v>
      </c>
      <c r="C56" s="1" t="str">
        <f>'Thematic Analysis'!F59</f>
        <v>Financial Management and Budgeting
Program and Project Management
System Maintenance and Support
Business Alignment</v>
      </c>
      <c r="D56" s="1" t="str">
        <f>'Thematic Analysis'!G59</f>
        <v>Budget control
Strategic Project Leadership
Responsive Support
Strategic Cohesion</v>
      </c>
      <c r="E56" s="1" t="s">
        <v>718</v>
      </c>
      <c r="F56" s="1" t="s">
        <v>1084</v>
      </c>
      <c r="G56" s="1" t="str">
        <f>'Thematic Analysis'!$D59</f>
        <v>NSW Health uses a coordinated approach to manage ICT projects. This helps us evaluate, prioritize, select, and monitor programs and projects. We adjust as needed to meet our business goals.</v>
      </c>
    </row>
    <row r="57" spans="1:7" s="6" customFormat="1" ht="60" x14ac:dyDescent="0.25">
      <c r="A57" s="2">
        <f t="shared" si="1"/>
        <v>53</v>
      </c>
      <c r="B57" s="1" t="str">
        <f>'Thematic Analysis'!E60</f>
        <v>Standardizing processes across ICT
Guidelines application</v>
      </c>
      <c r="C57" s="1" t="str">
        <f>'Thematic Analysis'!F60</f>
        <v>Standardization and Streamlining Processes
Business Alignment</v>
      </c>
      <c r="D57" s="1" t="str">
        <f>'Thematic Analysis'!G60</f>
        <v>Consistent Excellence
Strategic Cohesion</v>
      </c>
      <c r="E57" s="1" t="s">
        <v>1030</v>
      </c>
      <c r="F57" s="1" t="s">
        <v>1085</v>
      </c>
      <c r="G57" s="1" t="str">
        <f>'Thematic Analysis'!$D60</f>
        <v>They have set ways of doing things that support our ICT plan. These cover every step of a project's life.</v>
      </c>
    </row>
    <row r="58" spans="1:7" s="6" customFormat="1" ht="135" x14ac:dyDescent="0.25">
      <c r="A58" s="2">
        <f t="shared" si="1"/>
        <v>54</v>
      </c>
      <c r="B58" s="1" t="str">
        <f>'Thematic Analysis'!E61</f>
        <v>Collaborative implementation
Integration of governance models
Consistency in application development</v>
      </c>
      <c r="C58" s="1" t="str">
        <f>'Thematic Analysis'!F61</f>
        <v>Standardization and Streamlining Processes
Compliance and Governance
Standardization and Streamlining Processes</v>
      </c>
      <c r="D58" s="1" t="str">
        <f>'Thematic Analysis'!G61</f>
        <v>Consistent Excellence
Regulatory adherence
Consistent Excellence</v>
      </c>
      <c r="E58" s="1" t="s">
        <v>719</v>
      </c>
      <c r="F58" s="1" t="s">
        <v>1086</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6" customFormat="1" ht="150" x14ac:dyDescent="0.25">
      <c r="A59" s="2">
        <f t="shared" si="1"/>
        <v>55</v>
      </c>
      <c r="B59" s="1" t="str">
        <f>'Thematic Analysis'!E62</f>
        <v>Classification of applications
Management of applications
Resource management
Achieving outcomes</v>
      </c>
      <c r="C59" s="1" t="str">
        <f>'Thematic Analysis'!F62</f>
        <v>Collaboration and Communication
System Maintenance and Support
Resource Management and Utilization
Operational Effectiveness and Efficiency</v>
      </c>
      <c r="D59" s="1" t="str">
        <f>'Thematic Analysis'!G62</f>
        <v>Teamwork enhancement
Responsive Support
Sustainable Efficiency
Process optimization</v>
      </c>
      <c r="E59" s="1" t="s">
        <v>1031</v>
      </c>
      <c r="F59" s="1" t="s">
        <v>1087</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6" customFormat="1" ht="150" x14ac:dyDescent="0.25">
      <c r="A60" s="2">
        <f t="shared" si="1"/>
        <v>56</v>
      </c>
      <c r="B60" s="1" t="str">
        <f>'Thematic Analysis'!E63</f>
        <v>Alignment with business benefits
Risk Identification
Disconnect of strategy and implementation</v>
      </c>
      <c r="C60" s="1" t="str">
        <f>'Thematic Analysis'!F63</f>
        <v>Business Alignment
Risk Identification and Management
Compliance and Governance</v>
      </c>
      <c r="D60" s="1" t="str">
        <f>'Thematic Analysis'!G63</f>
        <v>Strategic Cohesion
Accountable Risk Management
Regulatory adherence</v>
      </c>
      <c r="E60" s="1" t="s">
        <v>1032</v>
      </c>
      <c r="F60" s="1" t="s">
        <v>1088</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6" customFormat="1" ht="150" x14ac:dyDescent="0.25">
      <c r="A61" s="2">
        <f t="shared" si="1"/>
        <v>57</v>
      </c>
      <c r="B61" s="1" t="str">
        <f>'Thematic Analysis'!E64</f>
        <v>Development process
Integration with existing methodology
Informed decision-making</v>
      </c>
      <c r="C61" s="1" t="str">
        <f>'Thematic Analysis'!F64</f>
        <v>System Deployment and Integration
System Deployment and Integration
System Deployment and Integration</v>
      </c>
      <c r="D61" s="1" t="str">
        <f>'Thematic Analysis'!G64</f>
        <v>Reliable Implementation
Reliable Implementation
Reliable Implementation</v>
      </c>
      <c r="E61" s="1" t="s">
        <v>1033</v>
      </c>
      <c r="F61" s="1" t="s">
        <v>1089</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6" customFormat="1" ht="240" x14ac:dyDescent="0.25">
      <c r="A62" s="2">
        <f t="shared" si="1"/>
        <v>58</v>
      </c>
      <c r="B62" s="1" t="str">
        <f>'Thematic Analysis'!E65</f>
        <v>Large content management
Resource constraints
Skills / Training
Scope creep</v>
      </c>
      <c r="C62" s="1" t="str">
        <f>'Thematic Analysis'!F65</f>
        <v>Data and Information Management
Resource Management and Utilization
Employee Training and Development
Program and Project Management</v>
      </c>
      <c r="D62" s="1" t="str">
        <f>'Thematic Analysis'!G65</f>
        <v>Data governance
Sustainable Efficiency
Employee development
Strategic Project Leadership</v>
      </c>
      <c r="E62" s="1" t="s">
        <v>720</v>
      </c>
      <c r="F62" s="1" t="s">
        <v>1090</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6" customFormat="1" ht="165" x14ac:dyDescent="0.25">
      <c r="A63" s="2">
        <f t="shared" si="1"/>
        <v>59</v>
      </c>
      <c r="B63" s="1" t="str">
        <f>'Thematic Analysis'!E66</f>
        <v>Equal system participation
Change control process
Core functionality vs area-specific needs</v>
      </c>
      <c r="C63" s="1" t="str">
        <f>'Thematic Analysis'!F66</f>
        <v>Standardization and Streamlining Processes
Compliance and Governance
Compliance and Governance</v>
      </c>
      <c r="D63" s="1" t="str">
        <f>'Thematic Analysis'!G66</f>
        <v>Consistent Excellence
Regulatory adherence
Regulatory adherence</v>
      </c>
      <c r="E63" s="1" t="s">
        <v>1034</v>
      </c>
      <c r="F63" s="1" t="s">
        <v>1091</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6" customFormat="1" ht="165" x14ac:dyDescent="0.25">
      <c r="A64" s="2">
        <f t="shared" si="1"/>
        <v>60</v>
      </c>
      <c r="B64" s="1" t="str">
        <f>'Thematic Analysis'!E67</f>
        <v>Alignment
Implementation delays
Allocation of resources</v>
      </c>
      <c r="C64" s="1" t="str">
        <f>'Thematic Analysis'!F67</f>
        <v>Business Alignment
Consumer Experience and Support
Consumer Experience and Support</v>
      </c>
      <c r="D64" s="1" t="str">
        <f>'Thematic Analysis'!G67</f>
        <v>Strategic Cohesion
Customer service
Customer service</v>
      </c>
      <c r="E64" s="1" t="s">
        <v>721</v>
      </c>
      <c r="F64" s="1" t="s">
        <v>1092</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6" customFormat="1" ht="165" x14ac:dyDescent="0.25">
      <c r="A65" s="2">
        <f t="shared" si="1"/>
        <v>61</v>
      </c>
      <c r="B65" s="1" t="str">
        <f>'Thematic Analysis'!E68</f>
        <v>Management of programs
Integration of systems
Compatibility between systems</v>
      </c>
      <c r="C65" s="1" t="str">
        <f>'Thematic Analysis'!F68</f>
        <v>Program and Project Management
System Deployment and Integration
Financial Management and Budgeting</v>
      </c>
      <c r="D65" s="1" t="str">
        <f>'Thematic Analysis'!G68</f>
        <v>Strategic Project Leadership
Reliable Implementation
Budget control</v>
      </c>
      <c r="E65" s="1" t="s">
        <v>722</v>
      </c>
      <c r="F65" s="1" t="s">
        <v>1093</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6" customFormat="1" ht="135" x14ac:dyDescent="0.25">
      <c r="A66" s="2">
        <f t="shared" si="1"/>
        <v>62</v>
      </c>
      <c r="B66" s="1" t="str">
        <f>'Thematic Analysis'!E69</f>
        <v>Integration of unified systems
Disruption to processes
Data security
Data privacy</v>
      </c>
      <c r="C66" s="1" t="str">
        <f>'Thematic Analysis'!F69</f>
        <v>System Deployment and Integration
Resource Management and Utilization
Data and Information Management
Data Security, Quality and Privacy</v>
      </c>
      <c r="D66" s="1" t="str">
        <f>'Thematic Analysis'!G69</f>
        <v>Reliable Implementation
Sustainable Efficiency
Data governance
Data integrity</v>
      </c>
      <c r="E66" s="1" t="s">
        <v>1035</v>
      </c>
      <c r="F66" s="1" t="s">
        <v>1094</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6" customFormat="1" ht="180" x14ac:dyDescent="0.25">
      <c r="A67" s="2">
        <f t="shared" si="1"/>
        <v>63</v>
      </c>
      <c r="B67" s="1" t="str">
        <f>'Thematic Analysis'!E70</f>
        <v>Timeliness
Accuracy of data
Accuracy of Reporting
Integration of data
Unified platform
Data accessibility
Data privacy</v>
      </c>
      <c r="C67" s="1" t="str">
        <f>'Thematic Analysis'!F70</f>
        <v>Operational Effectiveness and Efficiency
Data Security, Quality and Privacy
Data Security, Quality and Privacy
System Deployment and Integration
System Deployment and Integration
Data and Information Management
Data Security, Quality and Privacy</v>
      </c>
      <c r="D67" s="1" t="str">
        <f>'Thematic Analysis'!G70</f>
        <v>Process optimization
Data integrity
Data integrity
Reliable Implementation
Reliable Implementation
Data governance
Data integrity</v>
      </c>
      <c r="E67" s="1" t="s">
        <v>723</v>
      </c>
      <c r="F67" s="1" t="s">
        <v>1095</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6" customFormat="1" ht="150" x14ac:dyDescent="0.25">
      <c r="A68" s="2">
        <f t="shared" si="1"/>
        <v>64</v>
      </c>
      <c r="B68" s="1" t="str">
        <f>'Thematic Analysis'!E71</f>
        <v>Prioritization
Alignment
Monitoring</v>
      </c>
      <c r="C68" s="1" t="str">
        <f>'Thematic Analysis'!F71</f>
        <v>Program and Project Management
Business Alignment
System Maintenance and Support</v>
      </c>
      <c r="D68" s="1" t="str">
        <f>'Thematic Analysis'!G71</f>
        <v>Strategic Project Leadership
Strategic Cohesion
Responsive Support</v>
      </c>
      <c r="E68" s="1" t="s">
        <v>724</v>
      </c>
      <c r="F68" s="1" t="s">
        <v>1096</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6" customFormat="1" ht="120" x14ac:dyDescent="0.25">
      <c r="A69" s="2">
        <f t="shared" si="1"/>
        <v>65</v>
      </c>
      <c r="B69" s="1" t="str">
        <f>'Thematic Analysis'!E72</f>
        <v>Infrastructure efficiency
Standardized information
Resource optimization</v>
      </c>
      <c r="C69" s="1" t="str">
        <f>'Thematic Analysis'!F72</f>
        <v>Data and Information Management
Data and Information Management
Resource Management and Utilization</v>
      </c>
      <c r="D69" s="1" t="str">
        <f>'Thematic Analysis'!G72</f>
        <v>Data governance
Data governance
Sustainable Efficiency</v>
      </c>
      <c r="E69" s="1" t="s">
        <v>725</v>
      </c>
      <c r="F69" s="1" t="s">
        <v>1097</v>
      </c>
      <c r="G69" s="1" t="str">
        <f>'Thematic Analysis'!$D72</f>
        <v>The Sustainable Infrastructure program aims to streamline technical infrastructure, establish and uphold standards and architecture for statewide ICT initiatives, and ensure maximum benefit from ICT investments.</v>
      </c>
    </row>
    <row r="70" spans="1:7" s="6" customFormat="1" ht="105" x14ac:dyDescent="0.25">
      <c r="A70" s="2">
        <f t="shared" si="1"/>
        <v>66</v>
      </c>
      <c r="B70" s="1" t="str">
        <f>'Thematic Analysis'!E73</f>
        <v>Infrastructure coherence
Standard adherence
Data quality</v>
      </c>
      <c r="C70" s="1" t="str">
        <f>'Thematic Analysis'!F73</f>
        <v>System Deployment and Integration
Operational Effectiveness and Efficiency
Data and Information Management</v>
      </c>
      <c r="D70" s="1" t="str">
        <f>'Thematic Analysis'!G73</f>
        <v>Reliable Implementation
Process optimization
Data governance</v>
      </c>
      <c r="E70" s="1" t="s">
        <v>726</v>
      </c>
      <c r="F70" s="1" t="s">
        <v>1098</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atergorie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SubCatergorie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C32EB-6237-4D26-B3D1-613AC55CA332}">
  <dimension ref="A2:D8"/>
  <sheetViews>
    <sheetView tabSelected="1" workbookViewId="0">
      <selection activeCell="A2" sqref="A2:D2"/>
    </sheetView>
  </sheetViews>
  <sheetFormatPr defaultRowHeight="15" x14ac:dyDescent="0.25"/>
  <cols>
    <col min="1" max="1" width="6.85546875" bestFit="1" customWidth="1"/>
    <col min="2" max="2" width="7.140625" bestFit="1" customWidth="1"/>
    <col min="3" max="3" width="17.5703125" bestFit="1" customWidth="1"/>
    <col min="4" max="4" width="42.5703125" bestFit="1" customWidth="1"/>
  </cols>
  <sheetData>
    <row r="2" spans="1:4" x14ac:dyDescent="0.25">
      <c r="A2" s="51" t="s">
        <v>1177</v>
      </c>
      <c r="B2" s="51"/>
      <c r="C2" s="51"/>
      <c r="D2" s="51"/>
    </row>
    <row r="3" spans="1:4" x14ac:dyDescent="0.25">
      <c r="A3" t="s">
        <v>1163</v>
      </c>
      <c r="B3" t="s">
        <v>1164</v>
      </c>
      <c r="C3" t="s">
        <v>1165</v>
      </c>
      <c r="D3" t="s">
        <v>1166</v>
      </c>
    </row>
    <row r="4" spans="1:4" x14ac:dyDescent="0.25">
      <c r="A4" s="53">
        <v>0</v>
      </c>
      <c r="B4" s="53">
        <v>0.15</v>
      </c>
      <c r="C4" t="s">
        <v>1167</v>
      </c>
      <c r="D4" t="s">
        <v>1168</v>
      </c>
    </row>
    <row r="5" spans="1:4" x14ac:dyDescent="0.25">
      <c r="A5" s="53">
        <v>0.15</v>
      </c>
      <c r="B5" s="53">
        <v>0.3</v>
      </c>
      <c r="C5" t="s">
        <v>1169</v>
      </c>
      <c r="D5" t="s">
        <v>1170</v>
      </c>
    </row>
    <row r="6" spans="1:4" x14ac:dyDescent="0.25">
      <c r="A6" s="53">
        <v>0.3</v>
      </c>
      <c r="B6" s="53">
        <v>0.6</v>
      </c>
      <c r="C6" t="s">
        <v>1171</v>
      </c>
      <c r="D6" t="s">
        <v>1172</v>
      </c>
    </row>
    <row r="7" spans="1:4" x14ac:dyDescent="0.25">
      <c r="A7" s="53">
        <v>0.6</v>
      </c>
      <c r="B7" s="53">
        <v>0.8</v>
      </c>
      <c r="C7" t="s">
        <v>1173</v>
      </c>
      <c r="D7" t="s">
        <v>1174</v>
      </c>
    </row>
    <row r="8" spans="1:4" x14ac:dyDescent="0.25">
      <c r="A8" s="53">
        <v>0.8</v>
      </c>
      <c r="B8" s="53">
        <v>1</v>
      </c>
      <c r="C8" t="s">
        <v>1175</v>
      </c>
      <c r="D8" t="s">
        <v>1176</v>
      </c>
    </row>
  </sheetData>
  <mergeCells count="1">
    <mergeCell ref="A2:D2"/>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Thematic Analysis</vt:lpstr>
      <vt:lpstr>Glossary</vt:lpstr>
      <vt:lpstr>Search Data</vt:lpstr>
      <vt:lpstr>Tool Data</vt:lpstr>
      <vt:lpstr>Risk Matrix</vt:lpstr>
      <vt:lpstr>Catergories</vt:lpstr>
      <vt:lpstr>Concerns_List</vt:lpstr>
      <vt:lpstr>Factors</vt:lpstr>
      <vt:lpstr>Groups</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 [ncg33]</cp:lastModifiedBy>
  <dcterms:created xsi:type="dcterms:W3CDTF">2015-06-05T18:17:20Z</dcterms:created>
  <dcterms:modified xsi:type="dcterms:W3CDTF">2025-06-22T18:07:24Z</dcterms:modified>
</cp:coreProperties>
</file>