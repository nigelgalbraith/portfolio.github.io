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C:\Users\Nigel\Downloads\nigelgalbraith.github.io-main\projects\files\ThematicAnalysis\"/>
    </mc:Choice>
  </mc:AlternateContent>
  <xr:revisionPtr revIDLastSave="0" documentId="13_ncr:1_{0DE0FCD3-6735-4C45-BDC4-0E82157DF122}" xr6:coauthVersionLast="47" xr6:coauthVersionMax="47" xr10:uidLastSave="{00000000-0000-0000-0000-000000000000}"/>
  <bookViews>
    <workbookView xWindow="-120" yWindow="-120" windowWidth="19440" windowHeight="11640" xr2:uid="{00000000-000D-0000-FFFF-FFFF00000000}"/>
  </bookViews>
  <sheets>
    <sheet name="Thematic Analysis" sheetId="1" r:id="rId1"/>
    <sheet name="Glossary" sheetId="2" r:id="rId2"/>
    <sheet name="Search Data" sheetId="8" r:id="rId3"/>
    <sheet name="Tool Data" sheetId="9" r:id="rId4"/>
    <sheet name="Risk Matrix" sheetId="10" r:id="rId5"/>
  </sheets>
  <functionGroups builtInGroupCount="19"/>
  <definedNames>
    <definedName name="Catergories">Table6[Catergories]</definedName>
    <definedName name="Factors">'Thematic Analysis'!$E$8:$E$73</definedName>
    <definedName name="Factors_List">Table2[Factors]</definedName>
    <definedName name="Groups">'Thematic Analysis'!$F$8:$F$73</definedName>
    <definedName name="Search_Factors">Table6[Factors]</definedName>
    <definedName name="Sub_catergories">Table6[Sub Catergories]</definedName>
    <definedName name="Sub_Group">'Thematic Analysis'!$G$8:$G$73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9" l="1"/>
  <c r="I3" i="1"/>
  <c r="D3" i="9"/>
  <c r="C3" i="9"/>
  <c r="A3" i="8"/>
  <c r="A29" i="8"/>
  <c r="A21" i="8"/>
  <c r="A47" i="8"/>
  <c r="A38" i="8"/>
  <c r="A11" i="8"/>
  <c r="C52" i="8"/>
  <c r="C53" i="2"/>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5" i="9"/>
  <c r="A6" i="8"/>
  <c r="A7" i="8"/>
  <c r="A8" i="8"/>
  <c r="A9" i="8"/>
  <c r="A10" i="8"/>
  <c r="A12" i="8"/>
  <c r="A13" i="8"/>
  <c r="A14" i="8"/>
  <c r="A15" i="8"/>
  <c r="A16" i="8"/>
  <c r="A17" i="8"/>
  <c r="A18" i="8"/>
  <c r="A19" i="8"/>
  <c r="A20" i="8"/>
  <c r="A22" i="8"/>
  <c r="A23" i="8"/>
  <c r="A24" i="8"/>
  <c r="A25" i="8"/>
  <c r="A26" i="8"/>
  <c r="A27" i="8"/>
  <c r="A28" i="8"/>
  <c r="A30" i="8"/>
  <c r="A31" i="8"/>
  <c r="A32" i="8"/>
  <c r="A33" i="8"/>
  <c r="A34" i="8"/>
  <c r="A35" i="8"/>
  <c r="A36" i="8"/>
  <c r="A37" i="8"/>
  <c r="A39" i="8"/>
  <c r="A40" i="8"/>
  <c r="A41" i="8"/>
  <c r="A42" i="8"/>
  <c r="A43" i="8"/>
  <c r="A44" i="8"/>
  <c r="A45" i="8"/>
  <c r="A46" i="8"/>
  <c r="A48" i="8"/>
  <c r="A49" i="8"/>
  <c r="A50" i="8"/>
  <c r="A51" i="8"/>
  <c r="A5" i="8"/>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B6" i="9" l="1"/>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G5" i="9"/>
  <c r="F3" i="9"/>
  <c r="E3" i="9"/>
  <c r="B3" i="9"/>
  <c r="A4" i="2"/>
  <c r="B4" i="2"/>
  <c r="C4" i="2"/>
  <c r="A9" i="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I61" i="1"/>
  <c r="I46" i="1"/>
  <c r="I38" i="1"/>
  <c r="I59" i="1"/>
  <c r="I73" i="1"/>
  <c r="I57" i="1"/>
  <c r="I47" i="1"/>
  <c r="I45" i="1"/>
  <c r="I68" i="1"/>
  <c r="I35" i="1"/>
  <c r="I40" i="1"/>
  <c r="I32" i="1"/>
  <c r="I72" i="1"/>
  <c r="I69" i="1"/>
  <c r="I51" i="1"/>
  <c r="I60" i="1"/>
  <c r="I44" i="1"/>
  <c r="I50" i="1"/>
  <c r="I43" i="1"/>
  <c r="I63" i="1"/>
  <c r="I48" i="1"/>
  <c r="I52" i="1"/>
  <c r="I67" i="1"/>
  <c r="I49" i="1"/>
  <c r="I55" i="1"/>
  <c r="I71" i="1"/>
  <c r="I70" i="1"/>
  <c r="I39" i="1"/>
  <c r="I34" i="1"/>
  <c r="I37" i="1"/>
  <c r="I65" i="1"/>
  <c r="I58" i="1"/>
  <c r="I41" i="1"/>
  <c r="I54" i="1"/>
  <c r="I53" i="1"/>
  <c r="I36" i="1"/>
  <c r="I42" i="1"/>
  <c r="I64" i="1"/>
  <c r="I62" i="1"/>
  <c r="I66" i="1"/>
  <c r="I56" i="1"/>
  <c r="I33" i="1"/>
  <c r="I28" i="1"/>
  <c r="I22" i="1"/>
  <c r="I17" i="1"/>
  <c r="I31" i="1"/>
  <c r="I29" i="1"/>
  <c r="I14" i="1"/>
  <c r="I11" i="1"/>
  <c r="I24" i="1"/>
  <c r="I9" i="1"/>
  <c r="I8" i="1"/>
  <c r="I19" i="1"/>
  <c r="I23" i="1"/>
  <c r="I18" i="1"/>
  <c r="I26" i="1"/>
  <c r="I13" i="1"/>
  <c r="I15" i="1"/>
  <c r="I12" i="1"/>
  <c r="I16" i="1"/>
  <c r="I30" i="1"/>
  <c r="I27" i="1"/>
  <c r="I10" i="1"/>
  <c r="I21" i="1"/>
  <c r="I20" i="1"/>
  <c r="I25" i="1"/>
  <c r="A6" i="9" l="1"/>
  <c r="A7" i="9"/>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alcChain>
</file>

<file path=xl/sharedStrings.xml><?xml version="1.0" encoding="utf-8"?>
<sst xmlns="http://schemas.openxmlformats.org/spreadsheetml/2006/main" count="861" uniqueCount="691">
  <si>
    <t>Thematic analysis and coding template</t>
  </si>
  <si>
    <t>What are you looking for? What is your discovery question/purpose</t>
  </si>
  <si>
    <t>Notes/Additional</t>
  </si>
  <si>
    <t>Page 6</t>
  </si>
  <si>
    <t>Page 8</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</si>
  <si>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</si>
  <si>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</si>
  <si>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</si>
  <si>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</si>
  <si>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</si>
  <si>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</si>
  <si>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</si>
  <si>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</si>
  <si>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</si>
  <si>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</si>
  <si>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</si>
  <si>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</si>
  <si>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</si>
  <si>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</si>
  <si>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</si>
  <si>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</si>
  <si>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</si>
  <si>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</si>
  <si>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</si>
  <si>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</si>
  <si>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</si>
  <si>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</si>
  <si>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</si>
  <si>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</si>
  <si>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</si>
  <si>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</si>
  <si>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</si>
  <si>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</si>
  <si>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</si>
  <si>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</si>
  <si>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</si>
  <si>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</si>
  <si>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</si>
  <si>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</si>
  <si>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</si>
  <si>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</si>
  <si>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</si>
  <si>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</si>
  <si>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</si>
  <si>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</si>
  <si>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</si>
  <si>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</si>
  <si>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</si>
  <si>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</si>
  <si>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</si>
  <si>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</si>
  <si>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</si>
  <si>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</si>
  <si>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</si>
  <si>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</si>
  <si>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</si>
  <si>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</si>
  <si>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</si>
  <si>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</si>
  <si>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</si>
  <si>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</si>
  <si>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</si>
  <si>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</si>
  <si>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</si>
  <si>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</si>
  <si>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</si>
  <si>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</si>
  <si>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</si>
  <si>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</si>
  <si>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</si>
  <si>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</si>
  <si>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</si>
  <si>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</si>
  <si>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</si>
  <si>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</si>
  <si>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</si>
  <si>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</si>
  <si>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</si>
  <si>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</si>
  <si>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</si>
  <si>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</si>
  <si>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</si>
  <si>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</si>
  <si>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</si>
  <si>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</si>
  <si>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</si>
  <si>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</si>
  <si>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</si>
  <si>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</si>
  <si>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</si>
  <si>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</si>
  <si>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</si>
  <si>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</si>
  <si>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</si>
  <si>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</si>
  <si>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</si>
  <si>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</si>
  <si>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</si>
  <si>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</si>
  <si>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</si>
  <si>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</si>
  <si>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</si>
  <si>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</si>
  <si>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Performance monitoring</t>
  </si>
  <si>
    <t>Information flow</t>
  </si>
  <si>
    <t>Governance</t>
  </si>
  <si>
    <t>Infrastructure efficiency</t>
  </si>
  <si>
    <t>Service delivery</t>
  </si>
  <si>
    <t>Preventative solutions</t>
  </si>
  <si>
    <t>Budget control</t>
  </si>
  <si>
    <t>Regulatory adherence</t>
  </si>
  <si>
    <t>Customer service</t>
  </si>
  <si>
    <t>Process optimization</t>
  </si>
  <si>
    <t>Data governance</t>
  </si>
  <si>
    <t>Futureproofing</t>
  </si>
  <si>
    <t>Teamwork enhancement</t>
  </si>
  <si>
    <t>Employee development</t>
  </si>
  <si>
    <t>Data integrity</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</si>
  <si>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</si>
  <si>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</si>
  <si>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</si>
  <si>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</si>
  <si>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</si>
  <si>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</si>
  <si>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</si>
  <si>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</si>
  <si>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</si>
  <si>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</si>
  <si>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</si>
  <si>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</si>
  <si>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</si>
  <si>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</si>
  <si>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</si>
  <si>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</si>
  <si>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</si>
  <si>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</si>
  <si>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</si>
  <si>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</si>
  <si>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</si>
  <si>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</si>
  <si>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</si>
  <si>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</si>
  <si>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</si>
  <si>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</si>
  <si>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</si>
  <si>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</si>
  <si>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</si>
  <si>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</si>
  <si>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</si>
  <si>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</si>
  <si>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</si>
  <si>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</si>
  <si>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</si>
  <si>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</si>
  <si>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</si>
  <si>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</si>
  <si>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</si>
  <si>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</si>
  <si>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</si>
  <si>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</si>
  <si>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</si>
  <si>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</si>
  <si>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</si>
  <si>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</si>
  <si>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</si>
  <si>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</si>
  <si>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</si>
  <si>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</si>
  <si>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</si>
  <si>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</si>
  <si>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</si>
  <si>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</si>
  <si>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</si>
  <si>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</si>
  <si>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</si>
  <si>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</si>
  <si>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</si>
  <si>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</si>
  <si>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What are the possible solutions that can be implemented to mitigate reaised concerns while maintaing the organizations values ?
What are the possible solutions that can be implemented to mitigate raised concerns while maintaining the organizations values ?</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</si>
  <si>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</si>
  <si>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</si>
  <si>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</si>
  <si>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</si>
  <si>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</si>
  <si>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</si>
  <si>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</si>
  <si>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</si>
  <si>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</si>
  <si>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</si>
  <si>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</si>
  <si>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</si>
  <si>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System and Technology Improvement</t>
  </si>
  <si>
    <t>System Deployment and Integration</t>
  </si>
  <si>
    <t>System Maintenance and Support</t>
  </si>
  <si>
    <t>Program and Project Management</t>
  </si>
  <si>
    <t>Risk Identification and Management</t>
  </si>
  <si>
    <t>Policy and Organizational Reform</t>
  </si>
  <si>
    <t>Employee Training and Development</t>
  </si>
  <si>
    <t>Data Security, Quality and Privacy</t>
  </si>
  <si>
    <t>Concern</t>
  </si>
  <si>
    <t>Tech Concept</t>
  </si>
  <si>
    <t>Tech Layers</t>
  </si>
  <si>
    <t>ID</t>
  </si>
  <si>
    <t>Facts</t>
  </si>
  <si>
    <t>Organizational Values</t>
  </si>
  <si>
    <t>Table 1:  Thematic Analysis</t>
  </si>
  <si>
    <t>Editable Fields</t>
  </si>
  <si>
    <t>Glossary Check</t>
  </si>
  <si>
    <t>Table 6: Tool Data</t>
  </si>
  <si>
    <t>Total</t>
  </si>
  <si>
    <t>Factors</t>
  </si>
  <si>
    <t>Groups</t>
  </si>
  <si>
    <t>Sub Groups</t>
  </si>
  <si>
    <t>Table 4: Current Groups</t>
  </si>
  <si>
    <t>Table 3: Factor Check</t>
  </si>
  <si>
    <t>Factors that Need to be added</t>
  </si>
  <si>
    <t>Current Groups</t>
  </si>
  <si>
    <t>Catergories</t>
  </si>
  <si>
    <t>Sub Catergories</t>
  </si>
  <si>
    <t>Extracts</t>
  </si>
  <si>
    <t>References</t>
  </si>
  <si>
    <t>Table 2: Glossary</t>
  </si>
  <si>
    <t>Communication Tools</t>
  </si>
  <si>
    <t>Factor</t>
  </si>
  <si>
    <t>Data Management</t>
  </si>
  <si>
    <t>Data Quality</t>
  </si>
  <si>
    <t>Reporting Systems</t>
  </si>
  <si>
    <t>Strategic Alignment</t>
  </si>
  <si>
    <t>Outcome Measurement</t>
  </si>
  <si>
    <t>Strategic Planning</t>
  </si>
  <si>
    <t>Program Governance</t>
  </si>
  <si>
    <t>Policy Compliance</t>
  </si>
  <si>
    <t>Change Management</t>
  </si>
  <si>
    <t>Results-Based Planning</t>
  </si>
  <si>
    <t>Resource Management</t>
  </si>
  <si>
    <t>Service Design</t>
  </si>
  <si>
    <t>Resource Optimization</t>
  </si>
  <si>
    <t>Service Availability</t>
  </si>
  <si>
    <t>Organizational Value</t>
  </si>
  <si>
    <t>Financial Planning</t>
  </si>
  <si>
    <t>Change Initiatives</t>
  </si>
  <si>
    <t>Change Readiness</t>
  </si>
  <si>
    <t>Performance Tuning</t>
  </si>
  <si>
    <t>Transition Planning</t>
  </si>
  <si>
    <t>Stakeholder Engagement</t>
  </si>
  <si>
    <t>Interagency Cooperation</t>
  </si>
  <si>
    <t>Governance Structure</t>
  </si>
  <si>
    <t>Joint Program Delivery</t>
  </si>
  <si>
    <t>Process Standardization</t>
  </si>
  <si>
    <t>System Interoperability</t>
  </si>
  <si>
    <t>Integration Architecture</t>
  </si>
  <si>
    <t>Process Optimization</t>
  </si>
  <si>
    <t>Policy &amp; Regulation</t>
  </si>
  <si>
    <t>Policy Alignment</t>
  </si>
  <si>
    <t>Standards Adherence</t>
  </si>
  <si>
    <t>Dev Standards</t>
  </si>
  <si>
    <t>System Architecture</t>
  </si>
  <si>
    <t>Risk and Opportunity Analysis</t>
  </si>
  <si>
    <t>UX Design</t>
  </si>
  <si>
    <t>Helpdesk / User Services</t>
  </si>
  <si>
    <t>Integrated Service Design</t>
  </si>
  <si>
    <t>Care Coordination Systems</t>
  </si>
  <si>
    <t>Capital Planning</t>
  </si>
  <si>
    <t>Strategic Cohesion</t>
  </si>
  <si>
    <t>Sustainable Systems</t>
  </si>
  <si>
    <t>Governance with Integrity</t>
  </si>
  <si>
    <t>Strategic Project Leadership</t>
  </si>
  <si>
    <t>Accountable Risk Management</t>
  </si>
  <si>
    <t>Consistent Excellence</t>
  </si>
  <si>
    <t>Innovative Evolution</t>
  </si>
  <si>
    <t>Reliable Implementation</t>
  </si>
  <si>
    <t>Responsive Support</t>
  </si>
  <si>
    <t>Current Sub Group</t>
  </si>
  <si>
    <t>Total Rows:</t>
  </si>
  <si>
    <t>Total Rows: 0</t>
  </si>
  <si>
    <t>Application Categorization</t>
  </si>
  <si>
    <t>Metadata repositories, CMDB systems, and application portfolio management tools.</t>
  </si>
  <si>
    <t>Benefits Management Framework</t>
  </si>
  <si>
    <t>Performance tracking software, KPI dashboards, and financial modeling tools.</t>
  </si>
  <si>
    <t>Budget Constraint Handling</t>
  </si>
  <si>
    <t>Financial planning software, cost tracking systems, and resource allocation platforms.</t>
  </si>
  <si>
    <t>Budget Allocation Strategies</t>
  </si>
  <si>
    <t>ERP systems, budgeting modules, and portfolio management software.</t>
  </si>
  <si>
    <t>Business Case Development</t>
  </si>
  <si>
    <t>Project management tools, ROI calculators, and collaboration platforms.</t>
  </si>
  <si>
    <t>Financial planning software, ERP systems, investment portfolio management tools.</t>
  </si>
  <si>
    <t>Patient management systems, health information exchanges, secure messaging platforms.</t>
  </si>
  <si>
    <t>Change management software, communication platforms, project tracking tools.</t>
  </si>
  <si>
    <t>Collaboration tools, training portals, feedback and adoption tracking systems.</t>
  </si>
  <si>
    <t>Readiness assessment tools, survey platforms, stakeholder engagement systems.</t>
  </si>
  <si>
    <t>Unified communications systems, VoIP, video conferencing platforms.</t>
  </si>
  <si>
    <t>Database management systems, data lakes, cloud storage solutions.</t>
  </si>
  <si>
    <t>Data cleansing tools, validation software, profiling and monitoring tools.</t>
  </si>
  <si>
    <t>Coding standards enforcement tools, static analysis, version control systems.</t>
  </si>
  <si>
    <t>Budgeting software, forecasting models, financial dashboards.</t>
  </si>
  <si>
    <t>Policy management systems, compliance tracking, audit management tools.</t>
  </si>
  <si>
    <t>Organizational chart software, collaboration platforms, communication channels.</t>
  </si>
  <si>
    <t>Ticketing systems, knowledge bases, live chat and call center software.</t>
  </si>
  <si>
    <t>Service design software, cross-system integration platforms, user journey mapping tools.</t>
  </si>
  <si>
    <t>API gateways, ESB, microservices architecture, message brokers.</t>
  </si>
  <si>
    <t>Secure collaboration platforms, data sharing agreements, federation technologies.</t>
  </si>
  <si>
    <t>Collaborative project management tools, communication platforms, shared resource pools.</t>
  </si>
  <si>
    <t>Performance measurement systems, value tracking tools, business intelligence.</t>
  </si>
  <si>
    <t>KPI tracking tools, performance dashboards, data visualization software.</t>
  </si>
  <si>
    <t>Monitoring tools, system optimization software, load balancers.</t>
  </si>
  <si>
    <t>Compliance management systems, policy repositories, audit tools.</t>
  </si>
  <si>
    <t>Strategy mapping software, governance frameworks, collaboration platforms.</t>
  </si>
  <si>
    <t>Automated compliance monitoring, reporting systems, risk assessment tools.</t>
  </si>
  <si>
    <t>Workflow engines, automation platforms, process mining tools.</t>
  </si>
  <si>
    <t>SOP management software, compliance tools, training platforms.</t>
  </si>
  <si>
    <t>Governance platforms, risk management tools, compliance dashboards.</t>
  </si>
  <si>
    <t>Business intelligence platforms, dashboard software, data visualization tools.</t>
  </si>
  <si>
    <t>Workforce management software, budgeting tools, project tracking systems.</t>
  </si>
  <si>
    <t>Automation tools, analytics platforms, load balancing systems.</t>
  </si>
  <si>
    <t>Performance management software, strategic planning tools, reporting dashboards.</t>
  </si>
  <si>
    <t>Risk management platforms, SWOT analysis tools, scenario planning software.</t>
  </si>
  <si>
    <t>Monitoring systems, failover infrastructure, SLA tracking software.</t>
  </si>
  <si>
    <t>UX/UI design tools, service blueprinting software, customer journey mapping.</t>
  </si>
  <si>
    <t>Collaboration platforms, survey software, communication tools.</t>
  </si>
  <si>
    <t>Code quality tools, compliance software, audit management systems.</t>
  </si>
  <si>
    <t>Balanced scorecards, strategy mapping tools, performance management platforms.</t>
  </si>
  <si>
    <t>Roadmapping tools, portfolio management software, scenario analysis tools.</t>
  </si>
  <si>
    <t>Cloud platforms, microservices, network topology management.</t>
  </si>
  <si>
    <t>Standard protocols (SOAP, REST), API management, messaging queues.</t>
  </si>
  <si>
    <t>Project scheduling, resource allocation software, stakeholder engagement platforms.</t>
  </si>
  <si>
    <t>Prototyping tools, user testing platforms, accessibility compliance software.</t>
  </si>
  <si>
    <t>Table 5: Search Data</t>
  </si>
  <si>
    <t>Total Extracts</t>
  </si>
  <si>
    <t>Min</t>
  </si>
  <si>
    <t>Max</t>
  </si>
  <si>
    <t>Decriptor</t>
  </si>
  <si>
    <t>Definition</t>
  </si>
  <si>
    <t>Project Good to go</t>
  </si>
  <si>
    <t>All good to go</t>
  </si>
  <si>
    <t>Minor Issues</t>
  </si>
  <si>
    <t>Acceptable Risk</t>
  </si>
  <si>
    <t>Moderate Issues</t>
  </si>
  <si>
    <t>Management Action is Required</t>
  </si>
  <si>
    <t>Major Issues</t>
  </si>
  <si>
    <t>Senior Management Action is required</t>
  </si>
  <si>
    <t>Complete Failure</t>
  </si>
  <si>
    <t>Your Project is in Danger of Immediate Failure</t>
  </si>
  <si>
    <t>Table 7: Risk Assessment Rubric</t>
  </si>
  <si>
    <t>Strategic alignment</t>
  </si>
  <si>
    <t>Business reform &amp; strategy</t>
  </si>
  <si>
    <t>Government priorities &amp; guidelines</t>
  </si>
  <si>
    <t>Benefit realization</t>
  </si>
  <si>
    <t>Resource allocation</t>
  </si>
  <si>
    <t>Process efficiency</t>
  </si>
  <si>
    <t>Quality &amp; safety</t>
  </si>
  <si>
    <t>Standardization</t>
  </si>
  <si>
    <t>User-centric optimization</t>
  </si>
  <si>
    <t>Data management</t>
  </si>
  <si>
    <t>Knowledge &amp; content management</t>
  </si>
  <si>
    <t>Data sharing &amp; integration</t>
  </si>
  <si>
    <t>Inclusion &amp; equity</t>
  </si>
  <si>
    <t>Data integrity &amp; privacy</t>
  </si>
  <si>
    <t>Secure data practices</t>
  </si>
  <si>
    <t>Compliance &amp; regulations</t>
  </si>
  <si>
    <t>System interoperability</t>
  </si>
  <si>
    <t>Funding &amp; cost control</t>
  </si>
  <si>
    <t>Investment planning</t>
  </si>
  <si>
    <t>Collaboration &amp; teamwork</t>
  </si>
  <si>
    <t>Coordination &amp; support</t>
  </si>
  <si>
    <t>Communication standards</t>
  </si>
  <si>
    <t>System compatibility</t>
  </si>
  <si>
    <t>Future system planning</t>
  </si>
  <si>
    <t>Technology advancement</t>
  </si>
  <si>
    <t>System maintenance</t>
  </si>
  <si>
    <t>Workforce sustainability</t>
  </si>
  <si>
    <t>Project prioritization</t>
  </si>
  <si>
    <t>Skilled project execution</t>
  </si>
  <si>
    <t>Scope management</t>
  </si>
  <si>
    <t>Risk identification &amp; mitigation</t>
  </si>
  <si>
    <t>High-risk environment</t>
  </si>
  <si>
    <t>Policy &amp; governance reform</t>
  </si>
  <si>
    <t>Sustainability initiatives</t>
  </si>
  <si>
    <t>Consumer experience</t>
  </si>
  <si>
    <t>User support</t>
  </si>
  <si>
    <t>Service accessibility</t>
  </si>
  <si>
    <t>Employee training</t>
  </si>
  <si>
    <t>Skills development</t>
  </si>
  <si>
    <t>System deployment</t>
  </si>
  <si>
    <t>Integration capabilities</t>
  </si>
  <si>
    <t>Unified platforms</t>
  </si>
  <si>
    <t>Performance monitoring
Process efficiency</t>
  </si>
  <si>
    <t>System compatibility
System maintenance
Integration capabilities</t>
  </si>
  <si>
    <t>Strategic alignment
Process efficiency
Integration capabilities
Sustainability initiatives
Compliance &amp; regulations</t>
  </si>
  <si>
    <t>Information flow
Standardization
User-centric optimization</t>
  </si>
  <si>
    <t>Collaboration &amp; teamwork
Integration capabilities
Information flow</t>
  </si>
  <si>
    <t>Process efficiency
System deployment
Sustainability initiatives
Employee training</t>
  </si>
  <si>
    <t>User support
Strategic alignment
Funding &amp; cost control</t>
  </si>
  <si>
    <t>Strategic alignment
Policy &amp; governance reform
Investment planning
Business reform &amp; strategy</t>
  </si>
  <si>
    <t>Strategic alignment
Risk identification &amp; mitigation
Project prioritization</t>
  </si>
  <si>
    <t>Inclusion &amp; equity
Scope management
Investment planning</t>
  </si>
  <si>
    <t>Project prioritization
System deployment
User support
Performance monitoring</t>
  </si>
  <si>
    <t>Collaboration &amp; teamwork
User support
Workforce sustainability</t>
  </si>
  <si>
    <t>User-centric optimization
Service accessibility
Process efficiency</t>
  </si>
  <si>
    <t>Resource allocation
Process efficiency
Future system planning</t>
  </si>
  <si>
    <t>Performance monitoring
Resource allocation
Funding &amp; cost control</t>
  </si>
  <si>
    <t>Project prioritization
Resource allocation
Service delivery</t>
  </si>
  <si>
    <t>Process efficiency
User-centric optimization
Resource allocation
Service accessibility</t>
  </si>
  <si>
    <t>System interoperability
Service accessibility
Resource allocation</t>
  </si>
  <si>
    <t>Integration capabilities
Service accessibility
Resource allocation
Standardization
Collaboration &amp; teamwork</t>
  </si>
  <si>
    <t>System deployment
Standardization
Resource allocation
Future system planning</t>
  </si>
  <si>
    <t>Service delivery
Performance monitoring
Future system planning</t>
  </si>
  <si>
    <t>Workforce sustainability
Risk identification &amp; mitigation
Resource allocation</t>
  </si>
  <si>
    <t>Data management
Performance monitoring
Future system planning</t>
  </si>
  <si>
    <t>Knowledge &amp; content management
Technology advancement</t>
  </si>
  <si>
    <t>Funding &amp; cost control
Technology advancement</t>
  </si>
  <si>
    <t>Consumer experience
Service delivery
High-risk environment</t>
  </si>
  <si>
    <t>Communication standards
Policy &amp; governance reform
Skills development
Workforce sustainability</t>
  </si>
  <si>
    <t>System deployment
Business reform &amp; strategy</t>
  </si>
  <si>
    <t>Funding &amp; cost control
Skilled project execution
Workforce sustainability</t>
  </si>
  <si>
    <t>Risk identification &amp; mitigation
High-risk environment
Service delivery</t>
  </si>
  <si>
    <t>Service delivery
Workforce sustainability
Government priorities &amp; guidelines
Strategic alignment</t>
  </si>
  <si>
    <t>Strategic alignment
Policy &amp; governance reform
Business reform &amp; strategy
Government priorities &amp; guidelines</t>
  </si>
  <si>
    <t>Consumer experience
Future system planning
Collaboration &amp; teamwork
Funding &amp; cost control
Workforce sustainability
Risk identification &amp; mitigation</t>
  </si>
  <si>
    <t>Risk identification &amp; mitigation
Consumer experience
Preventative solutions</t>
  </si>
  <si>
    <t>Service accessibility
Service delivery
Coordination &amp; support
Sustainability initiatives
Information flow
Consumer experience</t>
  </si>
  <si>
    <t>Process efficiency
Collaboration &amp; teamwork
Coordination &amp; support
Quality &amp; safety
Resource allocation</t>
  </si>
  <si>
    <t>Scope management
Strategic alignment</t>
  </si>
  <si>
    <t>Technology advancement
Strategic alignment</t>
  </si>
  <si>
    <t>Government priorities &amp; guidelines
Business reform &amp; strategy
Inclusion &amp; equity
Preventative solutions</t>
  </si>
  <si>
    <t>Collaboration &amp; teamwork
Standardization
Data sharing &amp; integration
Compliance &amp; regulations</t>
  </si>
  <si>
    <t>Compliance &amp; regulations
Strategic alignment
System interoperability
Standardization
Data integrity &amp; privacy
Secure data practices</t>
  </si>
  <si>
    <t>Infrastructure efficiency
Standardization
Data integrity &amp; privacy</t>
  </si>
  <si>
    <t>Infrastructure efficiency
Standardization
Resource allocation</t>
  </si>
  <si>
    <t>Project prioritization
Strategic alignment
Performance monitoring</t>
  </si>
  <si>
    <t>Performance monitoring
Data management
Performance monitoring
Integration capabilities
Unified platforms
Data sharing &amp; integration
Data integrity &amp; privacy</t>
  </si>
  <si>
    <t>Integration capabilities
Process efficiency
Data integrity &amp; privacy
Secure data practices</t>
  </si>
  <si>
    <t>Project prioritization
Integration capabilities
System compatibility</t>
  </si>
  <si>
    <t>Strategic alignment
Project prioritization
Resource allocation</t>
  </si>
  <si>
    <t>Inclusion &amp; equity
Scope management</t>
  </si>
  <si>
    <t>Knowledge &amp; content management
Resource allocation
Skills development
Scope management</t>
  </si>
  <si>
    <t>Project prioritization
Integration capabilities
Knowledge &amp; content management</t>
  </si>
  <si>
    <t>Strategic alignment
Risk identification &amp; mitigation
Strategic alignment</t>
  </si>
  <si>
    <t>Data management
Resource allocation
Performance monitoring</t>
  </si>
  <si>
    <t>Collaboration &amp; teamwork
Policy &amp; governance reform
Standardization</t>
  </si>
  <si>
    <t>Standardization
Policy &amp; governance reform</t>
  </si>
  <si>
    <t>Project prioritization
Performance monitoring
Strategic alignment</t>
  </si>
  <si>
    <t>Project prioritization
Investment planning
Benefit realization
Standardization
Collaboration &amp; teamwork</t>
  </si>
  <si>
    <t>Service delivery
System deployment
Skills development
Benefit realization</t>
  </si>
  <si>
    <t>User support
System deployment
System maintenance</t>
  </si>
  <si>
    <t>Strategic alignment
Investment planning
Funding &amp; cost control
Project prioritization</t>
  </si>
  <si>
    <t>Funding &amp; cost control
Project prioritization
Scope management</t>
  </si>
  <si>
    <t>System Maintenance and Support
Operational Effectiveness and Efficiency</t>
  </si>
  <si>
    <t>Standardization and Streamlining Processes
System Maintenance and Support
System Deployment and Integration</t>
  </si>
  <si>
    <t>Business Alignment
Operational Effectiveness and Efficiency
System Deployment and Integration
Policy and Organizational Reform
Compliance and Governance</t>
  </si>
  <si>
    <t>Data and Information Management
Operational Effectiveness and Efficiency
Operational Effectiveness and Efficiency</t>
  </si>
  <si>
    <t>Collaboration and Communication
System Deployment and Integration
Data and Information Management</t>
  </si>
  <si>
    <t>Operational Effectiveness and Efficiency
System Deployment and Integration
Policy and Organizational Reform
Employee Training and Development</t>
  </si>
  <si>
    <t>Consumer Experience and Support
Business Alignment
Financial Management and Budgeting</t>
  </si>
  <si>
    <t>Business Alignment
Policy and Organizational Reform
Financial Management and Budgeting
Business Alignment</t>
  </si>
  <si>
    <t>Business Alignment
Risk Identification and Management
Program and Project Management</t>
  </si>
  <si>
    <t>Data and Information Management
Program and Project Management
Financial Management and Budgeting</t>
  </si>
  <si>
    <t>Program and Project Management
System Deployment and Integration
Consumer Experience and Support
System Maintenance and Support</t>
  </si>
  <si>
    <t>Collaboration and Communication
Consumer Experience and Support
System Maintenance and Support</t>
  </si>
  <si>
    <t>Operational Effectiveness and Efficiency
Consumer Experience and Support
Operational Effectiveness and Efficiency</t>
  </si>
  <si>
    <t>Business Alignment
Operational Effectiveness and Efficiency
Future Planning and System Demand</t>
  </si>
  <si>
    <t>System Maintenance and Support
Business Alignment
Financial Management and Budgeting</t>
  </si>
  <si>
    <t>Program and Project Management
Business Alignment
Operational Effectiveness and Efficiency</t>
  </si>
  <si>
    <t>Operational Effectiveness and Efficiency
Operational Effectiveness and Efficiency
Business Alignment
Consumer Experience and Support</t>
  </si>
  <si>
    <t>Compliance and Governance
Consumer Experience and Support
Business Alignment</t>
  </si>
  <si>
    <t>System Deployment and Integration
Consumer Experience and Support
Business Alignment
Operational Effectiveness and Efficiency
Collaboration and Communication</t>
  </si>
  <si>
    <t>System Deployment and Integration
Operational Effectiveness and Efficiency
Business Alignment
Future Planning and System Demand</t>
  </si>
  <si>
    <t>Operational Effectiveness and Efficiency
System Maintenance and Support
Future Planning and System Demand</t>
  </si>
  <si>
    <t>System Maintenance and Support
Risk Identification and Management
Business Alignment</t>
  </si>
  <si>
    <t>Data and Information Management
System Maintenance and Support
Future Planning and System Demand</t>
  </si>
  <si>
    <t>Data and Information Management
System and Technology Improvement</t>
  </si>
  <si>
    <t>Financial Management and Budgeting
System and Technology Improvement</t>
  </si>
  <si>
    <t>Consumer Experience and Support
Operational Effectiveness and Efficiency
Risk Identification and Management</t>
  </si>
  <si>
    <t>Standardization and Streamlining Processes
Policy and Organizational Reform
Employee Training and Development
System Maintenance and Support</t>
  </si>
  <si>
    <t>System Deployment and Integration
Business Alignment</t>
  </si>
  <si>
    <t>Financial Management and Budgeting
Program and Project Management
System Maintenance and Support</t>
  </si>
  <si>
    <t>Financial Management and Budgeting
Program and Project Management
Program and Project Management</t>
  </si>
  <si>
    <t>Risk Identification and Management
Risk Identification and Management
Operational Effectiveness and Efficiency</t>
  </si>
  <si>
    <t>Operational Effectiveness and Efficiency
System Maintenance and Support
Business Alignment
Business Alignment</t>
  </si>
  <si>
    <t>Business Alignment
Policy and Organizational Reform
Business Alignment
Business Alignment</t>
  </si>
  <si>
    <t>Consumer Experience and Support
Future Planning and System Demand
Collaboration and Communication
Financial Management and Budgeting
System Maintenance and Support
Risk Identification and Management</t>
  </si>
  <si>
    <t>Risk Identification and Management
Consumer Experience and Support
Financial Management and Budgeting</t>
  </si>
  <si>
    <t>Consumer Experience and Support
Operational Effectiveness and Efficiency
Collaboration and Communication
Policy and Organizational Reform
Data and Information Management
Consumer Experience and Support</t>
  </si>
  <si>
    <t>Operational Effectiveness and Efficiency
Collaboration and Communication
Collaboration and Communication
Operational Effectiveness and Efficiency
Business Alignment</t>
  </si>
  <si>
    <t>Program and Project Management
Business Alignment</t>
  </si>
  <si>
    <t>System and Technology Improvement
Business Alignment</t>
  </si>
  <si>
    <t>Business Alignment
Business Alignment
Data and Information Management
Financial Management and Budgeting</t>
  </si>
  <si>
    <t>Collaboration and Communication
Operational Effectiveness and Efficiency
Data and Information Management
Compliance and Governance</t>
  </si>
  <si>
    <t>Compliance and Governance
Business Alignment
Compliance and Governance
Operational Effectiveness and Efficiency
Data Security, Quality and Privacy
Data Security, Quality and Privacy</t>
  </si>
  <si>
    <t>Business Alignment
Financial Management and Budgeting
Financial Management and Budgeting
Program and Project Management</t>
  </si>
  <si>
    <t>Consumer Experience and Support
System Deployment and Integration
System Maintenance and Support</t>
  </si>
  <si>
    <t>Operational Effectiveness and Efficiency
System Deployment and Integration
Employee Training and Development
Business Alignment</t>
  </si>
  <si>
    <t>Program and Project Management
Financial Management and Budgeting
Business Alignment
Operational Effectiveness and Efficiency
Collaboration and Communication</t>
  </si>
  <si>
    <t>Program and Project Management
System Maintenance and Support
Business Alignment</t>
  </si>
  <si>
    <t>Operational Effectiveness and Efficiency
Policy and Organizational Reform</t>
  </si>
  <si>
    <t>Collaboration and Communication
Policy and Organizational Reform
Operational Effectiveness and Efficiency</t>
  </si>
  <si>
    <t>Data and Information Management
Business Alignment
System Maintenance and Support</t>
  </si>
  <si>
    <t>Business Alignment
Risk Identification and Management
Business Alignment</t>
  </si>
  <si>
    <t>Program and Project Management
System Deployment and Integration
Data and Information Management</t>
  </si>
  <si>
    <t>Data and Information Management
Business Alignment
Employee Training and Development
Program and Project Management</t>
  </si>
  <si>
    <t>Data and Information Management
Program and Project Management</t>
  </si>
  <si>
    <t>Business Alignment
Program and Project Management
Business Alignment</t>
  </si>
  <si>
    <t>Program and Project Management
System Deployment and Integration
Standardization and Streamlining Processes</t>
  </si>
  <si>
    <t>System Deployment and Integration
Operational Effectiveness and Efficiency
Data Security, Quality and Privacy
Data Security, Quality and Privacy</t>
  </si>
  <si>
    <t>System Maintenance and Support
Data and Information Management
System Maintenance and Support
System Deployment and Integration
System Deployment and Integration
Data and Information Management
Data Security, Quality and Privacy</t>
  </si>
  <si>
    <t>Program and Project Management
Business Alignment
System Maintenance and Support</t>
  </si>
  <si>
    <t>Infrastructure and Hardware Management
Operational Effectiveness and Efficiency
Business Alignment</t>
  </si>
  <si>
    <t>Infrastructure and Hardware Management
Operational Effectiveness and Efficiency
Data Security, Quality and Privacy</t>
  </si>
  <si>
    <t>Responsive Support
Process optimization</t>
  </si>
  <si>
    <t>Consistent Excellence
Responsive Support
Reliable Implementation</t>
  </si>
  <si>
    <t>Strategic Cohesion
Process optimization
Reliable Implementation
Governance with Integrity
Regulatory adherence</t>
  </si>
  <si>
    <t>Data governance
Process optimization
Process optimization</t>
  </si>
  <si>
    <t>Teamwork enhancement
Reliable Implementation
Data governance</t>
  </si>
  <si>
    <t>Process optimization
Reliable Implementation
Governance with Integrity
Employee development</t>
  </si>
  <si>
    <t>Customer service
Strategic Cohesion
Budget control</t>
  </si>
  <si>
    <t>Strategic Cohesion
Governance with Integrity
Budget control
Strategic Cohesion</t>
  </si>
  <si>
    <t>Strategic Cohesion
Accountable Risk Management
Strategic Project Leadership</t>
  </si>
  <si>
    <t>Data governance
Strategic Project Leadership
Budget control</t>
  </si>
  <si>
    <t>Strategic Project Leadership
Reliable Implementation
Customer service
Responsive Support</t>
  </si>
  <si>
    <t>Teamwork enhancement
Customer service
Responsive Support</t>
  </si>
  <si>
    <t>Process optimization
Customer service
Process optimization</t>
  </si>
  <si>
    <t>Strategic Cohesion
Process optimization
Futureproofing</t>
  </si>
  <si>
    <t>Responsive Support
Strategic Cohesion
Budget control</t>
  </si>
  <si>
    <t>Strategic Project Leadership
Strategic Cohesion
Process optimization</t>
  </si>
  <si>
    <t>Process optimization
Process optimization
Strategic Cohesion
Customer service</t>
  </si>
  <si>
    <t>Regulatory adherence
Customer service
Strategic Cohesion</t>
  </si>
  <si>
    <t>Reliable Implementation
Customer service
Strategic Cohesion
Process optimization
Teamwork enhancement</t>
  </si>
  <si>
    <t>Reliable Implementation
Process optimization
Strategic Cohesion
Futureproofing</t>
  </si>
  <si>
    <t>Process optimization
Responsive Support
Futureproofing</t>
  </si>
  <si>
    <t>Responsive Support
Accountable Risk Management
Strategic Cohesion</t>
  </si>
  <si>
    <t>Data governance
Responsive Support
Futureproofing</t>
  </si>
  <si>
    <t>Data governance
Innovative Evolution</t>
  </si>
  <si>
    <t>Budget control
Innovative Evolution</t>
  </si>
  <si>
    <t>Customer service
Process optimization
Accountable Risk Management</t>
  </si>
  <si>
    <t>Consistent Excellence
Governance with Integrity
Employee development
Responsive Support</t>
  </si>
  <si>
    <t>Reliable Implementation
Strategic Cohesion</t>
  </si>
  <si>
    <t>Budget control
Strategic Project Leadership
Responsive Support</t>
  </si>
  <si>
    <t>Budget control
Strategic Project Leadership
Strategic Project Leadership</t>
  </si>
  <si>
    <t>Accountable Risk Management
Accountable Risk Management
Process optimization</t>
  </si>
  <si>
    <t>Process optimization
Responsive Support
Strategic Cohesion
Strategic Cohesion</t>
  </si>
  <si>
    <t>Strategic Cohesion
Governance with Integrity
Strategic Cohesion
Strategic Cohesion</t>
  </si>
  <si>
    <t>Customer service
Futureproofing
Teamwork enhancement
Budget control
Responsive Support
Accountable Risk Management</t>
  </si>
  <si>
    <t>Accountable Risk Management
Customer service
Budget control</t>
  </si>
  <si>
    <t>Customer service
Process optimization
Teamwork enhancement
Governance with Integrity
Data governance
Customer service</t>
  </si>
  <si>
    <t>Process optimization
Teamwork enhancement
Teamwork enhancement
Process optimization
Strategic Cohesion</t>
  </si>
  <si>
    <t>Strategic Project Leadership
Strategic Cohesion</t>
  </si>
  <si>
    <t>Innovative Evolution
Strategic Cohesion</t>
  </si>
  <si>
    <t>Strategic Cohesion
Strategic Cohesion
Data governance
Budget control</t>
  </si>
  <si>
    <t>Teamwork enhancement
Process optimization
Data governance
Regulatory adherence</t>
  </si>
  <si>
    <t>Regulatory adherence
Strategic Cohesion
Regulatory adherence
Process optimization
Data integrity
Data integrity</t>
  </si>
  <si>
    <t>Strategic Cohesion
Budget control
Budget control
Strategic Project Leadership</t>
  </si>
  <si>
    <t>Customer service
Reliable Implementation
Responsive Support</t>
  </si>
  <si>
    <t>Process optimization
Reliable Implementation
Employee development
Strategic Cohesion</t>
  </si>
  <si>
    <t>Strategic Project Leadership
Budget control
Strategic Cohesion
Process optimization
Teamwork enhancement</t>
  </si>
  <si>
    <t>Strategic Project Leadership
Responsive Support
Strategic Cohesion</t>
  </si>
  <si>
    <t>Process optimization
Governance with Integrity</t>
  </si>
  <si>
    <t>Teamwork enhancement
Governance with Integrity
Process optimization</t>
  </si>
  <si>
    <t>Data governance
Strategic Cohesion
Responsive Support</t>
  </si>
  <si>
    <t>Strategic Cohesion
Accountable Risk Management
Strategic Cohesion</t>
  </si>
  <si>
    <t>Strategic Project Leadership
Reliable Implementation
Data governance</t>
  </si>
  <si>
    <t>Data governance
Strategic Cohesion
Employee development
Strategic Project Leadership</t>
  </si>
  <si>
    <t>Data governance
Strategic Project Leadership</t>
  </si>
  <si>
    <t>Strategic Cohesion
Strategic Project Leadership
Strategic Cohesion</t>
  </si>
  <si>
    <t>Strategic Project Leadership
Reliable Implementation
Consistent Excellence</t>
  </si>
  <si>
    <t>Reliable Implementation
Process optimization
Data integrity
Data integrity</t>
  </si>
  <si>
    <t>Responsive Support
Data governance
Responsive Support
Reliable Implementation
Reliable Implementation
Data governance
Data integrity</t>
  </si>
  <si>
    <t>Strategic Project Leadership
Strategic Cohesion
Responsive Support</t>
  </si>
  <si>
    <t>Sustainable Systems
Process optimization
Strategic Cohesion</t>
  </si>
  <si>
    <t>Sustainable Systems
Process optimization
Data integrity</t>
  </si>
  <si>
    <t>18</t>
  </si>
  <si>
    <t>Performance Tuning
Application Categorization</t>
  </si>
  <si>
    <t>Standards Adherence
Risk and Opportunity Analysis
Change Initiatives</t>
  </si>
  <si>
    <t>Policy &amp; Regulation
Application Categorization
Change Initiatives
Policy Alignment
Outcome Measurement</t>
  </si>
  <si>
    <t>Benefits Management Framework
Process Optimization
Integrated Service Design</t>
  </si>
  <si>
    <t>Reporting Systems
Change Initiatives
Benefits Management Framework</t>
  </si>
  <si>
    <t>Application Categorization
Dev Standards
Policy Alignment
Results-Based Planning</t>
  </si>
  <si>
    <t>Helpdesk / User Services
Policy &amp; Regulation
Resource Management</t>
  </si>
  <si>
    <t>Policy &amp; Regulation
Governance
Strategic Planning
Data Quality</t>
  </si>
  <si>
    <t>Policy &amp; Regulation
Joint Program Delivery
Stakeholder Engagement</t>
  </si>
  <si>
    <t>Organizational Value
Process Standardization
Strategic Planning</t>
  </si>
  <si>
    <t>Stakeholder Engagement
Dev Standards
Helpdesk / User Services
Performance Tuning</t>
  </si>
  <si>
    <t>Reporting Systems
Helpdesk / User Services
Capital Planning</t>
  </si>
  <si>
    <t>Integrated Service Design
System Interoperability
Application Categorization</t>
  </si>
  <si>
    <t>Governance Structure
Application Categorization
Service Design</t>
  </si>
  <si>
    <t>Performance Tuning
Governance Structure
Resource Management</t>
  </si>
  <si>
    <t>Stakeholder Engagement
Governance Structure
Integration Architecture</t>
  </si>
  <si>
    <t>Application Categorization
Integrated Service Design
Governance Structure
System Interoperability</t>
  </si>
  <si>
    <t>System Architecture
System Interoperability
Governance Structure</t>
  </si>
  <si>
    <t>Change Initiatives
System Interoperability
Governance Structure
Process Optimization
Reporting Systems</t>
  </si>
  <si>
    <t>Dev Standards
Process Optimization
Governance Structure
Service Design</t>
  </si>
  <si>
    <t>Integration Architecture
Performance Tuning
Service Design</t>
  </si>
  <si>
    <t>Capital Planning
Joint Program Delivery
Governance Structure</t>
  </si>
  <si>
    <t>Policy Compliance
Performance Tuning
Service Design</t>
  </si>
  <si>
    <t>Change Readiness
Budget Constraint Handling</t>
  </si>
  <si>
    <t>Resource Management
Budget Constraint Handling</t>
  </si>
  <si>
    <t>Strategic Planning
Integration Architecture
Service Availability</t>
  </si>
  <si>
    <t>Strategic Alignment
Governance
Care Coordination Systems
Capital Planning</t>
  </si>
  <si>
    <t>Dev Standards
Data Quality</t>
  </si>
  <si>
    <t>Resource Management
Budget Allocation Strategies
Capital Planning</t>
  </si>
  <si>
    <t>Resource Management
Stakeholder Engagement
Process Standardization</t>
  </si>
  <si>
    <t>Joint Program Delivery
Service Availability
Integration Architecture</t>
  </si>
  <si>
    <t>Integration Architecture
Capital Planning
Resource Optimization
Policy &amp; Regulation</t>
  </si>
  <si>
    <t>Policy &amp; Regulation
Governance
Data Quality
Resource Optimization</t>
  </si>
  <si>
    <t>Strategic Planning
Service Design
Reporting Systems
Resource Management
Capital Planning
Joint Program Delivery</t>
  </si>
  <si>
    <t>Joint Program Delivery
Strategic Planning
Transition Planning</t>
  </si>
  <si>
    <t>System Interoperability
Integration Architecture
Business Case Development
Policy Alignment
Benefits Management Framework
Strategic Planning</t>
  </si>
  <si>
    <t>Application Categorization
Reporting Systems
Business Case Development
Interagency Cooperation
Governance Structure</t>
  </si>
  <si>
    <t>Process Standardization
Policy &amp; Regulation</t>
  </si>
  <si>
    <t>Budget Constraint Handling
Policy &amp; Regulation</t>
  </si>
  <si>
    <t>Resource Optimization
Data Quality
Organizational Value
Transition Planning</t>
  </si>
  <si>
    <t>Reporting Systems
Process Optimization
Change Management
Outcome Measurement</t>
  </si>
  <si>
    <t>Outcome Measurement
Policy &amp; Regulation
System Architecture
Process Optimization
Program Governance
Communication Tools</t>
  </si>
  <si>
    <t>Policy &amp; Regulation
Strategic Planning
Resource Management
Stakeholder Engagement</t>
  </si>
  <si>
    <t>Helpdesk / User Services
Dev Standards
Risk and Opportunity Analysis</t>
  </si>
  <si>
    <t>Integration Architecture
Dev Standards
Care Coordination Systems
Data Management</t>
  </si>
  <si>
    <t>Stakeholder Engagement
Strategic Planning
Data Management
Process Optimization
Reporting Systems</t>
  </si>
  <si>
    <t>Stakeholder Engagement
Performance Tuning
Policy &amp; Regulation</t>
  </si>
  <si>
    <t>Process Optimization
Governance</t>
  </si>
  <si>
    <t>Reporting Systems
Governance
Process Optimization</t>
  </si>
  <si>
    <t>Policy Compliance
Governance Structure
Performance Tuning</t>
  </si>
  <si>
    <t>Policy &amp; Regulation
Joint Program Delivery
Policy &amp; Regulation</t>
  </si>
  <si>
    <t>Stakeholder Engagement
Change Initiatives
Change Readiness</t>
  </si>
  <si>
    <t>Change Readiness
Governance Structure
Care Coordination Systems
Process Standardization</t>
  </si>
  <si>
    <t>Organizational Value
Process Standardization</t>
  </si>
  <si>
    <t>Policy &amp; Regulation
Stakeholder Engagement
Governance Structure</t>
  </si>
  <si>
    <t>Stakeholder Engagement
Change Initiatives
Standards Adherence</t>
  </si>
  <si>
    <t>Change Initiatives
Application Categorization
Program Governance
Communication Tools</t>
  </si>
  <si>
    <t>Performance Tuning
Policy Compliance
Performance Tuning
Change Initiatives
UX Design
Change Management
Program Governance</t>
  </si>
  <si>
    <t>Stakeholder Engagement
Policy &amp; Regulation
Performance Tuning</t>
  </si>
  <si>
    <t>Financial Planning
Process Optimization
Governance Structure</t>
  </si>
  <si>
    <t>Financial Planning
Process Optimization
Program Governance</t>
  </si>
  <si>
    <t>Monitoring tools, system optimization software, load balancers.
Metadata repositories, CMDB systems, and application portfolio management tools.</t>
  </si>
  <si>
    <t>Code quality tools, compliance software, audit management systems.
Risk management platforms, SWOT analysis tools, scenario planning software.
Change management software, communication platforms, project tracking tools.</t>
  </si>
  <si>
    <t>Compliance management systems, policy repositories, audit tools.
Metadata repositories, CMDB systems, and application portfolio management tools.
Change management software, communication platforms, project tracking tools.
Strategy mapping software, governance frameworks, collaboration platforms.
KPI tracking tools, performance dashboards, data visualization software.</t>
  </si>
  <si>
    <t>Performance tracking software, KPI dashboards, and financial modeling tools.
Workflow engines, automation platforms, process mining tools.
Service design software, cross-system integration platforms, user journey mapping tools.</t>
  </si>
  <si>
    <t>Business intelligence platforms, dashboard software, data visualization tools.
Change management software, communication platforms, project tracking tools.
Performance tracking software, KPI dashboards, and financial modeling tools.</t>
  </si>
  <si>
    <t>Metadata repositories, CMDB systems, and application portfolio management tools.
Coding standards enforcement tools, static analysis, version control systems.
Strategy mapping software, governance frameworks, collaboration platforms.
Performance management software, strategic planning tools, reporting dashboards.</t>
  </si>
  <si>
    <t>Ticketing systems, knowledge bases, live chat and call center software.
Compliance management systems, policy repositories, audit tools.
Workforce management software, budgeting tools, project tracking systems.</t>
  </si>
  <si>
    <t>Compliance management systems, policy repositories, audit tools.
Policy management systems, compliance tracking, audit management tools.
Roadmapping tools, portfolio management software, scenario analysis tools.
Data cleansing tools, validation software, profiling and monitoring tools.</t>
  </si>
  <si>
    <t>Compliance management systems, policy repositories, audit tools.
Collaborative project management tools, communication platforms, shared resource pools.
Collaboration platforms, survey software, communication tools.</t>
  </si>
  <si>
    <t>Performance measurement systems, value tracking tools, business intelligence.
SOP management software, compliance tools, training platforms.
Roadmapping tools, portfolio management software, scenario analysis tools.</t>
  </si>
  <si>
    <t>Collaboration platforms, survey software, communication tools.
Coding standards enforcement tools, static analysis, version control systems.
Ticketing systems, knowledge bases, live chat and call center software.
Monitoring tools, system optimization software, load balancers.</t>
  </si>
  <si>
    <t>Business intelligence platforms, dashboard software, data visualization tools.
Ticketing systems, knowledge bases, live chat and call center software.
Financial planning software, ERP systems, investment portfolio management tools.</t>
  </si>
  <si>
    <t>Service design software, cross-system integration platforms, user journey mapping tools.
Standard protocols (SOAP, REST), API management, messaging queues.
Metadata repositories, CMDB systems, and application portfolio management tools.</t>
  </si>
  <si>
    <t>Organizational chart software, collaboration platforms, communication channels.
Metadata repositories, CMDB systems, and application portfolio management tools.
UX/UI design tools, service blueprinting software, customer journey mapping.</t>
  </si>
  <si>
    <t>Monitoring tools, system optimization software, load balancers.
Organizational chart software, collaboration platforms, communication channels.
Workforce management software, budgeting tools, project tracking systems.</t>
  </si>
  <si>
    <t>Collaboration platforms, survey software, communication tools.
Organizational chart software, collaboration platforms, communication channels.
API gateways, ESB, microservices architecture, message brokers.</t>
  </si>
  <si>
    <t>Metadata repositories, CMDB systems, and application portfolio management tools.
Service design software, cross-system integration platforms, user journey mapping tools.
Organizational chart software, collaboration platforms, communication channels.
Standard protocols (SOAP, REST), API management, messaging queues.</t>
  </si>
  <si>
    <t>Cloud platforms, microservices, network topology management.
Standard protocols (SOAP, REST), API management, messaging queues.
Organizational chart software, collaboration platforms, communication channels.</t>
  </si>
  <si>
    <t>Change management software, communication platforms, project tracking tools.
Standard protocols (SOAP, REST), API management, messaging queues.
Organizational chart software, collaboration platforms, communication channels.
Workflow engines, automation platforms, process mining tools.
Business intelligence platforms, dashboard software, data visualization tools.</t>
  </si>
  <si>
    <t>Coding standards enforcement tools, static analysis, version control systems.
Workflow engines, automation platforms, process mining tools.
Organizational chart software, collaboration platforms, communication channels.
UX/UI design tools, service blueprinting software, customer journey mapping.</t>
  </si>
  <si>
    <t>API gateways, ESB, microservices architecture, message brokers.
Monitoring tools, system optimization software, load balancers.
UX/UI design tools, service blueprinting software, customer journey mapping.</t>
  </si>
  <si>
    <t>Financial planning software, ERP systems, investment portfolio management tools.
Collaborative project management tools, communication platforms, shared resource pools.
Organizational chart software, collaboration platforms, communication channels.</t>
  </si>
  <si>
    <t>Automated compliance monitoring, reporting systems, risk assessment tools.
Monitoring tools, system optimization software, load balancers.
UX/UI design tools, service blueprinting software, customer journey mapping.</t>
  </si>
  <si>
    <t>Readiness assessment tools, survey platforms, stakeholder engagement systems.
Financial planning software, cost tracking systems, and resource allocation platforms.</t>
  </si>
  <si>
    <t>Workforce management software, budgeting tools, project tracking systems.
Financial planning software, cost tracking systems, and resource allocation platforms.</t>
  </si>
  <si>
    <t>Roadmapping tools, portfolio management software, scenario analysis tools.
API gateways, ESB, microservices architecture, message brokers.
Monitoring systems, failover infrastructure, SLA tracking software.</t>
  </si>
  <si>
    <t>Balanced scorecards, strategy mapping tools, performance management platforms.
Policy management systems, compliance tracking, audit management tools.
Patient management systems, health information exchanges, secure messaging platforms.
Financial planning software, ERP systems, investment portfolio management tools.</t>
  </si>
  <si>
    <t>Coding standards enforcement tools, static analysis, version control systems.
Data cleansing tools, validation software, profiling and monitoring tools.</t>
  </si>
  <si>
    <t>Workforce management software, budgeting tools, project tracking systems.
ERP systems, budgeting modules, and portfolio management software.
Financial planning software, ERP systems, investment portfolio management tools.</t>
  </si>
  <si>
    <t>Workforce management software, budgeting tools, project tracking systems.
Collaboration platforms, survey software, communication tools.
SOP management software, compliance tools, training platforms.</t>
  </si>
  <si>
    <t>Collaborative project management tools, communication platforms, shared resource pools.
Monitoring systems, failover infrastructure, SLA tracking software.
API gateways, ESB, microservices architecture, message brokers.</t>
  </si>
  <si>
    <t>API gateways, ESB, microservices architecture, message brokers.
Financial planning software, ERP systems, investment portfolio management tools.
Automation tools, analytics platforms, load balancing systems.
Compliance management systems, policy repositories, audit tools.</t>
  </si>
  <si>
    <t>Compliance management systems, policy repositories, audit tools.
Policy management systems, compliance tracking, audit management tools.
Data cleansing tools, validation software, profiling and monitoring tools.
Automation tools, analytics platforms, load balancing systems.</t>
  </si>
  <si>
    <t>Roadmapping tools, portfolio management software, scenario analysis tools.
UX/UI design tools, service blueprinting software, customer journey mapping.
Business intelligence platforms, dashboard software, data visualization tools.
Workforce management software, budgeting tools, project tracking systems.
Financial planning software, ERP systems, investment portfolio management tools.
Collaborative project management tools, communication platforms, shared resource pools.</t>
  </si>
  <si>
    <t>Collaborative project management tools, communication platforms, shared resource pools.
Roadmapping tools, portfolio management software, scenario analysis tools.
Project scheduling, resource allocation software, stakeholder engagement platforms.</t>
  </si>
  <si>
    <t>Standard protocols (SOAP, REST), API management, messaging queues.
API gateways, ESB, microservices architecture, message brokers.
Project management tools, ROI calculators, and collaboration platforms.
Strategy mapping software, governance frameworks, collaboration platforms.
Performance tracking software, KPI dashboards, and financial modeling tools.
Roadmapping tools, portfolio management software, scenario analysis tools.</t>
  </si>
  <si>
    <t>Metadata repositories, CMDB systems, and application portfolio management tools.
Business intelligence platforms, dashboard software, data visualization tools.
Project management tools, ROI calculators, and collaboration platforms.
Secure collaboration platforms, data sharing agreements, federation technologies.
Organizational chart software, collaboration platforms, communication channels.</t>
  </si>
  <si>
    <t>SOP management software, compliance tools, training platforms.
Compliance management systems, policy repositories, audit tools.</t>
  </si>
  <si>
    <t>Financial planning software, cost tracking systems, and resource allocation platforms.
Compliance management systems, policy repositories, audit tools.</t>
  </si>
  <si>
    <t>Automation tools, analytics platforms, load balancing systems.
Data cleansing tools, validation software, profiling and monitoring tools.
Performance measurement systems, value tracking tools, business intelligence.
Project scheduling, resource allocation software, stakeholder engagement platforms.</t>
  </si>
  <si>
    <t>Business intelligence platforms, dashboard software, data visualization tools.
Workflow engines, automation platforms, process mining tools.
Collaboration tools, training portals, feedback and adoption tracking systems.
KPI tracking tools, performance dashboards, data visualization software.</t>
  </si>
  <si>
    <t>KPI tracking tools, performance dashboards, data visualization software.
Compliance management systems, policy repositories, audit tools.
Cloud platforms, microservices, network topology management.
Workflow engines, automation platforms, process mining tools.
Governance platforms, risk management tools, compliance dashboards.
Unified communications systems, VoIP, video conferencing platforms.</t>
  </si>
  <si>
    <t>Compliance management systems, policy repositories, audit tools.
Roadmapping tools, portfolio management software, scenario analysis tools.
Workforce management software, budgeting tools, project tracking systems.
Collaboration platforms, survey software, communication tools.</t>
  </si>
  <si>
    <t>Ticketing systems, knowledge bases, live chat and call center software.
Coding standards enforcement tools, static analysis, version control systems.
Risk management platforms, SWOT analysis tools, scenario planning software.</t>
  </si>
  <si>
    <t>API gateways, ESB, microservices architecture, message brokers.
Coding standards enforcement tools, static analysis, version control systems.
Patient management systems, health information exchanges, secure messaging platforms.
Database management systems, data lakes, cloud storage solutions.</t>
  </si>
  <si>
    <t>Collaboration platforms, survey software, communication tools.
Roadmapping tools, portfolio management software, scenario analysis tools.
Database management systems, data lakes, cloud storage solutions.
Workflow engines, automation platforms, process mining tools.
Business intelligence platforms, dashboard software, data visualization tools.</t>
  </si>
  <si>
    <t>Collaboration platforms, survey software, communication tools.
Monitoring tools, system optimization software, load balancers.
Compliance management systems, policy repositories, audit tools.</t>
  </si>
  <si>
    <t>Workflow engines, automation platforms, process mining tools.
Policy management systems, compliance tracking, audit management tools.</t>
  </si>
  <si>
    <t>Business intelligence platforms, dashboard software, data visualization tools.
Policy management systems, compliance tracking, audit management tools.
Workflow engines, automation platforms, process mining tools.</t>
  </si>
  <si>
    <t>Automated compliance monitoring, reporting systems, risk assessment tools.
Organizational chart software, collaboration platforms, communication channels.
Monitoring tools, system optimization software, load balancers.</t>
  </si>
  <si>
    <t>Compliance management systems, policy repositories, audit tools.
Collaborative project management tools, communication platforms, shared resource pools.
Compliance management systems, policy repositories, audit tools.</t>
  </si>
  <si>
    <t>Collaboration platforms, survey software, communication tools.
Change management software, communication platforms, project tracking tools.
Readiness assessment tools, survey platforms, stakeholder engagement systems.</t>
  </si>
  <si>
    <t>Readiness assessment tools, survey platforms, stakeholder engagement systems.
Organizational chart software, collaboration platforms, communication channels.
Patient management systems, health information exchanges, secure messaging platforms.
SOP management software, compliance tools, training platforms.</t>
  </si>
  <si>
    <t>Performance measurement systems, value tracking tools, business intelligence.
SOP management software, compliance tools, training platforms.</t>
  </si>
  <si>
    <t>Compliance management systems, policy repositories, audit tools.
Collaboration platforms, survey software, communication tools.
Organizational chart software, collaboration platforms, communication channels.</t>
  </si>
  <si>
    <t>Collaboration platforms, survey software, communication tools.
Change management software, communication platforms, project tracking tools.
Code quality tools, compliance software, audit management systems.</t>
  </si>
  <si>
    <t>Change management software, communication platforms, project tracking tools.
Metadata repositories, CMDB systems, and application portfolio management tools.
Governance platforms, risk management tools, compliance dashboards.
Unified communications systems, VoIP, video conferencing platforms.</t>
  </si>
  <si>
    <t>Monitoring tools, system optimization software, load balancers.
Automated compliance monitoring, reporting systems, risk assessment tools.
Monitoring tools, system optimization software, load balancers.
Change management software, communication platforms, project tracking tools.
Prototyping tools, user testing platforms, accessibility compliance software.
Collaboration tools, training portals, feedback and adoption tracking systems.
Governance platforms, risk management tools, compliance dashboards.</t>
  </si>
  <si>
    <t>Collaboration platforms, survey software, communication tools.
Compliance management systems, policy repositories, audit tools.
Monitoring tools, system optimization software, load balancers.</t>
  </si>
  <si>
    <t>Budgeting software, forecasting models, financial dashboards.
Workflow engines, automation platforms, process mining tools.
Organizational chart software, collaboration platforms, communication channels.</t>
  </si>
  <si>
    <t>Budgeting software, forecasting models, financial dashboards.
Workflow engines, automation platforms, process mining tools.
Governance platforms, risk management tools, compliance dashboards.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</si>
</sst>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
      <sz val="11"/>
      <color theme="1"/>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rgb="FF7030A0"/>
        <bgColor indexed="64"/>
      </patternFill>
    </fill>
    <fill>
      <patternFill patternType="solid">
        <fgColor rgb="FFFFFF00"/>
        <bgColor theme="8"/>
      </patternFill>
    </fill>
    <fill>
      <patternFill patternType="solid">
        <fgColor rgb="FF7030A0"/>
        <bgColor theme="4"/>
      </patternFill>
    </fill>
    <fill>
      <patternFill patternType="solid">
        <fgColor rgb="FFFFFF00"/>
        <bgColor theme="4"/>
      </patternFill>
    </fill>
    <fill>
      <patternFill patternType="solid">
        <fgColor rgb="FF808080"/>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medium">
        <color indexed="64"/>
      </right>
      <top/>
      <bottom style="medium">
        <color indexed="64"/>
      </bottom>
      <diagonal/>
    </border>
  </borders>
  <cellStyleXfs count="2">
    <xf numFmtId="0" fontId="0" fillId="0" borderId="0"/>
    <xf numFmtId="9" fontId="9" fillId="0" borderId="0" applyFont="0" applyFill="0" applyBorder="0" applyAlignment="0" applyProtection="0"/>
  </cellStyleXfs>
  <cellXfs count="53">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0" borderId="0" xfId="0" applyFont="1" applyAlignment="1">
      <alignment horizontal="center" vertical="center"/>
    </xf>
    <xf numFmtId="0" fontId="4" fillId="0" borderId="0" xfId="0" applyFont="1" applyAlignment="1">
      <alignment horizontal="left" vertical="center"/>
    </xf>
    <xf numFmtId="0" fontId="5" fillId="5" borderId="0" xfId="0" applyFont="1" applyFill="1" applyAlignment="1">
      <alignment horizontal="center"/>
    </xf>
    <xf numFmtId="0" fontId="5" fillId="5" borderId="0" xfId="0" applyFont="1" applyFill="1"/>
    <xf numFmtId="0" fontId="1" fillId="7" borderId="0" xfId="0" applyFont="1" applyFill="1" applyAlignment="1">
      <alignment vertical="center" wrapText="1"/>
    </xf>
    <xf numFmtId="0" fontId="1" fillId="8" borderId="10" xfId="0" applyFont="1" applyFill="1" applyBorder="1" applyAlignment="1">
      <alignment horizontal="center" vertical="center" wrapText="1"/>
    </xf>
    <xf numFmtId="0" fontId="8" fillId="9" borderId="8" xfId="0" applyFont="1" applyFill="1" applyBorder="1" applyAlignment="1">
      <alignment horizontal="center" vertical="center" wrapText="1"/>
    </xf>
    <xf numFmtId="0" fontId="8" fillId="9" borderId="9" xfId="0" applyFont="1" applyFill="1" applyBorder="1" applyAlignment="1">
      <alignment horizontal="center" vertical="center" wrapText="1"/>
    </xf>
    <xf numFmtId="0" fontId="1" fillId="8" borderId="0" xfId="0" applyFont="1" applyFill="1" applyAlignment="1">
      <alignment horizontal="center"/>
    </xf>
    <xf numFmtId="0" fontId="1" fillId="10" borderId="11" xfId="0" applyFont="1" applyFill="1" applyBorder="1" applyAlignment="1">
      <alignment horizontal="center"/>
    </xf>
    <xf numFmtId="0" fontId="1" fillId="11" borderId="11" xfId="0" applyFont="1" applyFill="1" applyBorder="1" applyAlignment="1">
      <alignment horizontal="center"/>
    </xf>
    <xf numFmtId="0" fontId="1" fillId="11" borderId="12" xfId="0" applyFont="1" applyFill="1" applyBorder="1" applyAlignment="1">
      <alignment horizontal="center"/>
    </xf>
    <xf numFmtId="0" fontId="0" fillId="0" borderId="0" xfId="0" applyAlignment="1">
      <alignment horizontal="center" wrapText="1"/>
    </xf>
    <xf numFmtId="0" fontId="0" fillId="2" borderId="0" xfId="0" applyFill="1" applyAlignment="1">
      <alignment vertical="center" wrapText="1"/>
    </xf>
    <xf numFmtId="0" fontId="4" fillId="12" borderId="0" xfId="0" applyFont="1" applyFill="1" applyAlignment="1">
      <alignment horizontal="left" vertical="center"/>
    </xf>
    <xf numFmtId="0" fontId="8" fillId="7" borderId="0" xfId="0" applyFont="1" applyFill="1" applyAlignment="1">
      <alignment vertical="center" wrapText="1"/>
    </xf>
    <xf numFmtId="0" fontId="0" fillId="8" borderId="13" xfId="0" applyFill="1" applyBorder="1" applyAlignment="1">
      <alignment horizontal="center" vertical="center"/>
    </xf>
    <xf numFmtId="0" fontId="1" fillId="0" borderId="7" xfId="0" applyFont="1" applyBorder="1" applyAlignment="1">
      <alignment horizontal="center"/>
    </xf>
    <xf numFmtId="9" fontId="0" fillId="0" borderId="0" xfId="1" applyFont="1"/>
    <xf numFmtId="0" fontId="0" fillId="2" borderId="5" xfId="0" applyFill="1" applyBorder="1" applyAlignment="1">
      <alignment horizontal="center" vertical="center" wrapText="1"/>
    </xf>
    <xf numFmtId="0" fontId="4" fillId="2" borderId="5" xfId="0" applyFont="1" applyFill="1" applyBorder="1" applyAlignment="1">
      <alignment horizontal="center" vertical="center" wrapText="1"/>
    </xf>
    <xf numFmtId="0" fontId="0" fillId="12" borderId="0" xfId="0" applyFill="1"/>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cellXfs>
  <cellStyles count="2">
    <cellStyle name="Normal" xfId="0" builtinId="0"/>
    <cellStyle name="Percent" xfId="1" builtinId="5"/>
  </cellStyles>
  <dxfs count="54">
    <dxf>
      <fill>
        <patternFill patternType="solid">
          <fgColor indexed="64"/>
          <bgColor rgb="FF80808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808080"/>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808080"/>
        </patternFill>
      </fill>
      <alignment horizontal="left" vertical="center" textRotation="0" wrapText="0" indent="0" justifyLastLine="0" shrinkToFit="0" readingOrder="0"/>
    </dxf>
    <dxf>
      <fill>
        <patternFill>
          <bgColor rgb="FFFF0000"/>
        </patternFill>
      </fill>
    </dxf>
    <dxf>
      <fill>
        <patternFill patternType="solid">
          <fgColor indexed="64"/>
          <bgColor rgb="FF808080"/>
        </patternFill>
      </fill>
    </dxf>
    <dxf>
      <fill>
        <patternFill patternType="solid">
          <fgColor indexed="64"/>
          <bgColor rgb="FF808080"/>
        </patternFill>
      </fill>
    </dxf>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bottom" textRotation="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ill>
        <patternFill patternType="solid">
          <fgColor indexed="64"/>
          <bgColor rgb="FFFFFF00"/>
        </patternFill>
      </fill>
    </dxf>
    <dxf>
      <fill>
        <patternFill patternType="none">
          <fgColor indexed="64"/>
          <bgColor indexed="65"/>
        </patternFill>
      </fill>
    </dxf>
    <dxf>
      <fill>
        <patternFill patternType="solid">
          <fgColor indexed="64"/>
          <bgColor rgb="FFFFFF00"/>
        </patternFill>
      </fill>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wrapText="0"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6</xdr:col>
          <xdr:colOff>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7</xdr:col>
          <xdr:colOff>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1</xdr:row>
          <xdr:rowOff>95250</xdr:rowOff>
        </xdr:from>
        <xdr:to>
          <xdr:col>4</xdr:col>
          <xdr:colOff>1704975</xdr:colOff>
          <xdr:row>1</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1</xdr:row>
          <xdr:rowOff>47625</xdr:rowOff>
        </xdr:from>
        <xdr:to>
          <xdr:col>7</xdr:col>
          <xdr:colOff>1123950</xdr:colOff>
          <xdr:row>1</xdr:row>
          <xdr:rowOff>485775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Current Groups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Catergories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Sub Catergories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7:I73" headerRowDxfId="53" dataDxfId="52" tableBorderDxfId="51">
  <autoFilter ref="A7:I73" xr:uid="{D39C65B1-301A-4664-8C30-852B8C943832}"/>
  <tableColumns count="9">
    <tableColumn id="1" xr3:uid="{E37F10F0-3B28-44D1-909D-56174809CD15}" name="ID" totalsRowLabel="Total" dataDxfId="50" totalsRowDxfId="49">
      <calculatedColumnFormula>A7+1</calculatedColumnFormula>
    </tableColumn>
    <tableColumn id="2" xr3:uid="{AF52C601-054F-4544-8A9F-E4E66B42EAF2}" name="References" dataDxfId="48" totalsRowDxfId="47"/>
    <tableColumn id="3" xr3:uid="{98663B65-2A1B-45B8-9B7B-E5AA992F38ED}" name="Extracts" dataDxfId="46" totalsRowDxfId="45"/>
    <tableColumn id="4" xr3:uid="{32D4F5A3-434E-41A7-B4FE-8A0A4DDD0E9A}" name="Facts" dataDxfId="44" totalsRowDxfId="43"/>
    <tableColumn id="5" xr3:uid="{58B8B5D6-2CE4-4032-B24A-E79E6D6499FC}" name="Factors" dataDxfId="42" totalsRowDxfId="41"/>
    <tableColumn id="6" xr3:uid="{4CBF119E-EA62-4897-BA19-B5277A113CD7}" name="Groups" dataDxfId="40" totalsRowDxfId="39"/>
    <tableColumn id="7" xr3:uid="{9245D754-1CF3-4F33-A9FD-11B36365C483}" name="Sub Groups" dataDxfId="38" totalsRowDxfId="37"/>
    <tableColumn id="8" xr3:uid="{1E1314C4-1724-4F46-B5BA-BB850A2B3061}" name="Notes/Additional" dataDxfId="36" totalsRowDxfId="35"/>
    <tableColumn id="9" xr3:uid="{9BABA224-03F1-4C2F-A655-FAAFE66B6540}" name="Glossary Check" totalsRowFunction="count" dataDxfId="34" totalsRowDxfId="33">
      <calculatedColumnFormula>CheckGlossary($E8, Table2[Factors])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5:C53" totalsRowCount="1" headerRowDxfId="32" dataDxfId="31">
  <autoFilter ref="A5:C52" xr:uid="{F557346A-8157-4AB7-BA24-95DEAB55C7E0}"/>
  <sortState xmlns:xlrd2="http://schemas.microsoft.com/office/spreadsheetml/2017/richdata2" ref="A6:C52">
    <sortCondition ref="A5:A52"/>
  </sortState>
  <tableColumns count="3">
    <tableColumn id="1" xr3:uid="{A62D73FD-7276-4F2D-9085-D203977C73C4}" name="Factors" totalsRowLabel="Total" dataDxfId="30" totalsRowDxfId="29"/>
    <tableColumn id="4" xr3:uid="{CEE9EB9B-E91C-41C5-A782-3045000D3D4D}" name="Groups"/>
    <tableColumn id="2" xr3:uid="{4D87C797-9AF2-4A53-B9A2-1F9D701C9272}" name="Sub Groups" totalsRowFunction="count" dataDxfId="28" totalsRowDxfId="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E5:E7" insertRow="1" totalsRowCount="1" headerRowDxfId="26" totalsRowDxfId="4">
  <autoFilter ref="E5:E6" xr:uid="{564EFC92-3300-4F45-A64E-D2ABBD972040}"/>
  <tableColumns count="1">
    <tableColumn id="1" xr3:uid="{484E5B82-363C-4245-9DEE-C2DF5DAAB66B}" name="Factors that Need to be added" totalsRowLabel="Total Rows: 0" totalsRowDxfId="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1F6413-E688-439B-ACCD-82F7D0B9CBF0}" name="Table4" displayName="Table4" ref="G5:H24" totalsRowCount="1" headerRowDxfId="25" dataDxfId="24" totalsRowDxfId="0">
  <autoFilter ref="G5:H23" xr:uid="{071F6413-E688-439B-ACCD-82F7D0B9CBF0}"/>
  <sortState xmlns:xlrd2="http://schemas.microsoft.com/office/spreadsheetml/2017/richdata2" ref="G4:G5">
    <sortCondition ref="G5"/>
  </sortState>
  <tableColumns count="2">
    <tableColumn id="1" xr3:uid="{D404CA30-2006-4947-A67D-31137D4C5B75}" name="Current Groups" totalsRowLabel="Total Rows:" dataDxfId="23" totalsRowDxfId="2"/>
    <tableColumn id="2" xr3:uid="{228C32B8-1BC6-4762-A315-581DB8260629}" name="Current Sub Group" totalsRowLabel="18" dataDxfId="22" totalsRow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5" displayName="table5" ref="A4:C52" totalsRowCount="1" headerRowDxfId="21" dataDxfId="20">
  <autoFilter ref="A4:C51" xr:uid="{88A77055-C259-414B-BB36-D21754969C94}"/>
  <sortState xmlns:xlrd2="http://schemas.microsoft.com/office/spreadsheetml/2017/richdata2" ref="A5:C51">
    <sortCondition ref="A4:A51"/>
  </sortState>
  <tableColumns count="3">
    <tableColumn id="1" xr3:uid="{0C4B0DBE-4A73-4192-B377-7DA531385DE2}" name="Factor" totalsRowLabel="Total" totalsRowDxfId="19">
      <calculatedColumnFormula>Glossary!A6</calculatedColumnFormula>
    </tableColumn>
    <tableColumn id="2" xr3:uid="{3E208449-6526-44CF-AC59-CB9429924362}" name="Catergories" dataDxfId="18" totalsRowDxfId="17"/>
    <tableColumn id="3" xr3:uid="{0C1310BA-D048-4003-820D-563F24B1B8D2}" name="Sub Catergories" totalsRowFunction="count" dataDxfId="16" totalsRowDxfId="1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6" displayName="Table6" ref="A4:G70" totalsRowShown="0" headerRowDxfId="14" dataDxfId="13">
  <autoFilter ref="A4:G70" xr:uid="{F79CF538-C3D7-4737-A223-A0DBD291B3C6}"/>
  <tableColumns count="7">
    <tableColumn id="1" xr3:uid="{D1D6EA50-9BC1-4A54-BECD-39796F25EBD7}" name="ID" dataDxfId="12">
      <calculatedColumnFormula>'Thematic Analysis'!#REF!</calculatedColumnFormula>
    </tableColumn>
    <tableColumn id="2" xr3:uid="{E24CE3CC-B4B6-4C4F-90E7-295304758DF1}" name="Factors" dataDxfId="11">
      <calculatedColumnFormula>'Thematic Analysis'!E8</calculatedColumnFormula>
    </tableColumn>
    <tableColumn id="7" xr3:uid="{922643FC-B475-48C8-895E-24816DC8ADB8}" name="Groups" dataDxfId="10">
      <calculatedColumnFormula>'Thematic Analysis'!F8</calculatedColumnFormula>
    </tableColumn>
    <tableColumn id="3" xr3:uid="{DDA15557-5AE9-4190-B274-0F309E7E6249}" name="Sub Groups" dataDxfId="9">
      <calculatedColumnFormula>'Thematic Analysis'!G8</calculatedColumnFormula>
    </tableColumn>
    <tableColumn id="4" xr3:uid="{8317CC99-47AA-4512-9B48-6638EFE433BC}" name="Catergories" dataDxfId="8"/>
    <tableColumn id="5" xr3:uid="{CFDDE1F2-4EBC-4AF6-BED1-F881894AC077}" name="Sub Catergories" dataDxfId="7"/>
    <tableColumn id="6" xr3:uid="{75D8CE58-185C-4867-8B65-8D04627A39E7}" name="Extracts" dataDxfId="6">
      <calculatedColumnFormula>'Thematic Analysis'!$D8</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DC459C-A083-4527-B8BB-8A56CA8A4044}" name="Table9" displayName="Table9" ref="A3:D8" totalsRowShown="0">
  <autoFilter ref="A3:D8" xr:uid="{CBDC459C-A083-4527-B8BB-8A56CA8A4044}"/>
  <sortState xmlns:xlrd2="http://schemas.microsoft.com/office/spreadsheetml/2017/richdata2" ref="A4:D8">
    <sortCondition ref="A6:A11"/>
  </sortState>
  <tableColumns count="4">
    <tableColumn id="2" xr3:uid="{C7D5D14E-EB5B-40CA-ADBA-51697103BB72}" name="Min" dataCellStyle="Percent"/>
    <tableColumn id="3" xr3:uid="{E7AB9ECE-6585-47F2-85E1-A9AE035F6340}" name="Max" dataCellStyle="Percent"/>
    <tableColumn id="1" xr3:uid="{F2C40BA5-DBD9-4BB0-9919-3E96842EFA3F}" name="Decriptor"/>
    <tableColumn id="4" xr3:uid="{09732987-1F22-4ACE-BDCC-44EA8E811B15}" name="Defini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6.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169"/>
  <sheetViews>
    <sheetView tabSelected="1" topLeftCell="C1" zoomScale="75" zoomScaleNormal="75" workbookViewId="0">
      <pane ySplit="7" topLeftCell="A8" activePane="bottomLeft" state="frozen"/>
      <selection pane="bottomLeft" activeCell="C1" sqref="C1:F1"/>
    </sheetView>
  </sheetViews>
  <sheetFormatPr defaultRowHeight="15" x14ac:dyDescent="0.25"/>
  <cols>
    <col min="1" max="1" width="17.85546875" style="2" customWidth="1"/>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thickBot="1" x14ac:dyDescent="0.35">
      <c r="C1" s="49" t="s">
        <v>0</v>
      </c>
      <c r="D1" s="49"/>
      <c r="E1" s="49"/>
      <c r="F1" s="49"/>
      <c r="I1" s="2"/>
    </row>
    <row r="2" spans="1:9" ht="19.5" thickBot="1" x14ac:dyDescent="0.35">
      <c r="C2" s="45" t="s">
        <v>1</v>
      </c>
      <c r="D2" s="45"/>
      <c r="E2" s="45"/>
      <c r="F2" s="45"/>
      <c r="I2" s="39" t="s">
        <v>327</v>
      </c>
    </row>
    <row r="3" spans="1:9" ht="30.75" customHeight="1" thickBot="1" x14ac:dyDescent="0.3">
      <c r="A3" s="16" t="s">
        <v>206</v>
      </c>
      <c r="C3" s="46" t="s">
        <v>177</v>
      </c>
      <c r="D3" s="47"/>
      <c r="E3" s="47"/>
      <c r="F3" s="48"/>
      <c r="I3" s="38">
        <f>ROWS(Table1[])-1</f>
        <v>65</v>
      </c>
    </row>
    <row r="4" spans="1:9" ht="57.75" customHeight="1" x14ac:dyDescent="0.25">
      <c r="I4" s="2"/>
    </row>
    <row r="5" spans="1:9" x14ac:dyDescent="0.25">
      <c r="A5" s="44" t="s">
        <v>205</v>
      </c>
      <c r="B5" s="44"/>
      <c r="C5" s="44"/>
      <c r="D5" s="44"/>
      <c r="E5" s="44"/>
      <c r="F5" s="44"/>
      <c r="G5" s="44"/>
      <c r="H5" s="44"/>
      <c r="I5" s="44"/>
    </row>
    <row r="6" spans="1:9" x14ac:dyDescent="0.25">
      <c r="A6" s="11"/>
      <c r="B6" s="11"/>
      <c r="C6" s="11"/>
      <c r="D6" s="11"/>
      <c r="E6" s="28" t="s">
        <v>199</v>
      </c>
      <c r="F6" s="29" t="s">
        <v>5</v>
      </c>
      <c r="G6" s="28" t="s">
        <v>204</v>
      </c>
      <c r="H6" s="11"/>
      <c r="I6" s="11"/>
    </row>
    <row r="7" spans="1:9" s="6" customFormat="1" x14ac:dyDescent="0.25">
      <c r="A7" s="13" t="s">
        <v>202</v>
      </c>
      <c r="B7" s="13" t="s">
        <v>220</v>
      </c>
      <c r="C7" s="14" t="s">
        <v>219</v>
      </c>
      <c r="D7" s="14" t="s">
        <v>203</v>
      </c>
      <c r="E7" s="14" t="s">
        <v>210</v>
      </c>
      <c r="F7" s="15" t="s">
        <v>211</v>
      </c>
      <c r="G7" s="14" t="s">
        <v>212</v>
      </c>
      <c r="H7" s="15" t="s">
        <v>2</v>
      </c>
      <c r="I7" s="15" t="s">
        <v>207</v>
      </c>
    </row>
    <row r="8" spans="1:9" ht="300" x14ac:dyDescent="0.25">
      <c r="A8" s="17">
        <v>1</v>
      </c>
      <c r="B8" s="18" t="s">
        <v>6</v>
      </c>
      <c r="C8" s="18" t="s">
        <v>24</v>
      </c>
      <c r="D8" s="18" t="s">
        <v>118</v>
      </c>
      <c r="E8" s="41" t="s">
        <v>385</v>
      </c>
      <c r="F8" s="9" t="s">
        <v>446</v>
      </c>
      <c r="G8" s="20" t="s">
        <v>507</v>
      </c>
      <c r="H8" s="4"/>
      <c r="I8" s="9" t="str">
        <f>CheckGlossary($E8, Table2[Factors])</f>
        <v>In Glossary
In Glossary</v>
      </c>
    </row>
    <row r="9" spans="1:9" ht="60" x14ac:dyDescent="0.25">
      <c r="A9" s="17">
        <f>A8+1</f>
        <v>2</v>
      </c>
      <c r="B9" s="18" t="s">
        <v>3</v>
      </c>
      <c r="C9" s="18" t="s">
        <v>7</v>
      </c>
      <c r="D9" s="18" t="s">
        <v>119</v>
      </c>
      <c r="E9" s="41" t="s">
        <v>359</v>
      </c>
      <c r="F9" s="9" t="s">
        <v>188</v>
      </c>
      <c r="G9" s="9" t="s">
        <v>110</v>
      </c>
      <c r="H9" s="7"/>
      <c r="I9" s="9" t="str">
        <f>CheckGlossary($E9, Table2[Factors])</f>
        <v>In Glossary</v>
      </c>
    </row>
    <row r="10" spans="1:9" ht="90" x14ac:dyDescent="0.25">
      <c r="A10" s="17">
        <f t="shared" ref="A10:A73" si="0">A9+1</f>
        <v>3</v>
      </c>
      <c r="B10" s="18" t="s">
        <v>3</v>
      </c>
      <c r="C10" s="18" t="s">
        <v>8</v>
      </c>
      <c r="D10" s="18" t="s">
        <v>120</v>
      </c>
      <c r="E10" s="41" t="s">
        <v>386</v>
      </c>
      <c r="F10" s="9" t="s">
        <v>447</v>
      </c>
      <c r="G10" s="9" t="s">
        <v>508</v>
      </c>
      <c r="H10" s="7"/>
      <c r="I10" s="9" t="str">
        <f>CheckGlossary($E10, Table2[Factors])</f>
        <v>In Glossary
In Glossary
In Glossary</v>
      </c>
    </row>
    <row r="11" spans="1:9" ht="105" x14ac:dyDescent="0.25">
      <c r="A11" s="17">
        <f t="shared" si="0"/>
        <v>4</v>
      </c>
      <c r="B11" s="18" t="s">
        <v>3</v>
      </c>
      <c r="C11" s="18" t="s">
        <v>9</v>
      </c>
      <c r="D11" s="18" t="s">
        <v>121</v>
      </c>
      <c r="E11" s="41" t="s">
        <v>387</v>
      </c>
      <c r="F11" s="9" t="s">
        <v>448</v>
      </c>
      <c r="G11" s="9" t="s">
        <v>509</v>
      </c>
      <c r="H11" s="7"/>
      <c r="I11" s="9" t="str">
        <f>CheckGlossary($E11, Table2[Factors])</f>
        <v>In Glossary
In Glossary
In Glossary
In Glossary
In Glossary</v>
      </c>
    </row>
    <row r="12" spans="1:9" ht="150" x14ac:dyDescent="0.25">
      <c r="A12" s="17">
        <f t="shared" si="0"/>
        <v>5</v>
      </c>
      <c r="B12" s="18" t="s">
        <v>4</v>
      </c>
      <c r="C12" s="18" t="s">
        <v>32</v>
      </c>
      <c r="D12" s="18" t="s">
        <v>122</v>
      </c>
      <c r="E12" s="41" t="s">
        <v>388</v>
      </c>
      <c r="F12" s="9" t="s">
        <v>449</v>
      </c>
      <c r="G12" s="9" t="s">
        <v>510</v>
      </c>
      <c r="H12" s="8"/>
      <c r="I12" s="9" t="str">
        <f>CheckGlossary($E12, Table2[Factors])</f>
        <v>In Glossary
In Glossary
In Glossary</v>
      </c>
    </row>
    <row r="13" spans="1:9" ht="60" x14ac:dyDescent="0.25">
      <c r="A13" s="17">
        <f t="shared" si="0"/>
        <v>6</v>
      </c>
      <c r="B13" s="18" t="s">
        <v>11</v>
      </c>
      <c r="C13" s="18" t="s">
        <v>10</v>
      </c>
      <c r="D13" s="18" t="s">
        <v>123</v>
      </c>
      <c r="E13" s="41" t="s">
        <v>389</v>
      </c>
      <c r="F13" s="9" t="s">
        <v>450</v>
      </c>
      <c r="G13" s="9" t="s">
        <v>511</v>
      </c>
      <c r="H13" s="8"/>
      <c r="I13" s="9" t="str">
        <f>CheckGlossary($E13, Table2[Factors])</f>
        <v>In Glossary
In Glossary
In Glossary</v>
      </c>
    </row>
    <row r="14" spans="1:9" ht="75" x14ac:dyDescent="0.25">
      <c r="A14" s="17">
        <f t="shared" si="0"/>
        <v>7</v>
      </c>
      <c r="B14" s="18" t="s">
        <v>11</v>
      </c>
      <c r="C14" s="18" t="s">
        <v>37</v>
      </c>
      <c r="D14" s="18" t="s">
        <v>124</v>
      </c>
      <c r="E14" s="41" t="s">
        <v>390</v>
      </c>
      <c r="F14" s="9" t="s">
        <v>451</v>
      </c>
      <c r="G14" s="9" t="s">
        <v>512</v>
      </c>
      <c r="H14" s="8"/>
      <c r="I14" s="9" t="str">
        <f>CheckGlossary($E14, Table2[Factors])</f>
        <v>In Glossary
In Glossary
In Glossary
In Glossary</v>
      </c>
    </row>
    <row r="15" spans="1:9" ht="210" x14ac:dyDescent="0.25">
      <c r="A15" s="17">
        <f t="shared" si="0"/>
        <v>8</v>
      </c>
      <c r="B15" s="18" t="s">
        <v>11</v>
      </c>
      <c r="C15" s="18" t="s">
        <v>38</v>
      </c>
      <c r="D15" s="18" t="s">
        <v>125</v>
      </c>
      <c r="E15" s="41" t="s">
        <v>391</v>
      </c>
      <c r="F15" s="9" t="s">
        <v>452</v>
      </c>
      <c r="G15" s="9" t="s">
        <v>513</v>
      </c>
      <c r="H15" s="8"/>
      <c r="I15" s="9" t="str">
        <f>CheckGlossary($E15, Table2[Factors])</f>
        <v>In Glossary
In Glossary
In Glossary</v>
      </c>
    </row>
    <row r="16" spans="1:9" ht="255" x14ac:dyDescent="0.25">
      <c r="A16" s="17">
        <f t="shared" si="0"/>
        <v>9</v>
      </c>
      <c r="B16" s="18" t="s">
        <v>12</v>
      </c>
      <c r="C16" s="18" t="s">
        <v>33</v>
      </c>
      <c r="D16" s="18" t="s">
        <v>126</v>
      </c>
      <c r="E16" s="41" t="s">
        <v>392</v>
      </c>
      <c r="F16" s="9" t="s">
        <v>453</v>
      </c>
      <c r="G16" s="9" t="s">
        <v>514</v>
      </c>
      <c r="H16" s="8"/>
      <c r="I16" s="9" t="str">
        <f>CheckGlossary($E16, Table2[Factors])</f>
        <v>In Glossary
In Glossary
In Glossary
In Glossary</v>
      </c>
    </row>
    <row r="17" spans="1:9" ht="225" x14ac:dyDescent="0.25">
      <c r="A17" s="17">
        <f t="shared" si="0"/>
        <v>10</v>
      </c>
      <c r="B17" s="18" t="s">
        <v>13</v>
      </c>
      <c r="C17" s="18" t="s">
        <v>34</v>
      </c>
      <c r="D17" s="18" t="s">
        <v>127</v>
      </c>
      <c r="E17" s="41" t="s">
        <v>393</v>
      </c>
      <c r="F17" s="9" t="s">
        <v>454</v>
      </c>
      <c r="G17" s="9" t="s">
        <v>515</v>
      </c>
      <c r="H17" s="8"/>
      <c r="I17" s="9" t="str">
        <f>CheckGlossary($E17, Table2[Factors])</f>
        <v>In Glossary
In Glossary
In Glossary</v>
      </c>
    </row>
    <row r="18" spans="1:9" ht="330" x14ac:dyDescent="0.25">
      <c r="A18" s="17">
        <f t="shared" si="0"/>
        <v>11</v>
      </c>
      <c r="B18" s="18" t="s">
        <v>14</v>
      </c>
      <c r="C18" s="18" t="s">
        <v>15</v>
      </c>
      <c r="D18" s="18" t="s">
        <v>128</v>
      </c>
      <c r="E18" s="41" t="s">
        <v>103</v>
      </c>
      <c r="F18" s="9" t="s">
        <v>193</v>
      </c>
      <c r="G18" s="9" t="s">
        <v>271</v>
      </c>
      <c r="H18" s="8"/>
      <c r="I18" s="9" t="str">
        <f>CheckGlossary($E18, Table2[Factors])</f>
        <v>In Glossary</v>
      </c>
    </row>
    <row r="19" spans="1:9" ht="240" x14ac:dyDescent="0.25">
      <c r="A19" s="17">
        <f t="shared" si="0"/>
        <v>12</v>
      </c>
      <c r="B19" s="18" t="s">
        <v>16</v>
      </c>
      <c r="C19" s="18" t="s">
        <v>25</v>
      </c>
      <c r="D19" s="18" t="s">
        <v>129</v>
      </c>
      <c r="E19" s="41" t="s">
        <v>394</v>
      </c>
      <c r="F19" s="9" t="s">
        <v>455</v>
      </c>
      <c r="G19" s="9" t="s">
        <v>516</v>
      </c>
      <c r="H19" s="8"/>
      <c r="I19" s="9" t="str">
        <f>CheckGlossary($E19, Table2[Factors])</f>
        <v>In Glossary
In Glossary
In Glossary</v>
      </c>
    </row>
    <row r="20" spans="1:9" ht="90" x14ac:dyDescent="0.25">
      <c r="A20" s="17">
        <f t="shared" si="0"/>
        <v>13</v>
      </c>
      <c r="B20" s="18" t="s">
        <v>16</v>
      </c>
      <c r="C20" s="18" t="s">
        <v>35</v>
      </c>
      <c r="D20" s="18" t="s">
        <v>130</v>
      </c>
      <c r="E20" s="41" t="s">
        <v>395</v>
      </c>
      <c r="F20" s="9" t="s">
        <v>456</v>
      </c>
      <c r="G20" s="9" t="s">
        <v>517</v>
      </c>
      <c r="H20" s="7"/>
      <c r="I20" s="9" t="str">
        <f>CheckGlossary($E20, Table2[Factors])</f>
        <v>In Glossary
In Glossary
In Glossary
In Glossary</v>
      </c>
    </row>
    <row r="21" spans="1:9" ht="120" x14ac:dyDescent="0.25">
      <c r="A21" s="17">
        <f t="shared" si="0"/>
        <v>14</v>
      </c>
      <c r="B21" s="18" t="s">
        <v>17</v>
      </c>
      <c r="C21" s="18" t="s">
        <v>36</v>
      </c>
      <c r="D21" s="18" t="s">
        <v>131</v>
      </c>
      <c r="E21" s="41" t="s">
        <v>396</v>
      </c>
      <c r="F21" s="9" t="s">
        <v>457</v>
      </c>
      <c r="G21" s="9" t="s">
        <v>518</v>
      </c>
      <c r="H21" s="7"/>
      <c r="I21" s="9" t="str">
        <f>CheckGlossary($E21, Table2[Factors])</f>
        <v>In Glossary
In Glossary
In Glossary</v>
      </c>
    </row>
    <row r="22" spans="1:9" ht="150" x14ac:dyDescent="0.25">
      <c r="A22" s="17">
        <f t="shared" si="0"/>
        <v>15</v>
      </c>
      <c r="B22" s="18" t="s">
        <v>17</v>
      </c>
      <c r="C22" s="19" t="s">
        <v>26</v>
      </c>
      <c r="D22" s="19" t="s">
        <v>132</v>
      </c>
      <c r="E22" s="41" t="s">
        <v>397</v>
      </c>
      <c r="F22" s="9" t="s">
        <v>458</v>
      </c>
      <c r="G22" s="9" t="s">
        <v>519</v>
      </c>
      <c r="H22" s="7"/>
      <c r="I22" s="9" t="str">
        <f>CheckGlossary($E22, Table2[Factors])</f>
        <v>In Glossary
In Glossary
In Glossary</v>
      </c>
    </row>
    <row r="23" spans="1:9" ht="105" x14ac:dyDescent="0.25">
      <c r="A23" s="17">
        <f t="shared" si="0"/>
        <v>16</v>
      </c>
      <c r="B23" s="18" t="s">
        <v>17</v>
      </c>
      <c r="C23" s="18" t="s">
        <v>18</v>
      </c>
      <c r="D23" s="18" t="s">
        <v>133</v>
      </c>
      <c r="E23" s="41" t="s">
        <v>398</v>
      </c>
      <c r="F23" s="9" t="s">
        <v>459</v>
      </c>
      <c r="G23" s="9" t="s">
        <v>520</v>
      </c>
      <c r="H23" s="7"/>
      <c r="I23" s="9" t="str">
        <f>CheckGlossary($E23, Table2[Factors])</f>
        <v>In Glossary
In Glossary
In Glossary</v>
      </c>
    </row>
    <row r="24" spans="1:9" ht="75" x14ac:dyDescent="0.25">
      <c r="A24" s="17">
        <f t="shared" si="0"/>
        <v>17</v>
      </c>
      <c r="B24" s="18" t="s">
        <v>19</v>
      </c>
      <c r="C24" s="18" t="s">
        <v>20</v>
      </c>
      <c r="D24" s="18" t="s">
        <v>134</v>
      </c>
      <c r="E24" s="41" t="s">
        <v>399</v>
      </c>
      <c r="F24" s="9" t="s">
        <v>460</v>
      </c>
      <c r="G24" s="9" t="s">
        <v>521</v>
      </c>
      <c r="H24" s="7"/>
      <c r="I24" s="9" t="str">
        <f>CheckGlossary($E24, Table2[Factors])</f>
        <v>In Glossary
In Glossary
In Glossary</v>
      </c>
    </row>
    <row r="25" spans="1:9" ht="60" x14ac:dyDescent="0.25">
      <c r="A25" s="17">
        <f t="shared" si="0"/>
        <v>18</v>
      </c>
      <c r="B25" s="18" t="s">
        <v>19</v>
      </c>
      <c r="C25" s="18" t="s">
        <v>27</v>
      </c>
      <c r="D25" s="18" t="s">
        <v>135</v>
      </c>
      <c r="E25" s="41" t="s">
        <v>400</v>
      </c>
      <c r="F25" s="9" t="s">
        <v>461</v>
      </c>
      <c r="G25" s="9" t="s">
        <v>522</v>
      </c>
      <c r="H25" s="7"/>
      <c r="I25" s="9" t="str">
        <f>CheckGlossary($E25, Table2[Factors])</f>
        <v>In Glossary
In Glossary
In Glossary</v>
      </c>
    </row>
    <row r="26" spans="1:9" ht="75" x14ac:dyDescent="0.25">
      <c r="A26" s="17">
        <f t="shared" si="0"/>
        <v>19</v>
      </c>
      <c r="B26" s="18" t="s">
        <v>19</v>
      </c>
      <c r="C26" s="18" t="s">
        <v>28</v>
      </c>
      <c r="D26" s="18" t="s">
        <v>136</v>
      </c>
      <c r="E26" s="41" t="s">
        <v>401</v>
      </c>
      <c r="F26" s="9" t="s">
        <v>462</v>
      </c>
      <c r="G26" s="9" t="s">
        <v>523</v>
      </c>
      <c r="H26" s="7"/>
      <c r="I26" s="9" t="str">
        <f>CheckGlossary($E26, Table2[Factors])</f>
        <v>In Glossary
In Glossary
In Glossary
In Glossary</v>
      </c>
    </row>
    <row r="27" spans="1:9" ht="135" x14ac:dyDescent="0.25">
      <c r="A27" s="17">
        <f t="shared" si="0"/>
        <v>20</v>
      </c>
      <c r="B27" s="18" t="s">
        <v>19</v>
      </c>
      <c r="C27" s="18" t="s">
        <v>29</v>
      </c>
      <c r="D27" s="18" t="s">
        <v>137</v>
      </c>
      <c r="E27" s="42" t="s">
        <v>402</v>
      </c>
      <c r="F27" s="9" t="s">
        <v>463</v>
      </c>
      <c r="G27" s="9" t="s">
        <v>524</v>
      </c>
      <c r="H27" s="7"/>
      <c r="I27" s="9" t="str">
        <f>CheckGlossary($E27, Table2[Factors])</f>
        <v>In Glossary
In Glossary
In Glossary</v>
      </c>
    </row>
    <row r="28" spans="1:9" ht="165" x14ac:dyDescent="0.25">
      <c r="A28" s="17">
        <f t="shared" si="0"/>
        <v>21</v>
      </c>
      <c r="B28" s="18" t="s">
        <v>19</v>
      </c>
      <c r="C28" s="18" t="s">
        <v>39</v>
      </c>
      <c r="D28" s="18" t="s">
        <v>138</v>
      </c>
      <c r="E28" s="41" t="s">
        <v>403</v>
      </c>
      <c r="F28" s="9" t="s">
        <v>464</v>
      </c>
      <c r="G28" s="9" t="s">
        <v>525</v>
      </c>
      <c r="H28" s="7"/>
      <c r="I28" s="9" t="str">
        <f>CheckGlossary($E28, Table2[Factors])</f>
        <v>In Glossary
In Glossary
In Glossary
In Glossary
In Glossary</v>
      </c>
    </row>
    <row r="29" spans="1:9" ht="409.5" x14ac:dyDescent="0.25">
      <c r="A29" s="17">
        <f t="shared" si="0"/>
        <v>22</v>
      </c>
      <c r="B29" s="18" t="s">
        <v>21</v>
      </c>
      <c r="C29" s="18" t="s">
        <v>30</v>
      </c>
      <c r="D29" s="18" t="s">
        <v>139</v>
      </c>
      <c r="E29" s="41" t="s">
        <v>404</v>
      </c>
      <c r="F29" s="9" t="s">
        <v>465</v>
      </c>
      <c r="G29" s="9" t="s">
        <v>526</v>
      </c>
      <c r="H29" s="7"/>
      <c r="I29" s="9" t="str">
        <f>CheckGlossary($E29, Table2[Factors])</f>
        <v>In Glossary
In Glossary
In Glossary
In Glossary</v>
      </c>
    </row>
    <row r="30" spans="1:9" ht="165" x14ac:dyDescent="0.25">
      <c r="A30" s="17">
        <f t="shared" si="0"/>
        <v>23</v>
      </c>
      <c r="B30" s="18" t="s">
        <v>22</v>
      </c>
      <c r="C30" s="18" t="s">
        <v>31</v>
      </c>
      <c r="D30" s="18" t="s">
        <v>140</v>
      </c>
      <c r="E30" s="41" t="s">
        <v>405</v>
      </c>
      <c r="F30" s="9" t="s">
        <v>466</v>
      </c>
      <c r="G30" s="9" t="s">
        <v>527</v>
      </c>
      <c r="H30" s="7"/>
      <c r="I30" s="9" t="str">
        <f>CheckGlossary($E30, Table2[Factors])</f>
        <v>In Glossary
In Glossary
In Glossary</v>
      </c>
    </row>
    <row r="31" spans="1:9" ht="90" x14ac:dyDescent="0.25">
      <c r="A31" s="17">
        <f t="shared" si="0"/>
        <v>24</v>
      </c>
      <c r="B31" s="18" t="s">
        <v>23</v>
      </c>
      <c r="C31" s="18" t="s">
        <v>40</v>
      </c>
      <c r="D31" s="19" t="s">
        <v>141</v>
      </c>
      <c r="E31" s="41" t="s">
        <v>406</v>
      </c>
      <c r="F31" s="9" t="s">
        <v>467</v>
      </c>
      <c r="G31" s="9" t="s">
        <v>528</v>
      </c>
      <c r="H31" s="7"/>
      <c r="I31" s="9" t="str">
        <f>CheckGlossary($E31, Table2[Factors])</f>
        <v>In Glossary
In Glossary
In Glossary</v>
      </c>
    </row>
    <row r="32" spans="1:9" ht="75" customHeight="1" x14ac:dyDescent="0.25">
      <c r="A32" s="17">
        <f t="shared" si="0"/>
        <v>25</v>
      </c>
      <c r="B32" s="18" t="s">
        <v>23</v>
      </c>
      <c r="C32" s="18" t="s">
        <v>41</v>
      </c>
      <c r="D32" s="18" t="s">
        <v>142</v>
      </c>
      <c r="E32" s="41" t="s">
        <v>407</v>
      </c>
      <c r="F32" s="9" t="s">
        <v>468</v>
      </c>
      <c r="G32" s="9" t="s">
        <v>529</v>
      </c>
      <c r="H32" s="7"/>
      <c r="I32" s="9" t="str">
        <f>CheckGlossary($E32, Table2[Factors])</f>
        <v>In Glossary
In Glossary
In Glossary</v>
      </c>
    </row>
    <row r="33" spans="1:9" ht="75" x14ac:dyDescent="0.25">
      <c r="A33" s="17">
        <f t="shared" si="0"/>
        <v>26</v>
      </c>
      <c r="B33" s="18" t="s">
        <v>23</v>
      </c>
      <c r="C33" s="18" t="s">
        <v>42</v>
      </c>
      <c r="D33" s="18" t="s">
        <v>143</v>
      </c>
      <c r="E33" s="41" t="s">
        <v>408</v>
      </c>
      <c r="F33" s="9" t="s">
        <v>469</v>
      </c>
      <c r="G33" s="9" t="s">
        <v>530</v>
      </c>
      <c r="H33" s="7"/>
      <c r="I33" s="9" t="str">
        <f>CheckGlossary($E33, Table2[Factors])</f>
        <v>In Glossary
In Glossary</v>
      </c>
    </row>
    <row r="34" spans="1:9" ht="45" x14ac:dyDescent="0.25">
      <c r="A34" s="17">
        <f t="shared" si="0"/>
        <v>27</v>
      </c>
      <c r="B34" s="18" t="s">
        <v>23</v>
      </c>
      <c r="C34" s="18" t="s">
        <v>43</v>
      </c>
      <c r="D34" s="18" t="s">
        <v>43</v>
      </c>
      <c r="E34" s="41" t="s">
        <v>409</v>
      </c>
      <c r="F34" s="9" t="s">
        <v>470</v>
      </c>
      <c r="G34" s="9" t="s">
        <v>531</v>
      </c>
      <c r="H34" s="7"/>
      <c r="I34" s="9" t="str">
        <f>CheckGlossary($E34, Table2[Factors])</f>
        <v>In Glossary
In Glossary</v>
      </c>
    </row>
    <row r="35" spans="1:9" ht="45" x14ac:dyDescent="0.25">
      <c r="A35" s="17">
        <f t="shared" si="0"/>
        <v>28</v>
      </c>
      <c r="B35" s="18" t="s">
        <v>23</v>
      </c>
      <c r="C35" s="18" t="s">
        <v>44</v>
      </c>
      <c r="D35" s="18" t="s">
        <v>44</v>
      </c>
      <c r="E35" s="41" t="s">
        <v>410</v>
      </c>
      <c r="F35" s="9" t="s">
        <v>471</v>
      </c>
      <c r="G35" s="9" t="s">
        <v>532</v>
      </c>
      <c r="H35" s="7"/>
      <c r="I35" s="9" t="str">
        <f>CheckGlossary($E35, Table2[Factors])</f>
        <v>In Glossary
In Glossary
In Glossary</v>
      </c>
    </row>
    <row r="36" spans="1:9" ht="45" x14ac:dyDescent="0.25">
      <c r="A36" s="17">
        <f t="shared" si="0"/>
        <v>29</v>
      </c>
      <c r="B36" s="18" t="s">
        <v>23</v>
      </c>
      <c r="C36" s="18" t="s">
        <v>45</v>
      </c>
      <c r="D36" s="18" t="s">
        <v>45</v>
      </c>
      <c r="E36" s="41" t="s">
        <v>410</v>
      </c>
      <c r="F36" s="9" t="s">
        <v>471</v>
      </c>
      <c r="G36" s="9" t="s">
        <v>532</v>
      </c>
      <c r="H36" s="7"/>
      <c r="I36" s="9" t="str">
        <f>CheckGlossary($E36, Table2[Factors])</f>
        <v>In Glossary
In Glossary
In Glossary</v>
      </c>
    </row>
    <row r="37" spans="1:9" ht="105" x14ac:dyDescent="0.25">
      <c r="A37" s="17">
        <f t="shared" si="0"/>
        <v>30</v>
      </c>
      <c r="B37" s="18" t="s">
        <v>23</v>
      </c>
      <c r="C37" s="18" t="s">
        <v>46</v>
      </c>
      <c r="D37" s="18" t="s">
        <v>144</v>
      </c>
      <c r="E37" s="41" t="s">
        <v>411</v>
      </c>
      <c r="F37" s="9" t="s">
        <v>472</v>
      </c>
      <c r="G37" s="9" t="s">
        <v>533</v>
      </c>
      <c r="H37" s="7"/>
      <c r="I37" s="9" t="str">
        <f>CheckGlossary($E37, Table2[Factors])</f>
        <v>In Glossary
In Glossary
In Glossary
In Glossary</v>
      </c>
    </row>
    <row r="38" spans="1:9" ht="90" x14ac:dyDescent="0.25">
      <c r="A38" s="17">
        <f t="shared" si="0"/>
        <v>31</v>
      </c>
      <c r="B38" s="18" t="s">
        <v>23</v>
      </c>
      <c r="C38" s="18" t="s">
        <v>47</v>
      </c>
      <c r="D38" s="18" t="s">
        <v>145</v>
      </c>
      <c r="E38" s="41" t="s">
        <v>412</v>
      </c>
      <c r="F38" s="9" t="s">
        <v>473</v>
      </c>
      <c r="G38" s="9" t="s">
        <v>534</v>
      </c>
      <c r="H38" s="7"/>
      <c r="I38" s="9" t="str">
        <f>CheckGlossary($E38, Table2[Factors])</f>
        <v>In Glossary
In Glossary</v>
      </c>
    </row>
    <row r="39" spans="1:9" ht="75" x14ac:dyDescent="0.25">
      <c r="A39" s="17">
        <f t="shared" si="0"/>
        <v>32</v>
      </c>
      <c r="B39" s="18" t="s">
        <v>23</v>
      </c>
      <c r="C39" s="18" t="s">
        <v>48</v>
      </c>
      <c r="D39" s="18" t="s">
        <v>48</v>
      </c>
      <c r="E39" s="41" t="s">
        <v>383</v>
      </c>
      <c r="F39" s="9" t="s">
        <v>192</v>
      </c>
      <c r="G39" s="9" t="s">
        <v>270</v>
      </c>
      <c r="H39" s="7"/>
      <c r="I39" s="9" t="str">
        <f>CheckGlossary($E39, Table2[Factors])</f>
        <v>In Glossary</v>
      </c>
    </row>
    <row r="40" spans="1:9" ht="105" x14ac:dyDescent="0.25">
      <c r="A40" s="17">
        <f t="shared" si="0"/>
        <v>33</v>
      </c>
      <c r="B40" s="18" t="s">
        <v>23</v>
      </c>
      <c r="C40" s="18" t="s">
        <v>49</v>
      </c>
      <c r="D40" s="18" t="s">
        <v>49</v>
      </c>
      <c r="E40" s="41" t="s">
        <v>413</v>
      </c>
      <c r="F40" s="9" t="s">
        <v>474</v>
      </c>
      <c r="G40" s="21" t="s">
        <v>535</v>
      </c>
      <c r="H40" s="7"/>
      <c r="I40" s="9" t="str">
        <f>CheckGlossary($E40, Table2[Factors])</f>
        <v>In Glossary
In Glossary
In Glossary</v>
      </c>
    </row>
    <row r="41" spans="1:9" ht="60" x14ac:dyDescent="0.25">
      <c r="A41" s="17">
        <f t="shared" si="0"/>
        <v>34</v>
      </c>
      <c r="B41" s="18" t="s">
        <v>23</v>
      </c>
      <c r="C41" s="18" t="s">
        <v>50</v>
      </c>
      <c r="D41" s="18" t="s">
        <v>146</v>
      </c>
      <c r="E41" s="41" t="s">
        <v>445</v>
      </c>
      <c r="F41" s="9" t="s">
        <v>475</v>
      </c>
      <c r="G41" s="9" t="s">
        <v>536</v>
      </c>
      <c r="H41" s="7"/>
      <c r="I41" s="9" t="str">
        <f>CheckGlossary($E41, Table2[Factors])</f>
        <v>In Glossary
In Glossary
In Glossary</v>
      </c>
    </row>
    <row r="42" spans="1:9" ht="105" x14ac:dyDescent="0.25">
      <c r="A42" s="17">
        <f t="shared" si="0"/>
        <v>35</v>
      </c>
      <c r="B42" s="18" t="s">
        <v>51</v>
      </c>
      <c r="C42" s="18" t="s">
        <v>52</v>
      </c>
      <c r="D42" s="18" t="s">
        <v>147</v>
      </c>
      <c r="E42" s="41" t="s">
        <v>414</v>
      </c>
      <c r="F42" s="9" t="s">
        <v>476</v>
      </c>
      <c r="G42" s="9" t="s">
        <v>537</v>
      </c>
      <c r="H42" s="7"/>
      <c r="I42" s="9" t="str">
        <f>CheckGlossary($E42, Table2[Factors])</f>
        <v>In Glossary
In Glossary
In Glossary</v>
      </c>
    </row>
    <row r="43" spans="1:9" ht="150" x14ac:dyDescent="0.25">
      <c r="A43" s="17">
        <f t="shared" si="0"/>
        <v>36</v>
      </c>
      <c r="B43" s="18" t="s">
        <v>53</v>
      </c>
      <c r="C43" s="18" t="s">
        <v>54</v>
      </c>
      <c r="D43" s="18" t="s">
        <v>148</v>
      </c>
      <c r="E43" s="41" t="s">
        <v>415</v>
      </c>
      <c r="F43" s="9" t="s">
        <v>477</v>
      </c>
      <c r="G43" s="9" t="s">
        <v>538</v>
      </c>
      <c r="H43" s="7"/>
      <c r="I43" s="9" t="str">
        <f>CheckGlossary($E43, Table2[Factors])</f>
        <v>In Glossary
In Glossary
In Glossary
In Glossary</v>
      </c>
    </row>
    <row r="44" spans="1:9" ht="120" x14ac:dyDescent="0.25">
      <c r="A44" s="17">
        <f t="shared" si="0"/>
        <v>37</v>
      </c>
      <c r="B44" s="18" t="s">
        <v>53</v>
      </c>
      <c r="C44" s="18" t="s">
        <v>55</v>
      </c>
      <c r="D44" s="18" t="s">
        <v>149</v>
      </c>
      <c r="E44" s="41" t="s">
        <v>416</v>
      </c>
      <c r="F44" s="9" t="s">
        <v>478</v>
      </c>
      <c r="G44" s="9" t="s">
        <v>539</v>
      </c>
      <c r="H44" s="7"/>
      <c r="I44" s="9" t="str">
        <f>CheckGlossary($E44, Table2[Factors])</f>
        <v>In Glossary
In Glossary
In Glossary
In Glossary</v>
      </c>
    </row>
    <row r="45" spans="1:9" ht="225" x14ac:dyDescent="0.25">
      <c r="A45" s="17">
        <f t="shared" si="0"/>
        <v>38</v>
      </c>
      <c r="B45" s="18" t="s">
        <v>57</v>
      </c>
      <c r="C45" s="18" t="s">
        <v>56</v>
      </c>
      <c r="D45" s="18" t="s">
        <v>150</v>
      </c>
      <c r="E45" s="41" t="s">
        <v>417</v>
      </c>
      <c r="F45" s="9" t="s">
        <v>479</v>
      </c>
      <c r="G45" s="9" t="s">
        <v>540</v>
      </c>
      <c r="H45" s="7"/>
      <c r="I45" s="9" t="str">
        <f>CheckGlossary($E45, Table2[Factors])</f>
        <v>In Glossary
In Glossary
In Glossary
In Glossary
In Glossary
In Glossary</v>
      </c>
    </row>
    <row r="46" spans="1:9" ht="120" x14ac:dyDescent="0.25">
      <c r="A46" s="17">
        <f t="shared" si="0"/>
        <v>39</v>
      </c>
      <c r="B46" s="18" t="s">
        <v>58</v>
      </c>
      <c r="C46" s="18" t="s">
        <v>59</v>
      </c>
      <c r="D46" s="18" t="s">
        <v>151</v>
      </c>
      <c r="E46" s="41" t="s">
        <v>418</v>
      </c>
      <c r="F46" s="9" t="s">
        <v>480</v>
      </c>
      <c r="G46" s="9" t="s">
        <v>541</v>
      </c>
      <c r="H46" s="7"/>
      <c r="I46" s="9" t="str">
        <f>CheckGlossary($E46, Table2[Factors])</f>
        <v>In Glossary
In Glossary
In Glossary</v>
      </c>
    </row>
    <row r="47" spans="1:9" ht="120" x14ac:dyDescent="0.25">
      <c r="A47" s="17">
        <f t="shared" si="0"/>
        <v>40</v>
      </c>
      <c r="B47" s="18" t="s">
        <v>60</v>
      </c>
      <c r="C47" s="18" t="s">
        <v>61</v>
      </c>
      <c r="D47" s="18" t="s">
        <v>152</v>
      </c>
      <c r="E47" s="41" t="s">
        <v>419</v>
      </c>
      <c r="F47" s="9" t="s">
        <v>481</v>
      </c>
      <c r="G47" s="9" t="s">
        <v>542</v>
      </c>
      <c r="H47" s="7"/>
      <c r="I47" s="9" t="str">
        <f>CheckGlossary($E47, Table2[Factors])</f>
        <v>In Glossary
In Glossary
In Glossary
In Glossary
In Glossary
In Glossary</v>
      </c>
    </row>
    <row r="48" spans="1:9" ht="150" x14ac:dyDescent="0.25">
      <c r="A48" s="17">
        <f t="shared" si="0"/>
        <v>41</v>
      </c>
      <c r="B48" s="18" t="s">
        <v>62</v>
      </c>
      <c r="C48" s="18" t="s">
        <v>63</v>
      </c>
      <c r="D48" s="18" t="s">
        <v>153</v>
      </c>
      <c r="E48" s="41" t="s">
        <v>420</v>
      </c>
      <c r="F48" s="9" t="s">
        <v>482</v>
      </c>
      <c r="G48" s="9" t="s">
        <v>543</v>
      </c>
      <c r="H48" s="7"/>
      <c r="I48" s="9" t="str">
        <f>CheckGlossary($E48, Table2[Factors])</f>
        <v>In Glossary
In Glossary
In Glossary
In Glossary
In Glossary</v>
      </c>
    </row>
    <row r="49" spans="1:9" ht="75" x14ac:dyDescent="0.25">
      <c r="A49" s="17">
        <f t="shared" si="0"/>
        <v>42</v>
      </c>
      <c r="B49" s="18" t="s">
        <v>64</v>
      </c>
      <c r="C49" s="18" t="s">
        <v>65</v>
      </c>
      <c r="D49" s="18" t="s">
        <v>154</v>
      </c>
      <c r="E49" s="41" t="s">
        <v>421</v>
      </c>
      <c r="F49" s="9" t="s">
        <v>483</v>
      </c>
      <c r="G49" s="9" t="s">
        <v>544</v>
      </c>
      <c r="H49" s="7"/>
      <c r="I49" s="9" t="str">
        <f>CheckGlossary($E49, Table2[Factors])</f>
        <v>In Glossary
In Glossary</v>
      </c>
    </row>
    <row r="50" spans="1:9" ht="225" x14ac:dyDescent="0.25">
      <c r="A50" s="17">
        <f t="shared" si="0"/>
        <v>43</v>
      </c>
      <c r="B50" s="18" t="s">
        <v>66</v>
      </c>
      <c r="C50" s="18" t="s">
        <v>67</v>
      </c>
      <c r="D50" s="18" t="s">
        <v>155</v>
      </c>
      <c r="E50" s="41" t="s">
        <v>422</v>
      </c>
      <c r="F50" s="9" t="s">
        <v>484</v>
      </c>
      <c r="G50" s="9" t="s">
        <v>545</v>
      </c>
      <c r="H50" s="7"/>
      <c r="I50" s="9" t="str">
        <f>CheckGlossary($E50, Table2[Factors])</f>
        <v>In Glossary
In Glossary</v>
      </c>
    </row>
    <row r="51" spans="1:9" ht="165" x14ac:dyDescent="0.25">
      <c r="A51" s="17">
        <f t="shared" si="0"/>
        <v>44</v>
      </c>
      <c r="B51" s="18" t="s">
        <v>66</v>
      </c>
      <c r="C51" s="18" t="s">
        <v>68</v>
      </c>
      <c r="D51" s="18" t="s">
        <v>156</v>
      </c>
      <c r="E51" s="41" t="s">
        <v>354</v>
      </c>
      <c r="F51" s="9" t="s">
        <v>182</v>
      </c>
      <c r="G51" s="9" t="s">
        <v>113</v>
      </c>
      <c r="H51" s="7"/>
      <c r="I51" s="9" t="str">
        <f>CheckGlossary($E51, Table2[Factors])</f>
        <v>In Glossary</v>
      </c>
    </row>
    <row r="52" spans="1:9" ht="150" x14ac:dyDescent="0.25">
      <c r="A52" s="17">
        <f t="shared" si="0"/>
        <v>45</v>
      </c>
      <c r="B52" s="18" t="s">
        <v>66</v>
      </c>
      <c r="C52" s="18" t="s">
        <v>178</v>
      </c>
      <c r="D52" s="18" t="s">
        <v>157</v>
      </c>
      <c r="E52" s="41" t="s">
        <v>423</v>
      </c>
      <c r="F52" s="9" t="s">
        <v>485</v>
      </c>
      <c r="G52" s="9" t="s">
        <v>546</v>
      </c>
      <c r="H52" s="7"/>
      <c r="I52" s="9" t="str">
        <f>CheckGlossary($E52, Table2[Factors])</f>
        <v>In Glossary
In Glossary
In Glossary
In Glossary</v>
      </c>
    </row>
    <row r="53" spans="1:9" ht="409.5" x14ac:dyDescent="0.25">
      <c r="A53" s="17">
        <f t="shared" si="0"/>
        <v>46</v>
      </c>
      <c r="B53" s="18" t="s">
        <v>69</v>
      </c>
      <c r="C53" s="18" t="s">
        <v>70</v>
      </c>
      <c r="D53" s="18" t="s">
        <v>179</v>
      </c>
      <c r="E53" s="41" t="s">
        <v>424</v>
      </c>
      <c r="F53" s="9" t="s">
        <v>486</v>
      </c>
      <c r="G53" s="9" t="s">
        <v>547</v>
      </c>
      <c r="H53" s="7"/>
      <c r="I53" s="9" t="str">
        <f>CheckGlossary($E53, Table2[Factors])</f>
        <v>In Glossary
In Glossary
In Glossary
In Glossary</v>
      </c>
    </row>
    <row r="54" spans="1:9" ht="105" x14ac:dyDescent="0.25">
      <c r="A54" s="17">
        <f t="shared" si="0"/>
        <v>47</v>
      </c>
      <c r="B54" s="18" t="s">
        <v>71</v>
      </c>
      <c r="C54" s="18" t="s">
        <v>72</v>
      </c>
      <c r="D54" s="18" t="s">
        <v>180</v>
      </c>
      <c r="E54" s="41" t="s">
        <v>425</v>
      </c>
      <c r="F54" s="9" t="s">
        <v>487</v>
      </c>
      <c r="G54" s="9" t="s">
        <v>548</v>
      </c>
      <c r="H54" s="7"/>
      <c r="I54" s="9" t="str">
        <f>CheckGlossary($E54, Table2[Factors])</f>
        <v>In Glossary
In Glossary
In Glossary
In Glossary
In Glossary
In Glossary</v>
      </c>
    </row>
    <row r="55" spans="1:9" ht="285" x14ac:dyDescent="0.25">
      <c r="A55" s="17">
        <f t="shared" si="0"/>
        <v>48</v>
      </c>
      <c r="B55" s="18" t="s">
        <v>71</v>
      </c>
      <c r="C55" s="18" t="s">
        <v>73</v>
      </c>
      <c r="D55" s="18" t="s">
        <v>158</v>
      </c>
      <c r="E55" s="41" t="s">
        <v>444</v>
      </c>
      <c r="F55" s="9" t="s">
        <v>488</v>
      </c>
      <c r="G55" s="9" t="s">
        <v>549</v>
      </c>
      <c r="H55" s="7"/>
      <c r="I55" s="9" t="str">
        <f>CheckGlossary($E55, Table2[Factors])</f>
        <v>In Glossary
In Glossary
In Glossary
In Glossary</v>
      </c>
    </row>
    <row r="56" spans="1:9" ht="120" x14ac:dyDescent="0.25">
      <c r="A56" s="17">
        <f t="shared" si="0"/>
        <v>49</v>
      </c>
      <c r="B56" s="18" t="s">
        <v>71</v>
      </c>
      <c r="C56" s="18" t="s">
        <v>74</v>
      </c>
      <c r="D56" s="18" t="s">
        <v>159</v>
      </c>
      <c r="E56" s="41" t="s">
        <v>443</v>
      </c>
      <c r="F56" s="9" t="s">
        <v>489</v>
      </c>
      <c r="G56" s="9" t="s">
        <v>550</v>
      </c>
      <c r="H56" s="7"/>
      <c r="I56" s="9" t="str">
        <f>CheckGlossary($E56, Table2[Factors])</f>
        <v>In Glossary
In Glossary
In Glossary</v>
      </c>
    </row>
    <row r="57" spans="1:9" ht="75" x14ac:dyDescent="0.25">
      <c r="A57" s="17">
        <f t="shared" si="0"/>
        <v>50</v>
      </c>
      <c r="B57" s="18" t="s">
        <v>75</v>
      </c>
      <c r="C57" s="18" t="s">
        <v>76</v>
      </c>
      <c r="D57" s="18" t="s">
        <v>160</v>
      </c>
      <c r="E57" s="41" t="s">
        <v>442</v>
      </c>
      <c r="F57" s="9" t="s">
        <v>490</v>
      </c>
      <c r="G57" s="9" t="s">
        <v>551</v>
      </c>
      <c r="H57" s="7"/>
      <c r="I57" s="9" t="str">
        <f>CheckGlossary($E57, Table2[Factors])</f>
        <v>In Glossary
In Glossary
In Glossary
In Glossary</v>
      </c>
    </row>
    <row r="58" spans="1:9" ht="210" x14ac:dyDescent="0.25">
      <c r="A58" s="17">
        <f t="shared" si="0"/>
        <v>51</v>
      </c>
      <c r="B58" s="18" t="s">
        <v>77</v>
      </c>
      <c r="C58" s="18" t="s">
        <v>78</v>
      </c>
      <c r="D58" s="18" t="s">
        <v>161</v>
      </c>
      <c r="E58" s="41" t="s">
        <v>441</v>
      </c>
      <c r="F58" s="9" t="s">
        <v>491</v>
      </c>
      <c r="G58" s="9" t="s">
        <v>552</v>
      </c>
      <c r="H58" s="7"/>
      <c r="I58" s="9" t="str">
        <f>CheckGlossary($E58, Table2[Factors])</f>
        <v>In Glossary
In Glossary
In Glossary
In Glossary
In Glossary</v>
      </c>
    </row>
    <row r="59" spans="1:9" ht="60" x14ac:dyDescent="0.25">
      <c r="A59" s="17">
        <f t="shared" si="0"/>
        <v>52</v>
      </c>
      <c r="B59" s="18" t="s">
        <v>77</v>
      </c>
      <c r="C59" s="18" t="s">
        <v>178</v>
      </c>
      <c r="D59" s="18" t="s">
        <v>162</v>
      </c>
      <c r="E59" s="41" t="s">
        <v>440</v>
      </c>
      <c r="F59" s="9" t="s">
        <v>492</v>
      </c>
      <c r="G59" s="9" t="s">
        <v>553</v>
      </c>
      <c r="H59" s="7"/>
      <c r="I59" s="9" t="str">
        <f>CheckGlossary($E59, Table2[Factors])</f>
        <v>In Glossary
In Glossary
In Glossary</v>
      </c>
    </row>
    <row r="60" spans="1:9" ht="105" x14ac:dyDescent="0.25">
      <c r="A60" s="17">
        <f t="shared" si="0"/>
        <v>53</v>
      </c>
      <c r="B60" s="18" t="s">
        <v>79</v>
      </c>
      <c r="C60" s="18" t="s">
        <v>80</v>
      </c>
      <c r="D60" s="18" t="s">
        <v>163</v>
      </c>
      <c r="E60" s="41" t="s">
        <v>439</v>
      </c>
      <c r="F60" s="9" t="s">
        <v>493</v>
      </c>
      <c r="G60" s="9" t="s">
        <v>554</v>
      </c>
      <c r="H60" s="7"/>
      <c r="I60" s="9" t="str">
        <f>CheckGlossary($E60, Table2[Factors])</f>
        <v>In Glossary
In Glossary</v>
      </c>
    </row>
    <row r="61" spans="1:9" ht="195" x14ac:dyDescent="0.25">
      <c r="A61" s="17">
        <f t="shared" si="0"/>
        <v>54</v>
      </c>
      <c r="B61" s="18" t="s">
        <v>81</v>
      </c>
      <c r="C61" s="18" t="s">
        <v>82</v>
      </c>
      <c r="D61" s="18" t="s">
        <v>164</v>
      </c>
      <c r="E61" s="41" t="s">
        <v>438</v>
      </c>
      <c r="F61" s="9" t="s">
        <v>494</v>
      </c>
      <c r="G61" s="9" t="s">
        <v>555</v>
      </c>
      <c r="H61" s="7"/>
      <c r="I61" s="9" t="str">
        <f>CheckGlossary($E61, Table2[Factors])</f>
        <v>In Glossary
In Glossary
In Glossary</v>
      </c>
    </row>
    <row r="62" spans="1:9" ht="195" x14ac:dyDescent="0.25">
      <c r="A62" s="17">
        <f t="shared" si="0"/>
        <v>55</v>
      </c>
      <c r="B62" s="18" t="s">
        <v>81</v>
      </c>
      <c r="C62" s="18" t="s">
        <v>83</v>
      </c>
      <c r="D62" s="18" t="s">
        <v>165</v>
      </c>
      <c r="E62" s="41" t="s">
        <v>437</v>
      </c>
      <c r="F62" s="9" t="s">
        <v>495</v>
      </c>
      <c r="G62" s="9" t="s">
        <v>556</v>
      </c>
      <c r="H62" s="7"/>
      <c r="I62" s="9" t="str">
        <f>CheckGlossary($E62, Table2[Factors])</f>
        <v>In Glossary
In Glossary
In Glossary</v>
      </c>
    </row>
    <row r="63" spans="1:9" ht="105" x14ac:dyDescent="0.25">
      <c r="A63" s="17">
        <f t="shared" si="0"/>
        <v>56</v>
      </c>
      <c r="B63" s="18" t="s">
        <v>85</v>
      </c>
      <c r="C63" s="18" t="s">
        <v>84</v>
      </c>
      <c r="D63" s="18" t="s">
        <v>166</v>
      </c>
      <c r="E63" s="41" t="s">
        <v>436</v>
      </c>
      <c r="F63" s="9" t="s">
        <v>496</v>
      </c>
      <c r="G63" s="9" t="s">
        <v>557</v>
      </c>
      <c r="H63" s="7"/>
      <c r="I63" s="9" t="str">
        <f>CheckGlossary($E63, Table2[Factors])</f>
        <v>In Glossary
In Glossary
In Glossary</v>
      </c>
    </row>
    <row r="64" spans="1:9" ht="135" x14ac:dyDescent="0.25">
      <c r="A64" s="17">
        <f t="shared" si="0"/>
        <v>57</v>
      </c>
      <c r="B64" s="18" t="s">
        <v>86</v>
      </c>
      <c r="C64" s="18" t="s">
        <v>87</v>
      </c>
      <c r="D64" s="18" t="s">
        <v>167</v>
      </c>
      <c r="E64" s="41" t="s">
        <v>435</v>
      </c>
      <c r="F64" s="9" t="s">
        <v>497</v>
      </c>
      <c r="G64" s="9" t="s">
        <v>558</v>
      </c>
      <c r="H64" s="7"/>
      <c r="I64" s="9" t="str">
        <f>CheckGlossary($E64, Table2[Factors])</f>
        <v>In Glossary
In Glossary
In Glossary</v>
      </c>
    </row>
    <row r="65" spans="1:9" ht="165" x14ac:dyDescent="0.25">
      <c r="A65" s="17">
        <f t="shared" si="0"/>
        <v>58</v>
      </c>
      <c r="B65" s="18" t="s">
        <v>89</v>
      </c>
      <c r="C65" s="18" t="s">
        <v>88</v>
      </c>
      <c r="D65" s="18" t="s">
        <v>168</v>
      </c>
      <c r="E65" s="41" t="s">
        <v>434</v>
      </c>
      <c r="F65" s="9" t="s">
        <v>498</v>
      </c>
      <c r="G65" s="9" t="s">
        <v>559</v>
      </c>
      <c r="H65" s="7"/>
      <c r="I65" s="9" t="str">
        <f>CheckGlossary($E65, Table2[Factors])</f>
        <v>In Glossary
In Glossary
In Glossary
In Glossary</v>
      </c>
    </row>
    <row r="66" spans="1:9" ht="390" x14ac:dyDescent="0.25">
      <c r="A66" s="17">
        <f t="shared" si="0"/>
        <v>59</v>
      </c>
      <c r="B66" s="18" t="s">
        <v>91</v>
      </c>
      <c r="C66" s="18" t="s">
        <v>90</v>
      </c>
      <c r="D66" s="18" t="s">
        <v>169</v>
      </c>
      <c r="E66" s="41" t="s">
        <v>433</v>
      </c>
      <c r="F66" s="9" t="s">
        <v>499</v>
      </c>
      <c r="G66" s="9" t="s">
        <v>560</v>
      </c>
      <c r="H66" s="7"/>
      <c r="I66" s="9" t="str">
        <f>CheckGlossary($E66, Table2[Factors])</f>
        <v>In Glossary
In Glossary</v>
      </c>
    </row>
    <row r="67" spans="1:9" ht="345" x14ac:dyDescent="0.25">
      <c r="A67" s="17">
        <f t="shared" si="0"/>
        <v>60</v>
      </c>
      <c r="B67" s="18" t="s">
        <v>92</v>
      </c>
      <c r="C67" s="18" t="s">
        <v>93</v>
      </c>
      <c r="D67" s="18" t="s">
        <v>170</v>
      </c>
      <c r="E67" s="41" t="s">
        <v>432</v>
      </c>
      <c r="F67" s="9" t="s">
        <v>500</v>
      </c>
      <c r="G67" s="9" t="s">
        <v>561</v>
      </c>
      <c r="H67" s="7"/>
      <c r="I67" s="9" t="str">
        <f>CheckGlossary($E67, Table2[Factors])</f>
        <v>In Glossary
In Glossary
In Glossary</v>
      </c>
    </row>
    <row r="68" spans="1:9" ht="180" x14ac:dyDescent="0.25">
      <c r="A68" s="17">
        <f t="shared" si="0"/>
        <v>61</v>
      </c>
      <c r="B68" s="18" t="s">
        <v>92</v>
      </c>
      <c r="C68" s="18" t="s">
        <v>94</v>
      </c>
      <c r="D68" s="18" t="s">
        <v>171</v>
      </c>
      <c r="E68" s="41" t="s">
        <v>431</v>
      </c>
      <c r="F68" s="9" t="s">
        <v>501</v>
      </c>
      <c r="G68" s="9" t="s">
        <v>562</v>
      </c>
      <c r="H68" s="7"/>
      <c r="I68" s="9" t="str">
        <f>CheckGlossary($E68, Table2[Factors])</f>
        <v>In Glossary
In Glossary
In Glossary</v>
      </c>
    </row>
    <row r="69" spans="1:9" ht="105" x14ac:dyDescent="0.25">
      <c r="A69" s="17">
        <f t="shared" si="0"/>
        <v>62</v>
      </c>
      <c r="B69" s="18" t="s">
        <v>95</v>
      </c>
      <c r="C69" s="18" t="s">
        <v>96</v>
      </c>
      <c r="D69" s="18" t="s">
        <v>172</v>
      </c>
      <c r="E69" s="41" t="s">
        <v>430</v>
      </c>
      <c r="F69" s="9" t="s">
        <v>502</v>
      </c>
      <c r="G69" s="9" t="s">
        <v>563</v>
      </c>
      <c r="H69" s="7"/>
      <c r="I69" s="9" t="str">
        <f>CheckGlossary($E69, Table2[Factors])</f>
        <v>In Glossary
In Glossary
In Glossary
In Glossary</v>
      </c>
    </row>
    <row r="70" spans="1:9" ht="150" x14ac:dyDescent="0.25">
      <c r="A70" s="17">
        <f t="shared" si="0"/>
        <v>63</v>
      </c>
      <c r="B70" s="18" t="s">
        <v>97</v>
      </c>
      <c r="C70" s="18" t="s">
        <v>98</v>
      </c>
      <c r="D70" s="18" t="s">
        <v>173</v>
      </c>
      <c r="E70" s="41" t="s">
        <v>429</v>
      </c>
      <c r="F70" s="9" t="s">
        <v>503</v>
      </c>
      <c r="G70" s="9" t="s">
        <v>564</v>
      </c>
      <c r="H70" s="7"/>
      <c r="I70" s="9" t="str">
        <f>CheckGlossary($E70, Table2[Factors])</f>
        <v>In Glossary
In Glossary
In Glossary
In Glossary
In Glossary
In Glossary
In Glossary</v>
      </c>
    </row>
    <row r="71" spans="1:9" ht="375" x14ac:dyDescent="0.25">
      <c r="A71" s="17">
        <f t="shared" si="0"/>
        <v>64</v>
      </c>
      <c r="B71" s="18" t="s">
        <v>97</v>
      </c>
      <c r="C71" s="18" t="s">
        <v>99</v>
      </c>
      <c r="D71" s="18" t="s">
        <v>174</v>
      </c>
      <c r="E71" s="41" t="s">
        <v>428</v>
      </c>
      <c r="F71" s="9" t="s">
        <v>504</v>
      </c>
      <c r="G71" s="9" t="s">
        <v>565</v>
      </c>
      <c r="H71" s="7"/>
      <c r="I71" s="9" t="str">
        <f>CheckGlossary($E71, Table2[Factors])</f>
        <v>In Glossary
In Glossary
In Glossary</v>
      </c>
    </row>
    <row r="72" spans="1:9" ht="90" x14ac:dyDescent="0.25">
      <c r="A72" s="17">
        <f t="shared" si="0"/>
        <v>65</v>
      </c>
      <c r="B72" s="18" t="s">
        <v>100</v>
      </c>
      <c r="C72" s="18" t="s">
        <v>101</v>
      </c>
      <c r="D72" s="18" t="s">
        <v>175</v>
      </c>
      <c r="E72" s="41" t="s">
        <v>427</v>
      </c>
      <c r="F72" s="9" t="s">
        <v>505</v>
      </c>
      <c r="G72" s="9" t="s">
        <v>566</v>
      </c>
      <c r="H72" s="7"/>
      <c r="I72" s="9" t="str">
        <f>CheckGlossary($E72, Table2[Factors])</f>
        <v>In Glossary
In Glossary
In Glossary</v>
      </c>
    </row>
    <row r="73" spans="1:9" ht="270" x14ac:dyDescent="0.25">
      <c r="A73" s="17">
        <f t="shared" si="0"/>
        <v>66</v>
      </c>
      <c r="B73" s="18" t="s">
        <v>100</v>
      </c>
      <c r="C73" s="18" t="s">
        <v>102</v>
      </c>
      <c r="D73" s="18" t="s">
        <v>176</v>
      </c>
      <c r="E73" s="41" t="s">
        <v>426</v>
      </c>
      <c r="F73" s="9" t="s">
        <v>506</v>
      </c>
      <c r="G73" s="9" t="s">
        <v>567</v>
      </c>
      <c r="H73" s="7"/>
      <c r="I73" s="9" t="str">
        <f>CheckGlossary($E73, Table2[Factors])</f>
        <v>In Glossary
In Glossary
In Glossary</v>
      </c>
    </row>
    <row r="74" spans="1:9" x14ac:dyDescent="0.25">
      <c r="B74" s="1"/>
      <c r="C74" s="1"/>
      <c r="D74" s="1"/>
      <c r="E74" s="1"/>
      <c r="F74" s="1"/>
      <c r="G74" s="1"/>
      <c r="H74" s="4"/>
    </row>
    <row r="75" spans="1:9" x14ac:dyDescent="0.25">
      <c r="B75" s="1"/>
      <c r="C75" s="1"/>
      <c r="D75" s="1"/>
      <c r="E75" s="1"/>
      <c r="F75" s="1"/>
      <c r="G75" s="1"/>
      <c r="H75" s="4"/>
    </row>
    <row r="76" spans="1:9" x14ac:dyDescent="0.25">
      <c r="B76" s="1"/>
      <c r="C76" s="1"/>
      <c r="D76" s="1"/>
      <c r="E76" s="1"/>
      <c r="F76" s="1"/>
      <c r="G76" s="1"/>
    </row>
    <row r="77" spans="1:9" x14ac:dyDescent="0.25">
      <c r="B77" s="1"/>
      <c r="C77" s="1"/>
      <c r="D77" s="1"/>
      <c r="E77" s="1"/>
      <c r="F77" s="1"/>
      <c r="G77" s="1"/>
    </row>
    <row r="78" spans="1:9" x14ac:dyDescent="0.25">
      <c r="B78" s="1"/>
      <c r="C78" s="1"/>
      <c r="D78" s="1"/>
      <c r="E78" s="1"/>
      <c r="F78" s="1"/>
      <c r="G78" s="1"/>
    </row>
    <row r="79" spans="1:9" x14ac:dyDescent="0.25">
      <c r="B79" s="1"/>
      <c r="C79" s="1"/>
      <c r="D79" s="1"/>
      <c r="E79" s="1"/>
      <c r="F79" s="1"/>
      <c r="G79" s="1"/>
    </row>
    <row r="80" spans="1:9" x14ac:dyDescent="0.25">
      <c r="B80" s="1"/>
      <c r="C80" s="1"/>
      <c r="D80" s="1"/>
      <c r="E80" s="1"/>
      <c r="F80" s="1"/>
      <c r="G80" s="1"/>
    </row>
    <row r="81" spans="2:7" x14ac:dyDescent="0.25">
      <c r="B81" s="1"/>
      <c r="C81" s="1"/>
      <c r="D81" s="1"/>
      <c r="E81" s="1"/>
      <c r="F81" s="1"/>
      <c r="G81" s="1"/>
    </row>
    <row r="82" spans="2:7" x14ac:dyDescent="0.25">
      <c r="B82" s="1"/>
      <c r="C82" s="1"/>
      <c r="D82" s="1"/>
      <c r="E82" s="1"/>
      <c r="F82" s="1"/>
      <c r="G82" s="1"/>
    </row>
    <row r="83" spans="2:7" x14ac:dyDescent="0.25">
      <c r="B83" s="1"/>
      <c r="C83" s="1"/>
      <c r="D83" s="1"/>
      <c r="E83" s="1"/>
      <c r="F83" s="1"/>
      <c r="G83" s="1"/>
    </row>
    <row r="84" spans="2:7" x14ac:dyDescent="0.25">
      <c r="B84" s="1"/>
      <c r="C84" s="1"/>
      <c r="D84" s="1"/>
      <c r="E84" s="1"/>
      <c r="F84" s="1"/>
      <c r="G84" s="1"/>
    </row>
    <row r="85" spans="2:7" x14ac:dyDescent="0.25">
      <c r="B85" s="1"/>
      <c r="C85" s="1"/>
      <c r="D85" s="1"/>
      <c r="E85" s="1"/>
      <c r="F85" s="1"/>
      <c r="G85" s="1"/>
    </row>
    <row r="86" spans="2:7" x14ac:dyDescent="0.25">
      <c r="B86" s="1"/>
      <c r="C86" s="1"/>
      <c r="D86" s="1"/>
      <c r="E86" s="1"/>
      <c r="F86" s="1"/>
      <c r="G86" s="1"/>
    </row>
    <row r="87" spans="2:7" x14ac:dyDescent="0.25">
      <c r="B87" s="1"/>
      <c r="C87" s="1"/>
      <c r="D87" s="1"/>
      <c r="E87" s="1"/>
      <c r="F87" s="1"/>
      <c r="G87" s="1"/>
    </row>
    <row r="88" spans="2:7" x14ac:dyDescent="0.25">
      <c r="B88" s="1"/>
      <c r="C88" s="1"/>
      <c r="D88" s="1"/>
      <c r="E88" s="1"/>
      <c r="F88" s="1"/>
      <c r="G88" s="1"/>
    </row>
    <row r="89" spans="2:7" x14ac:dyDescent="0.25">
      <c r="B89" s="1"/>
      <c r="C89" s="1"/>
      <c r="D89" s="1"/>
      <c r="E89" s="1"/>
      <c r="F89" s="1"/>
      <c r="G89" s="1"/>
    </row>
    <row r="90" spans="2:7" x14ac:dyDescent="0.25">
      <c r="B90" s="1"/>
      <c r="C90" s="1"/>
      <c r="D90" s="1"/>
      <c r="E90" s="1"/>
      <c r="F90" s="1"/>
      <c r="G90" s="1"/>
    </row>
    <row r="91" spans="2:7" x14ac:dyDescent="0.25">
      <c r="B91" s="1"/>
      <c r="C91" s="1"/>
      <c r="D91" s="1"/>
      <c r="E91" s="1"/>
      <c r="F91" s="1"/>
      <c r="G91" s="1"/>
    </row>
    <row r="92" spans="2:7" x14ac:dyDescent="0.25">
      <c r="B92" s="1"/>
      <c r="C92" s="1"/>
      <c r="D92" s="1"/>
      <c r="E92" s="1"/>
      <c r="F92" s="1"/>
      <c r="G92" s="1"/>
    </row>
    <row r="93" spans="2:7" x14ac:dyDescent="0.25">
      <c r="B93" s="1"/>
      <c r="C93" s="1"/>
      <c r="D93" s="1"/>
      <c r="E93" s="1"/>
      <c r="F93" s="1"/>
      <c r="G93" s="1"/>
    </row>
    <row r="94" spans="2:7" x14ac:dyDescent="0.25">
      <c r="B94" s="1"/>
      <c r="C94" s="1"/>
      <c r="D94" s="1"/>
      <c r="E94" s="1"/>
      <c r="F94" s="1"/>
      <c r="G94" s="1"/>
    </row>
    <row r="95" spans="2:7" x14ac:dyDescent="0.25">
      <c r="B95" s="1"/>
      <c r="C95" s="1"/>
      <c r="D95" s="1"/>
      <c r="E95" s="1"/>
      <c r="F95" s="1"/>
      <c r="G95" s="1"/>
    </row>
    <row r="96" spans="2:7" x14ac:dyDescent="0.25">
      <c r="B96" s="1"/>
      <c r="C96" s="1"/>
      <c r="D96" s="1"/>
      <c r="E96" s="1"/>
      <c r="F96" s="1"/>
      <c r="G96" s="1"/>
    </row>
    <row r="97" spans="2:7" x14ac:dyDescent="0.25">
      <c r="B97" s="1"/>
      <c r="C97" s="1"/>
      <c r="D97" s="1"/>
      <c r="E97" s="1"/>
      <c r="F97" s="1"/>
      <c r="G97" s="1"/>
    </row>
    <row r="98" spans="2:7" x14ac:dyDescent="0.25">
      <c r="B98" s="1"/>
      <c r="C98" s="1"/>
      <c r="D98" s="1"/>
      <c r="E98" s="1"/>
      <c r="F98" s="1"/>
      <c r="G98" s="1"/>
    </row>
    <row r="99" spans="2:7" x14ac:dyDescent="0.25">
      <c r="B99" s="1"/>
      <c r="C99" s="1"/>
      <c r="D99" s="1"/>
      <c r="E99" s="1"/>
      <c r="F99" s="1"/>
      <c r="G99" s="1"/>
    </row>
    <row r="100" spans="2:7" x14ac:dyDescent="0.25">
      <c r="B100" s="1"/>
      <c r="C100" s="1"/>
      <c r="D100" s="1"/>
      <c r="E100" s="1"/>
      <c r="F100" s="1"/>
      <c r="G100" s="1"/>
    </row>
    <row r="101" spans="2:7" x14ac:dyDescent="0.25">
      <c r="B101" s="1"/>
      <c r="C101" s="1"/>
      <c r="D101" s="1"/>
      <c r="E101" s="1"/>
      <c r="F101" s="1"/>
      <c r="G101" s="1"/>
    </row>
    <row r="102" spans="2:7" x14ac:dyDescent="0.25">
      <c r="B102" s="1"/>
      <c r="C102" s="1"/>
      <c r="D102" s="1"/>
      <c r="E102" s="1"/>
      <c r="F102" s="1"/>
      <c r="G102" s="1"/>
    </row>
    <row r="103" spans="2:7" x14ac:dyDescent="0.25">
      <c r="B103" s="1"/>
      <c r="C103" s="1"/>
      <c r="D103" s="1"/>
      <c r="E103" s="1"/>
      <c r="F103" s="1"/>
      <c r="G103" s="1"/>
    </row>
    <row r="104" spans="2:7" x14ac:dyDescent="0.25">
      <c r="B104" s="1"/>
      <c r="C104" s="1"/>
      <c r="D104" s="1"/>
      <c r="E104" s="1"/>
      <c r="F104" s="1"/>
      <c r="G104" s="1"/>
    </row>
    <row r="105" spans="2:7" x14ac:dyDescent="0.25">
      <c r="B105" s="1"/>
      <c r="C105" s="1"/>
      <c r="D105" s="1"/>
      <c r="E105" s="1"/>
      <c r="F105" s="1"/>
      <c r="G105" s="1"/>
    </row>
    <row r="106" spans="2:7" x14ac:dyDescent="0.25">
      <c r="B106" s="1"/>
      <c r="C106" s="1"/>
      <c r="D106" s="1"/>
      <c r="E106" s="1"/>
      <c r="F106" s="1"/>
      <c r="G106" s="1"/>
    </row>
    <row r="107" spans="2:7" x14ac:dyDescent="0.25">
      <c r="B107" s="1"/>
      <c r="C107" s="1"/>
      <c r="D107" s="1"/>
      <c r="E107" s="1"/>
      <c r="F107" s="1"/>
      <c r="G107" s="1"/>
    </row>
    <row r="108" spans="2:7" x14ac:dyDescent="0.25">
      <c r="B108" s="1"/>
      <c r="C108" s="1"/>
      <c r="D108" s="1"/>
      <c r="E108" s="1"/>
      <c r="F108" s="1"/>
      <c r="G108" s="1"/>
    </row>
    <row r="109" spans="2:7" x14ac:dyDescent="0.25">
      <c r="B109" s="1"/>
      <c r="C109" s="1"/>
      <c r="D109" s="1"/>
      <c r="E109" s="1"/>
      <c r="F109" s="1"/>
      <c r="G109" s="1"/>
    </row>
    <row r="110" spans="2:7" x14ac:dyDescent="0.25">
      <c r="B110" s="1"/>
      <c r="C110" s="1"/>
      <c r="D110" s="1"/>
      <c r="E110" s="1"/>
      <c r="F110" s="1"/>
      <c r="G110" s="1"/>
    </row>
    <row r="111" spans="2:7" x14ac:dyDescent="0.25">
      <c r="B111" s="1"/>
      <c r="C111" s="1"/>
      <c r="D111" s="1"/>
      <c r="E111" s="1"/>
      <c r="F111" s="1"/>
      <c r="G111" s="1"/>
    </row>
    <row r="112" spans="2:7" x14ac:dyDescent="0.25">
      <c r="B112" s="1"/>
      <c r="C112" s="1"/>
      <c r="D112" s="1"/>
      <c r="E112" s="1"/>
      <c r="F112" s="1"/>
      <c r="G112" s="1"/>
    </row>
    <row r="113" spans="2:7" x14ac:dyDescent="0.25">
      <c r="B113" s="1"/>
      <c r="C113" s="1"/>
      <c r="D113" s="1"/>
      <c r="E113" s="1"/>
      <c r="F113" s="1"/>
      <c r="G113" s="1"/>
    </row>
    <row r="114" spans="2:7" x14ac:dyDescent="0.25">
      <c r="B114" s="1"/>
      <c r="C114" s="1"/>
      <c r="D114" s="1"/>
      <c r="E114" s="1"/>
      <c r="F114" s="1"/>
      <c r="G114" s="1"/>
    </row>
    <row r="115" spans="2:7" x14ac:dyDescent="0.25">
      <c r="B115" s="1"/>
      <c r="C115" s="1"/>
      <c r="D115" s="1"/>
      <c r="E115" s="1"/>
      <c r="F115" s="1"/>
      <c r="G115" s="1"/>
    </row>
    <row r="116" spans="2:7" x14ac:dyDescent="0.25">
      <c r="B116" s="1"/>
      <c r="C116" s="1"/>
      <c r="D116" s="1"/>
      <c r="E116" s="1"/>
      <c r="F116" s="1"/>
      <c r="G116" s="1"/>
    </row>
    <row r="117" spans="2:7" x14ac:dyDescent="0.25">
      <c r="B117" s="1"/>
      <c r="C117" s="1"/>
      <c r="D117" s="1"/>
      <c r="E117" s="1"/>
      <c r="F117" s="1"/>
      <c r="G117" s="1"/>
    </row>
    <row r="118" spans="2:7" x14ac:dyDescent="0.25">
      <c r="B118" s="1"/>
      <c r="C118" s="1"/>
      <c r="D118" s="1"/>
      <c r="E118" s="1"/>
      <c r="F118" s="1"/>
      <c r="G118" s="1"/>
    </row>
    <row r="119" spans="2:7" x14ac:dyDescent="0.25">
      <c r="B119" s="1"/>
      <c r="C119" s="1"/>
      <c r="D119" s="1"/>
      <c r="E119" s="1"/>
      <c r="F119" s="1"/>
      <c r="G119" s="1"/>
    </row>
    <row r="120" spans="2:7" x14ac:dyDescent="0.25">
      <c r="B120" s="1"/>
      <c r="C120" s="1"/>
      <c r="D120" s="1"/>
      <c r="E120" s="1"/>
      <c r="F120" s="1"/>
      <c r="G120" s="1"/>
    </row>
    <row r="121" spans="2:7" x14ac:dyDescent="0.25">
      <c r="B121" s="1"/>
      <c r="C121" s="1"/>
      <c r="D121" s="1"/>
      <c r="E121" s="1"/>
      <c r="F121" s="1"/>
      <c r="G121" s="1"/>
    </row>
    <row r="122" spans="2:7" x14ac:dyDescent="0.25">
      <c r="B122" s="1"/>
      <c r="C122" s="1"/>
      <c r="D122" s="1"/>
      <c r="E122" s="1"/>
      <c r="F122" s="1"/>
      <c r="G122" s="1"/>
    </row>
    <row r="123" spans="2:7" x14ac:dyDescent="0.25">
      <c r="B123" s="1"/>
      <c r="C123" s="1"/>
      <c r="D123" s="1"/>
      <c r="E123" s="1"/>
      <c r="F123" s="1"/>
      <c r="G123" s="1"/>
    </row>
    <row r="124" spans="2:7" x14ac:dyDescent="0.25">
      <c r="B124" s="1"/>
      <c r="C124" s="1"/>
      <c r="D124" s="1"/>
      <c r="E124" s="1"/>
      <c r="F124" s="1"/>
      <c r="G124" s="1"/>
    </row>
    <row r="125" spans="2:7" x14ac:dyDescent="0.25">
      <c r="B125" s="1"/>
      <c r="C125" s="1"/>
      <c r="D125" s="1"/>
      <c r="E125" s="1"/>
      <c r="F125" s="1"/>
      <c r="G125" s="1"/>
    </row>
    <row r="126" spans="2:7" x14ac:dyDescent="0.25">
      <c r="B126" s="1"/>
      <c r="C126" s="1"/>
      <c r="D126" s="1"/>
      <c r="E126" s="1"/>
      <c r="F126" s="1"/>
      <c r="G126" s="1"/>
    </row>
    <row r="127" spans="2:7" x14ac:dyDescent="0.25">
      <c r="B127" s="1"/>
      <c r="C127" s="1"/>
      <c r="D127" s="1"/>
      <c r="E127" s="1"/>
      <c r="F127" s="1"/>
      <c r="G127" s="1"/>
    </row>
    <row r="128" spans="2:7" x14ac:dyDescent="0.25">
      <c r="B128" s="1"/>
      <c r="C128" s="1"/>
      <c r="D128" s="1"/>
      <c r="E128" s="1"/>
      <c r="F128" s="1"/>
      <c r="G128" s="1"/>
    </row>
    <row r="129" spans="2:7" x14ac:dyDescent="0.25">
      <c r="B129" s="1"/>
      <c r="C129" s="1"/>
      <c r="D129" s="1"/>
      <c r="E129" s="1"/>
      <c r="F129" s="1"/>
      <c r="G129" s="1"/>
    </row>
    <row r="130" spans="2:7" x14ac:dyDescent="0.25">
      <c r="B130" s="1"/>
      <c r="C130" s="1"/>
      <c r="D130" s="1"/>
      <c r="E130" s="1"/>
      <c r="F130" s="1"/>
      <c r="G130" s="1"/>
    </row>
    <row r="131" spans="2:7" x14ac:dyDescent="0.25">
      <c r="B131" s="1"/>
      <c r="C131" s="1"/>
      <c r="D131" s="1"/>
      <c r="E131" s="1"/>
      <c r="F131" s="1"/>
      <c r="G131" s="1"/>
    </row>
    <row r="132" spans="2:7" x14ac:dyDescent="0.25">
      <c r="B132" s="1"/>
      <c r="C132" s="1"/>
      <c r="D132" s="1"/>
      <c r="E132" s="1"/>
      <c r="F132" s="1"/>
      <c r="G132" s="1"/>
    </row>
    <row r="133" spans="2:7" x14ac:dyDescent="0.25">
      <c r="B133" s="1"/>
      <c r="C133" s="1"/>
      <c r="D133" s="1"/>
      <c r="E133" s="1"/>
      <c r="F133" s="1"/>
      <c r="G133" s="1"/>
    </row>
    <row r="134" spans="2:7" x14ac:dyDescent="0.25">
      <c r="B134" s="1"/>
      <c r="C134" s="1"/>
      <c r="D134" s="1"/>
      <c r="E134" s="1"/>
      <c r="F134" s="1"/>
      <c r="G134" s="1"/>
    </row>
    <row r="135" spans="2:7" x14ac:dyDescent="0.25">
      <c r="B135" s="1"/>
      <c r="C135" s="1"/>
      <c r="D135" s="1"/>
      <c r="E135" s="1"/>
      <c r="F135" s="1"/>
      <c r="G135" s="1"/>
    </row>
    <row r="136" spans="2:7" x14ac:dyDescent="0.25">
      <c r="B136" s="1"/>
      <c r="C136" s="1"/>
      <c r="D136" s="1"/>
      <c r="E136" s="1"/>
      <c r="F136" s="1"/>
      <c r="G136" s="1"/>
    </row>
    <row r="137" spans="2:7" x14ac:dyDescent="0.25">
      <c r="B137" s="1"/>
      <c r="C137" s="1"/>
      <c r="D137" s="1"/>
      <c r="E137" s="1"/>
      <c r="F137" s="1"/>
      <c r="G137" s="1"/>
    </row>
    <row r="138" spans="2:7" x14ac:dyDescent="0.25">
      <c r="B138" s="1"/>
      <c r="C138" s="1"/>
      <c r="D138" s="1"/>
      <c r="E138" s="1"/>
      <c r="F138" s="1"/>
      <c r="G138" s="1"/>
    </row>
    <row r="139" spans="2:7" x14ac:dyDescent="0.25">
      <c r="B139" s="1"/>
      <c r="C139" s="1"/>
      <c r="D139" s="1"/>
      <c r="E139" s="1"/>
      <c r="F139" s="1"/>
      <c r="G139" s="1"/>
    </row>
    <row r="140" spans="2:7" x14ac:dyDescent="0.25">
      <c r="B140" s="1"/>
      <c r="C140" s="1"/>
      <c r="D140" s="1"/>
      <c r="E140" s="1"/>
      <c r="F140" s="1"/>
      <c r="G140" s="1"/>
    </row>
    <row r="141" spans="2:7" x14ac:dyDescent="0.25">
      <c r="B141" s="1"/>
      <c r="C141" s="1"/>
      <c r="D141" s="1"/>
      <c r="E141" s="1"/>
      <c r="F141" s="1"/>
      <c r="G141" s="1"/>
    </row>
    <row r="142" spans="2:7" x14ac:dyDescent="0.25">
      <c r="B142" s="1"/>
      <c r="C142" s="1"/>
      <c r="D142" s="1"/>
      <c r="E142" s="1"/>
      <c r="F142" s="1"/>
      <c r="G142" s="1"/>
    </row>
    <row r="143" spans="2:7" x14ac:dyDescent="0.25">
      <c r="B143" s="1"/>
      <c r="C143" s="1"/>
      <c r="D143" s="1"/>
      <c r="E143" s="1"/>
      <c r="F143" s="1"/>
      <c r="G143" s="1"/>
    </row>
    <row r="144" spans="2:7" x14ac:dyDescent="0.25">
      <c r="B144" s="1"/>
      <c r="C144" s="1"/>
      <c r="D144" s="1"/>
      <c r="E144" s="1"/>
      <c r="F144" s="1"/>
      <c r="G144" s="1"/>
    </row>
    <row r="145" spans="2:7" x14ac:dyDescent="0.25">
      <c r="B145" s="1"/>
      <c r="C145" s="1"/>
      <c r="D145" s="1"/>
      <c r="E145" s="1"/>
      <c r="F145" s="1"/>
      <c r="G145" s="1"/>
    </row>
    <row r="146" spans="2:7" x14ac:dyDescent="0.25">
      <c r="B146" s="1"/>
      <c r="C146" s="1"/>
      <c r="D146" s="1"/>
      <c r="E146" s="1"/>
      <c r="F146" s="1"/>
      <c r="G146" s="1"/>
    </row>
    <row r="147" spans="2:7" x14ac:dyDescent="0.25">
      <c r="B147" s="1"/>
      <c r="C147" s="1"/>
      <c r="D147" s="1"/>
      <c r="E147" s="1"/>
      <c r="F147" s="1"/>
      <c r="G147" s="1"/>
    </row>
    <row r="148" spans="2:7" x14ac:dyDescent="0.25">
      <c r="B148" s="1"/>
      <c r="C148" s="1"/>
      <c r="D148" s="1"/>
      <c r="E148" s="1"/>
      <c r="F148" s="1"/>
      <c r="G148" s="1"/>
    </row>
    <row r="149" spans="2:7" x14ac:dyDescent="0.25">
      <c r="B149" s="1"/>
      <c r="C149" s="1"/>
      <c r="D149" s="1"/>
      <c r="E149" s="1"/>
      <c r="F149" s="1"/>
      <c r="G149" s="1"/>
    </row>
    <row r="150" spans="2:7" x14ac:dyDescent="0.25">
      <c r="B150" s="1"/>
      <c r="C150" s="1"/>
      <c r="D150" s="1"/>
      <c r="E150" s="1"/>
      <c r="F150" s="1"/>
      <c r="G150" s="1"/>
    </row>
    <row r="151" spans="2:7" x14ac:dyDescent="0.25">
      <c r="B151" s="1"/>
      <c r="C151" s="1"/>
      <c r="D151" s="1"/>
      <c r="E151" s="1"/>
      <c r="F151" s="1"/>
      <c r="G151" s="1"/>
    </row>
    <row r="152" spans="2:7" x14ac:dyDescent="0.25">
      <c r="B152" s="1"/>
      <c r="C152" s="1"/>
      <c r="D152" s="1"/>
      <c r="E152" s="1"/>
      <c r="F152" s="1"/>
      <c r="G152" s="1"/>
    </row>
    <row r="153" spans="2:7" x14ac:dyDescent="0.25">
      <c r="B153" s="1"/>
      <c r="C153" s="1"/>
      <c r="D153" s="1"/>
      <c r="E153" s="1"/>
      <c r="F153" s="1"/>
      <c r="G153" s="1"/>
    </row>
    <row r="154" spans="2:7" x14ac:dyDescent="0.25">
      <c r="B154" s="1"/>
      <c r="C154" s="1"/>
      <c r="D154" s="1"/>
      <c r="E154" s="1"/>
      <c r="F154" s="1"/>
      <c r="G154" s="1"/>
    </row>
    <row r="155" spans="2:7" x14ac:dyDescent="0.25">
      <c r="B155" s="1"/>
      <c r="C155" s="1"/>
      <c r="D155" s="1"/>
      <c r="E155" s="1"/>
      <c r="F155" s="1"/>
      <c r="G155" s="1"/>
    </row>
    <row r="156" spans="2:7" x14ac:dyDescent="0.25">
      <c r="B156" s="1"/>
      <c r="C156" s="1"/>
      <c r="D156" s="1"/>
      <c r="E156" s="1"/>
      <c r="F156" s="1"/>
      <c r="G156" s="1"/>
    </row>
    <row r="157" spans="2:7" x14ac:dyDescent="0.25">
      <c r="B157" s="1"/>
      <c r="C157" s="1"/>
      <c r="D157" s="1"/>
      <c r="E157" s="1"/>
      <c r="F157" s="1"/>
      <c r="G157" s="1"/>
    </row>
    <row r="158" spans="2:7" x14ac:dyDescent="0.25">
      <c r="B158" s="1"/>
      <c r="C158" s="1"/>
      <c r="D158" s="1"/>
      <c r="E158" s="1"/>
      <c r="F158" s="1"/>
      <c r="G158" s="1"/>
    </row>
    <row r="159" spans="2:7" x14ac:dyDescent="0.25">
      <c r="B159" s="1"/>
      <c r="C159" s="1"/>
      <c r="D159" s="1"/>
      <c r="E159" s="1"/>
      <c r="F159" s="1"/>
      <c r="G159" s="1"/>
    </row>
    <row r="160" spans="2:7" x14ac:dyDescent="0.25">
      <c r="B160" s="1"/>
      <c r="C160" s="1"/>
      <c r="D160" s="1"/>
      <c r="E160" s="1"/>
      <c r="F160" s="1"/>
      <c r="G160" s="1"/>
    </row>
    <row r="161" spans="2:7" x14ac:dyDescent="0.25">
      <c r="B161" s="1"/>
      <c r="C161" s="1"/>
      <c r="D161" s="1"/>
      <c r="E161" s="1"/>
      <c r="F161" s="1"/>
      <c r="G161" s="1"/>
    </row>
    <row r="162" spans="2:7" x14ac:dyDescent="0.25">
      <c r="B162" s="1"/>
      <c r="C162" s="1"/>
      <c r="D162" s="1"/>
      <c r="E162" s="1"/>
      <c r="F162" s="1"/>
      <c r="G162" s="1"/>
    </row>
    <row r="163" spans="2:7" x14ac:dyDescent="0.25">
      <c r="B163" s="1"/>
      <c r="C163" s="1"/>
      <c r="D163" s="1"/>
      <c r="E163" s="1"/>
      <c r="F163" s="1"/>
      <c r="G163" s="1"/>
    </row>
    <row r="164" spans="2:7" x14ac:dyDescent="0.25">
      <c r="B164" s="1"/>
      <c r="C164" s="1"/>
      <c r="D164" s="1"/>
      <c r="E164" s="1"/>
      <c r="F164" s="1"/>
      <c r="G164" s="1"/>
    </row>
    <row r="165" spans="2:7" x14ac:dyDescent="0.25">
      <c r="B165" s="1"/>
      <c r="C165" s="1"/>
      <c r="D165" s="1"/>
      <c r="E165" s="1"/>
      <c r="F165" s="1"/>
      <c r="G165" s="1"/>
    </row>
    <row r="166" spans="2:7" x14ac:dyDescent="0.25">
      <c r="B166" s="1"/>
      <c r="C166" s="1"/>
      <c r="D166" s="1"/>
      <c r="E166" s="1"/>
      <c r="F166" s="1"/>
      <c r="G166" s="1"/>
    </row>
    <row r="167" spans="2:7" x14ac:dyDescent="0.25">
      <c r="B167" s="1"/>
      <c r="C167" s="1"/>
      <c r="D167" s="1"/>
      <c r="E167" s="1"/>
      <c r="F167" s="1"/>
      <c r="G167" s="1"/>
    </row>
    <row r="168" spans="2:7" x14ac:dyDescent="0.25">
      <c r="B168" s="1"/>
      <c r="C168" s="1"/>
      <c r="D168" s="1"/>
      <c r="E168" s="1"/>
      <c r="F168" s="1"/>
      <c r="G168" s="1"/>
    </row>
    <row r="169" spans="2:7" x14ac:dyDescent="0.25">
      <c r="B169" s="1"/>
      <c r="C169" s="1"/>
      <c r="D169" s="1"/>
      <c r="E169" s="1"/>
      <c r="F169" s="1"/>
      <c r="G169" s="1"/>
    </row>
    <row r="170" spans="2:7" x14ac:dyDescent="0.25">
      <c r="B170" s="1"/>
      <c r="C170" s="1"/>
      <c r="D170" s="1"/>
      <c r="E170" s="1"/>
      <c r="F170" s="1"/>
      <c r="G170" s="1"/>
    </row>
    <row r="171" spans="2:7" x14ac:dyDescent="0.25">
      <c r="B171" s="1"/>
      <c r="C171" s="1"/>
      <c r="D171" s="1"/>
      <c r="E171" s="1"/>
      <c r="F171" s="1"/>
      <c r="G171" s="1"/>
    </row>
    <row r="172" spans="2:7" x14ac:dyDescent="0.25">
      <c r="B172" s="1"/>
      <c r="C172" s="1"/>
      <c r="D172" s="1"/>
      <c r="E172" s="1"/>
      <c r="F172" s="1"/>
      <c r="G172" s="1"/>
    </row>
    <row r="173" spans="2:7" x14ac:dyDescent="0.25">
      <c r="B173" s="1"/>
      <c r="C173" s="1"/>
      <c r="D173" s="1"/>
      <c r="E173" s="1"/>
      <c r="F173" s="1"/>
      <c r="G173" s="1"/>
    </row>
    <row r="174" spans="2:7" x14ac:dyDescent="0.25">
      <c r="B174" s="1"/>
      <c r="C174" s="1"/>
      <c r="D174" s="1"/>
      <c r="E174" s="1"/>
      <c r="F174" s="1"/>
      <c r="G174" s="1"/>
    </row>
    <row r="175" spans="2:7" x14ac:dyDescent="0.25">
      <c r="B175" s="1"/>
      <c r="C175" s="1"/>
      <c r="D175" s="1"/>
      <c r="E175" s="1"/>
      <c r="F175" s="1"/>
      <c r="G175" s="1"/>
    </row>
    <row r="176" spans="2:7"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1"/>
      <c r="C1042" s="1"/>
      <c r="D1042" s="1"/>
      <c r="E1042" s="1"/>
      <c r="F1042" s="1"/>
      <c r="G1042" s="1"/>
    </row>
    <row r="1043" spans="2:7" x14ac:dyDescent="0.25">
      <c r="B1043" s="5"/>
      <c r="C1043" s="5"/>
      <c r="D1043" s="5"/>
      <c r="E1043" s="5"/>
      <c r="F1043" s="5"/>
      <c r="G1043" s="5"/>
    </row>
    <row r="1044" spans="2:7" x14ac:dyDescent="0.25">
      <c r="B1044" s="5"/>
      <c r="C1044" s="5"/>
      <c r="D1044" s="5"/>
      <c r="E1044" s="5"/>
      <c r="F1044" s="5"/>
      <c r="G1044" s="5"/>
    </row>
    <row r="1045" spans="2:7" x14ac:dyDescent="0.25">
      <c r="B1045" s="5"/>
      <c r="C1045" s="5"/>
      <c r="D1045" s="5"/>
      <c r="E1045" s="5"/>
      <c r="F1045" s="5"/>
      <c r="G1045" s="5"/>
    </row>
    <row r="1046" spans="2:7" x14ac:dyDescent="0.25">
      <c r="B1046" s="5"/>
      <c r="C1046" s="5"/>
      <c r="D1046" s="5"/>
      <c r="E1046" s="5"/>
      <c r="F1046" s="5"/>
      <c r="G1046" s="5"/>
    </row>
    <row r="1047" spans="2:7" x14ac:dyDescent="0.25">
      <c r="B1047" s="5"/>
      <c r="C1047" s="5"/>
      <c r="D1047" s="5"/>
      <c r="E1047" s="5"/>
      <c r="F1047" s="5"/>
      <c r="G1047" s="5"/>
    </row>
    <row r="1048" spans="2:7" x14ac:dyDescent="0.25">
      <c r="B1048" s="5"/>
      <c r="C1048" s="5"/>
      <c r="D1048" s="5"/>
      <c r="E1048" s="5"/>
      <c r="F1048" s="5"/>
      <c r="G1048" s="5"/>
    </row>
    <row r="1049" spans="2:7" x14ac:dyDescent="0.25">
      <c r="B1049" s="5"/>
      <c r="C1049" s="5"/>
      <c r="D1049" s="5"/>
      <c r="E1049" s="5"/>
      <c r="F1049" s="5"/>
      <c r="G1049" s="5"/>
    </row>
    <row r="1050" spans="2:7" x14ac:dyDescent="0.25">
      <c r="B1050" s="5"/>
      <c r="C1050" s="5"/>
      <c r="D1050" s="5"/>
      <c r="E1050" s="5"/>
      <c r="F1050" s="5"/>
      <c r="G1050" s="5"/>
    </row>
    <row r="1051" spans="2:7" x14ac:dyDescent="0.25">
      <c r="B1051" s="5"/>
      <c r="C1051" s="5"/>
      <c r="D1051" s="5"/>
      <c r="E1051" s="5"/>
      <c r="F1051" s="5"/>
      <c r="G1051" s="5"/>
    </row>
    <row r="1052" spans="2:7" x14ac:dyDescent="0.25">
      <c r="B1052" s="5"/>
      <c r="C1052" s="5"/>
      <c r="D1052" s="5"/>
      <c r="E1052" s="5"/>
      <c r="F1052" s="5"/>
      <c r="G1052" s="5"/>
    </row>
    <row r="1053" spans="2:7" x14ac:dyDescent="0.25">
      <c r="B1053" s="5"/>
      <c r="C1053" s="5"/>
      <c r="D1053" s="5"/>
      <c r="E1053" s="5"/>
      <c r="F1053" s="5"/>
      <c r="G1053" s="5"/>
    </row>
    <row r="1054" spans="2:7" x14ac:dyDescent="0.25">
      <c r="B1054" s="5"/>
      <c r="C1054" s="5"/>
      <c r="D1054" s="5"/>
      <c r="E1054" s="5"/>
      <c r="F1054" s="5"/>
      <c r="G1054" s="5"/>
    </row>
    <row r="1055" spans="2:7" x14ac:dyDescent="0.25">
      <c r="B1055" s="5"/>
      <c r="C1055" s="5"/>
      <c r="D1055" s="5"/>
      <c r="E1055" s="5"/>
      <c r="F1055" s="5"/>
      <c r="G1055" s="5"/>
    </row>
    <row r="1056" spans="2:7" x14ac:dyDescent="0.25">
      <c r="B1056" s="5"/>
      <c r="C1056" s="5"/>
      <c r="D1056" s="5"/>
      <c r="E1056" s="5"/>
      <c r="F1056" s="5"/>
      <c r="G1056" s="5"/>
    </row>
    <row r="1057" spans="2:7" x14ac:dyDescent="0.25">
      <c r="B1057" s="5"/>
      <c r="C1057" s="5"/>
      <c r="D1057" s="5"/>
      <c r="E1057" s="5"/>
      <c r="F1057" s="5"/>
      <c r="G1057" s="5"/>
    </row>
    <row r="1058" spans="2:7" x14ac:dyDescent="0.25">
      <c r="B1058" s="5"/>
      <c r="C1058" s="5"/>
      <c r="D1058" s="5"/>
      <c r="E1058" s="5"/>
      <c r="F1058" s="5"/>
      <c r="G1058" s="5"/>
    </row>
    <row r="1059" spans="2:7" x14ac:dyDescent="0.25">
      <c r="B1059" s="5"/>
      <c r="C1059" s="5"/>
      <c r="D1059" s="5"/>
      <c r="E1059" s="5"/>
      <c r="F1059" s="5"/>
      <c r="G1059" s="5"/>
    </row>
    <row r="1060" spans="2:7" x14ac:dyDescent="0.25">
      <c r="B1060" s="5"/>
      <c r="C1060" s="5"/>
      <c r="D1060" s="5"/>
      <c r="E1060" s="5"/>
      <c r="F1060" s="5"/>
      <c r="G1060" s="5"/>
    </row>
    <row r="1061" spans="2:7" x14ac:dyDescent="0.25">
      <c r="B1061" s="5"/>
      <c r="C1061" s="5"/>
      <c r="D1061" s="5"/>
      <c r="E1061" s="5"/>
      <c r="F1061" s="5"/>
      <c r="G1061" s="5"/>
    </row>
    <row r="1062" spans="2:7" x14ac:dyDescent="0.25">
      <c r="B1062" s="5"/>
      <c r="C1062" s="5"/>
      <c r="D1062" s="5"/>
      <c r="E1062" s="5"/>
      <c r="F1062" s="5"/>
      <c r="G1062" s="5"/>
    </row>
    <row r="1063" spans="2:7" x14ac:dyDescent="0.25">
      <c r="B1063" s="5"/>
      <c r="C1063" s="5"/>
      <c r="D1063" s="5"/>
      <c r="E1063" s="5"/>
      <c r="F1063" s="5"/>
      <c r="G1063" s="5"/>
    </row>
    <row r="1064" spans="2:7" x14ac:dyDescent="0.25">
      <c r="B1064" s="5"/>
      <c r="C1064" s="5"/>
      <c r="D1064" s="5"/>
      <c r="E1064" s="5"/>
      <c r="F1064" s="5"/>
      <c r="G1064" s="5"/>
    </row>
    <row r="1065" spans="2:7" x14ac:dyDescent="0.25">
      <c r="B1065" s="5"/>
      <c r="C1065" s="5"/>
      <c r="D1065" s="5"/>
      <c r="E1065" s="5"/>
      <c r="F1065" s="5"/>
      <c r="G1065" s="5"/>
    </row>
    <row r="1066" spans="2:7" x14ac:dyDescent="0.25">
      <c r="B1066" s="5"/>
      <c r="C1066" s="5"/>
      <c r="D1066" s="5"/>
      <c r="E1066" s="5"/>
      <c r="F1066" s="5"/>
      <c r="G1066" s="5"/>
    </row>
    <row r="1067" spans="2:7" x14ac:dyDescent="0.25">
      <c r="B1067" s="5"/>
      <c r="C1067" s="5"/>
      <c r="D1067" s="5"/>
      <c r="E1067" s="5"/>
      <c r="F1067" s="5"/>
      <c r="G1067" s="5"/>
    </row>
    <row r="1068" spans="2:7" x14ac:dyDescent="0.25">
      <c r="B1068" s="5"/>
      <c r="C1068" s="5"/>
      <c r="D1068" s="5"/>
      <c r="E1068" s="5"/>
      <c r="F1068" s="5"/>
      <c r="G1068" s="5"/>
    </row>
    <row r="1069" spans="2:7" x14ac:dyDescent="0.25">
      <c r="B1069" s="5"/>
      <c r="C1069" s="5"/>
      <c r="D1069" s="5"/>
      <c r="E1069" s="5"/>
      <c r="F1069" s="5"/>
      <c r="G1069" s="5"/>
    </row>
    <row r="1070" spans="2:7" x14ac:dyDescent="0.25">
      <c r="B1070" s="5"/>
      <c r="C1070" s="5"/>
      <c r="D1070" s="5"/>
      <c r="E1070" s="5"/>
      <c r="F1070" s="5"/>
      <c r="G1070" s="5"/>
    </row>
    <row r="1071" spans="2:7" x14ac:dyDescent="0.25">
      <c r="B1071" s="5"/>
      <c r="C1071" s="5"/>
      <c r="D1071" s="5"/>
      <c r="E1071" s="5"/>
      <c r="F1071" s="5"/>
      <c r="G1071" s="5"/>
    </row>
    <row r="1072" spans="2:7" x14ac:dyDescent="0.25">
      <c r="B1072" s="5"/>
      <c r="C1072" s="5"/>
      <c r="D1072" s="5"/>
      <c r="E1072" s="5"/>
      <c r="F1072" s="5"/>
      <c r="G1072" s="5"/>
    </row>
    <row r="1073" spans="2:7" x14ac:dyDescent="0.25">
      <c r="B1073" s="5"/>
      <c r="C1073" s="5"/>
      <c r="D1073" s="5"/>
      <c r="E1073" s="5"/>
      <c r="F1073" s="5"/>
      <c r="G1073" s="5"/>
    </row>
    <row r="1074" spans="2:7" x14ac:dyDescent="0.25">
      <c r="B1074" s="5"/>
      <c r="C1074" s="5"/>
      <c r="D1074" s="5"/>
      <c r="E1074" s="5"/>
      <c r="F1074" s="5"/>
      <c r="G1074" s="5"/>
    </row>
    <row r="1075" spans="2:7" x14ac:dyDescent="0.25">
      <c r="B1075" s="5"/>
      <c r="C1075" s="5"/>
      <c r="D1075" s="5"/>
      <c r="E1075" s="5"/>
      <c r="F1075" s="5"/>
      <c r="G1075" s="5"/>
    </row>
    <row r="1076" spans="2:7" x14ac:dyDescent="0.25">
      <c r="B1076" s="5"/>
      <c r="C1076" s="5"/>
      <c r="D1076" s="5"/>
      <c r="E1076" s="5"/>
      <c r="F1076" s="5"/>
      <c r="G1076" s="5"/>
    </row>
    <row r="1077" spans="2:7" x14ac:dyDescent="0.25">
      <c r="B1077" s="5"/>
      <c r="C1077" s="5"/>
      <c r="D1077" s="5"/>
      <c r="E1077" s="5"/>
      <c r="F1077" s="5"/>
      <c r="G1077" s="5"/>
    </row>
    <row r="1078" spans="2:7" x14ac:dyDescent="0.25">
      <c r="B1078" s="5"/>
      <c r="C1078" s="5"/>
      <c r="D1078" s="5"/>
      <c r="E1078" s="5"/>
      <c r="F1078" s="5"/>
      <c r="G1078" s="5"/>
    </row>
    <row r="1079" spans="2:7" x14ac:dyDescent="0.25">
      <c r="B1079" s="5"/>
      <c r="C1079" s="5"/>
      <c r="D1079" s="5"/>
      <c r="E1079" s="5"/>
      <c r="F1079" s="5"/>
      <c r="G1079" s="5"/>
    </row>
    <row r="1080" spans="2:7" x14ac:dyDescent="0.25">
      <c r="B1080" s="5"/>
      <c r="C1080" s="5"/>
      <c r="D1080" s="5"/>
      <c r="E1080" s="5"/>
      <c r="F1080" s="5"/>
      <c r="G1080" s="5"/>
    </row>
    <row r="1081" spans="2:7" x14ac:dyDescent="0.25">
      <c r="B1081" s="5"/>
      <c r="C1081" s="5"/>
      <c r="D1081" s="5"/>
      <c r="E1081" s="5"/>
      <c r="F1081" s="5"/>
      <c r="G1081" s="5"/>
    </row>
    <row r="1082" spans="2:7" x14ac:dyDescent="0.25">
      <c r="B1082" s="5"/>
      <c r="C1082" s="5"/>
      <c r="D1082" s="5"/>
      <c r="E1082" s="5"/>
      <c r="F1082" s="5"/>
      <c r="G1082" s="5"/>
    </row>
    <row r="1083" spans="2:7" x14ac:dyDescent="0.25">
      <c r="B1083" s="5"/>
      <c r="C1083" s="5"/>
      <c r="D1083" s="5"/>
      <c r="E1083" s="5"/>
      <c r="F1083" s="5"/>
      <c r="G1083" s="5"/>
    </row>
    <row r="1084" spans="2:7" x14ac:dyDescent="0.25">
      <c r="B1084" s="5"/>
      <c r="C1084" s="5"/>
      <c r="D1084" s="5"/>
      <c r="E1084" s="5"/>
      <c r="F1084" s="5"/>
      <c r="G1084" s="5"/>
    </row>
    <row r="1085" spans="2:7" x14ac:dyDescent="0.25">
      <c r="B1085" s="5"/>
      <c r="C1085" s="5"/>
      <c r="D1085" s="5"/>
      <c r="E1085" s="5"/>
      <c r="F1085" s="5"/>
      <c r="G1085" s="5"/>
    </row>
    <row r="1086" spans="2:7" x14ac:dyDescent="0.25">
      <c r="B1086" s="5"/>
      <c r="C1086" s="5"/>
      <c r="D1086" s="5"/>
      <c r="E1086" s="5"/>
      <c r="F1086" s="5"/>
      <c r="G1086" s="5"/>
    </row>
    <row r="1087" spans="2:7" x14ac:dyDescent="0.25">
      <c r="B1087" s="5"/>
      <c r="C1087" s="5"/>
      <c r="D1087" s="5"/>
      <c r="E1087" s="5"/>
      <c r="F1087" s="5"/>
      <c r="G1087" s="5"/>
    </row>
    <row r="1088" spans="2:7" x14ac:dyDescent="0.25">
      <c r="B1088" s="5"/>
      <c r="C1088" s="5"/>
      <c r="D1088" s="5"/>
      <c r="E1088" s="5"/>
      <c r="F1088" s="5"/>
      <c r="G1088" s="5"/>
    </row>
    <row r="1089" spans="2:7" x14ac:dyDescent="0.25">
      <c r="B1089" s="5"/>
      <c r="C1089" s="5"/>
      <c r="D1089" s="5"/>
      <c r="E1089" s="5"/>
      <c r="F1089" s="5"/>
      <c r="G1089" s="5"/>
    </row>
    <row r="1090" spans="2:7" x14ac:dyDescent="0.25">
      <c r="B1090" s="5"/>
      <c r="C1090" s="5"/>
      <c r="D1090" s="5"/>
      <c r="E1090" s="5"/>
      <c r="F1090" s="5"/>
      <c r="G1090" s="5"/>
    </row>
    <row r="1091" spans="2:7" x14ac:dyDescent="0.25">
      <c r="B1091" s="5"/>
      <c r="C1091" s="5"/>
      <c r="D1091" s="5"/>
      <c r="E1091" s="5"/>
      <c r="F1091" s="5"/>
      <c r="G1091" s="5"/>
    </row>
    <row r="1092" spans="2:7" x14ac:dyDescent="0.25">
      <c r="B1092" s="5"/>
      <c r="C1092" s="5"/>
      <c r="D1092" s="5"/>
      <c r="E1092" s="5"/>
      <c r="F1092" s="5"/>
      <c r="G1092" s="5"/>
    </row>
    <row r="1093" spans="2:7" x14ac:dyDescent="0.25">
      <c r="B1093" s="5"/>
      <c r="C1093" s="5"/>
      <c r="D1093" s="5"/>
      <c r="E1093" s="5"/>
      <c r="F1093" s="5"/>
      <c r="G1093" s="5"/>
    </row>
    <row r="1094" spans="2:7" x14ac:dyDescent="0.25">
      <c r="B1094" s="5"/>
      <c r="C1094" s="5"/>
      <c r="D1094" s="5"/>
      <c r="E1094" s="5"/>
      <c r="F1094" s="5"/>
      <c r="G1094" s="5"/>
    </row>
    <row r="1095" spans="2:7" x14ac:dyDescent="0.25">
      <c r="B1095" s="5"/>
      <c r="C1095" s="5"/>
      <c r="D1095" s="5"/>
      <c r="E1095" s="5"/>
      <c r="F1095" s="5"/>
      <c r="G1095" s="5"/>
    </row>
    <row r="1096" spans="2:7" x14ac:dyDescent="0.25">
      <c r="B1096" s="5"/>
      <c r="C1096" s="5"/>
      <c r="D1096" s="5"/>
      <c r="E1096" s="5"/>
      <c r="F1096" s="5"/>
      <c r="G1096" s="5"/>
    </row>
    <row r="1097" spans="2:7" x14ac:dyDescent="0.25">
      <c r="B1097" s="5"/>
      <c r="C1097" s="5"/>
      <c r="D1097" s="5"/>
      <c r="E1097" s="5"/>
      <c r="F1097" s="5"/>
      <c r="G1097" s="5"/>
    </row>
    <row r="1098" spans="2:7" x14ac:dyDescent="0.25">
      <c r="B1098" s="5"/>
      <c r="C1098" s="5"/>
      <c r="D1098" s="5"/>
      <c r="E1098" s="5"/>
      <c r="F1098" s="5"/>
      <c r="G1098" s="5"/>
    </row>
    <row r="1099" spans="2:7" x14ac:dyDescent="0.25">
      <c r="B1099" s="5"/>
      <c r="C1099" s="5"/>
      <c r="D1099" s="5"/>
      <c r="E1099" s="5"/>
      <c r="F1099" s="5"/>
      <c r="G1099" s="5"/>
    </row>
    <row r="1100" spans="2:7" x14ac:dyDescent="0.25">
      <c r="B1100" s="5"/>
      <c r="C1100" s="5"/>
      <c r="D1100" s="5"/>
      <c r="E1100" s="5"/>
      <c r="F1100" s="5"/>
      <c r="G1100" s="5"/>
    </row>
    <row r="1101" spans="2:7" x14ac:dyDescent="0.25">
      <c r="B1101" s="5"/>
      <c r="C1101" s="5"/>
      <c r="D1101" s="5"/>
      <c r="E1101" s="5"/>
      <c r="F1101" s="5"/>
      <c r="G1101" s="5"/>
    </row>
    <row r="1102" spans="2:7" x14ac:dyDescent="0.25">
      <c r="B1102" s="5"/>
      <c r="C1102" s="5"/>
      <c r="D1102" s="5"/>
      <c r="E1102" s="5"/>
      <c r="F1102" s="5"/>
      <c r="G1102" s="5"/>
    </row>
    <row r="1103" spans="2:7" x14ac:dyDescent="0.25">
      <c r="B1103" s="5"/>
      <c r="C1103" s="5"/>
      <c r="D1103" s="5"/>
      <c r="E1103" s="5"/>
      <c r="F1103" s="5"/>
      <c r="G1103" s="5"/>
    </row>
    <row r="1104" spans="2:7" x14ac:dyDescent="0.25">
      <c r="B1104" s="5"/>
      <c r="C1104" s="5"/>
      <c r="D1104" s="5"/>
      <c r="E1104" s="5"/>
      <c r="F1104" s="5"/>
      <c r="G1104" s="5"/>
    </row>
    <row r="1105" spans="2:7" x14ac:dyDescent="0.25">
      <c r="B1105" s="5"/>
      <c r="C1105" s="5"/>
      <c r="D1105" s="5"/>
      <c r="E1105" s="5"/>
      <c r="F1105" s="5"/>
      <c r="G1105" s="5"/>
    </row>
    <row r="1106" spans="2:7" x14ac:dyDescent="0.25">
      <c r="B1106" s="5"/>
      <c r="C1106" s="5"/>
      <c r="D1106" s="5"/>
      <c r="E1106" s="5"/>
      <c r="F1106" s="5"/>
      <c r="G1106" s="5"/>
    </row>
    <row r="1107" spans="2:7" x14ac:dyDescent="0.25">
      <c r="B1107" s="5"/>
      <c r="C1107" s="5"/>
      <c r="D1107" s="5"/>
      <c r="E1107" s="5"/>
      <c r="F1107" s="5"/>
      <c r="G1107" s="5"/>
    </row>
    <row r="1108" spans="2:7" x14ac:dyDescent="0.25">
      <c r="B1108" s="5"/>
      <c r="C1108" s="5"/>
      <c r="D1108" s="5"/>
      <c r="E1108" s="5"/>
      <c r="F1108" s="5"/>
      <c r="G1108" s="5"/>
    </row>
    <row r="1109" spans="2:7" x14ac:dyDescent="0.25">
      <c r="B1109" s="5"/>
      <c r="C1109" s="5"/>
      <c r="D1109" s="5"/>
      <c r="E1109" s="5"/>
      <c r="F1109" s="5"/>
      <c r="G1109" s="5"/>
    </row>
    <row r="1110" spans="2:7" x14ac:dyDescent="0.25">
      <c r="B1110" s="5"/>
      <c r="C1110" s="5"/>
      <c r="D1110" s="5"/>
      <c r="E1110" s="5"/>
      <c r="F1110" s="5"/>
      <c r="G1110" s="5"/>
    </row>
    <row r="1111" spans="2:7" x14ac:dyDescent="0.25">
      <c r="B1111" s="5"/>
      <c r="C1111" s="5"/>
      <c r="D1111" s="5"/>
      <c r="E1111" s="5"/>
      <c r="F1111" s="5"/>
      <c r="G1111" s="5"/>
    </row>
    <row r="1112" spans="2:7" x14ac:dyDescent="0.25">
      <c r="B1112" s="5"/>
      <c r="C1112" s="5"/>
      <c r="D1112" s="5"/>
      <c r="E1112" s="5"/>
      <c r="F1112" s="5"/>
      <c r="G1112" s="5"/>
    </row>
    <row r="1113" spans="2:7" x14ac:dyDescent="0.25">
      <c r="B1113" s="5"/>
      <c r="C1113" s="5"/>
      <c r="D1113" s="5"/>
      <c r="E1113" s="5"/>
      <c r="F1113" s="5"/>
      <c r="G1113" s="5"/>
    </row>
    <row r="1114" spans="2:7" x14ac:dyDescent="0.25">
      <c r="B1114" s="5"/>
      <c r="C1114" s="5"/>
      <c r="D1114" s="5"/>
      <c r="E1114" s="5"/>
      <c r="F1114" s="5"/>
      <c r="G1114" s="5"/>
    </row>
    <row r="1115" spans="2:7" x14ac:dyDescent="0.25">
      <c r="B1115" s="5"/>
      <c r="C1115" s="5"/>
      <c r="D1115" s="5"/>
      <c r="E1115" s="5"/>
      <c r="F1115" s="5"/>
      <c r="G1115" s="5"/>
    </row>
    <row r="1116" spans="2:7" x14ac:dyDescent="0.25">
      <c r="B1116" s="5"/>
      <c r="C1116" s="5"/>
      <c r="D1116" s="5"/>
      <c r="E1116" s="5"/>
      <c r="F1116" s="5"/>
      <c r="G1116" s="5"/>
    </row>
    <row r="1117" spans="2:7" x14ac:dyDescent="0.25">
      <c r="B1117" s="5"/>
      <c r="C1117" s="5"/>
      <c r="D1117" s="5"/>
      <c r="E1117" s="5"/>
      <c r="F1117" s="5"/>
      <c r="G1117" s="5"/>
    </row>
    <row r="1118" spans="2:7" x14ac:dyDescent="0.25">
      <c r="B1118" s="5"/>
      <c r="C1118" s="5"/>
      <c r="D1118" s="5"/>
      <c r="E1118" s="5"/>
      <c r="F1118" s="5"/>
      <c r="G1118" s="5"/>
    </row>
    <row r="1119" spans="2:7" x14ac:dyDescent="0.25">
      <c r="B1119" s="5"/>
      <c r="C1119" s="5"/>
      <c r="D1119" s="5"/>
      <c r="E1119" s="5"/>
      <c r="F1119" s="5"/>
      <c r="G1119" s="5"/>
    </row>
    <row r="1120" spans="2:7" x14ac:dyDescent="0.25">
      <c r="B1120" s="5"/>
      <c r="C1120" s="5"/>
      <c r="D1120" s="5"/>
      <c r="E1120" s="5"/>
      <c r="F1120" s="5"/>
      <c r="G1120" s="5"/>
    </row>
    <row r="1121" spans="2:7" x14ac:dyDescent="0.25">
      <c r="B1121" s="5"/>
      <c r="C1121" s="5"/>
      <c r="D1121" s="5"/>
      <c r="E1121" s="5"/>
      <c r="F1121" s="5"/>
      <c r="G1121" s="5"/>
    </row>
    <row r="1122" spans="2:7" x14ac:dyDescent="0.25">
      <c r="B1122" s="5"/>
      <c r="C1122" s="5"/>
      <c r="D1122" s="5"/>
      <c r="E1122" s="5"/>
      <c r="F1122" s="5"/>
      <c r="G1122" s="5"/>
    </row>
    <row r="1123" spans="2:7" x14ac:dyDescent="0.25">
      <c r="B1123" s="5"/>
      <c r="C1123" s="5"/>
      <c r="D1123" s="5"/>
      <c r="E1123" s="5"/>
      <c r="F1123" s="5"/>
      <c r="G1123" s="5"/>
    </row>
    <row r="1124" spans="2:7" x14ac:dyDescent="0.25">
      <c r="B1124" s="5"/>
      <c r="C1124" s="5"/>
      <c r="D1124" s="5"/>
      <c r="E1124" s="5"/>
      <c r="F1124" s="5"/>
      <c r="G1124" s="5"/>
    </row>
    <row r="1125" spans="2:7" x14ac:dyDescent="0.25">
      <c r="B1125" s="5"/>
      <c r="C1125" s="5"/>
      <c r="D1125" s="5"/>
      <c r="E1125" s="5"/>
      <c r="F1125" s="5"/>
      <c r="G1125" s="5"/>
    </row>
    <row r="1126" spans="2:7" x14ac:dyDescent="0.25">
      <c r="B1126" s="5"/>
      <c r="C1126" s="5"/>
      <c r="D1126" s="5"/>
      <c r="E1126" s="5"/>
      <c r="F1126" s="5"/>
      <c r="G1126" s="5"/>
    </row>
    <row r="1127" spans="2:7" x14ac:dyDescent="0.25">
      <c r="B1127" s="5"/>
      <c r="C1127" s="5"/>
      <c r="D1127" s="5"/>
      <c r="E1127" s="5"/>
      <c r="F1127" s="5"/>
      <c r="G1127" s="5"/>
    </row>
    <row r="1128" spans="2:7" x14ac:dyDescent="0.25">
      <c r="B1128" s="5"/>
      <c r="C1128" s="5"/>
      <c r="D1128" s="5"/>
      <c r="E1128" s="5"/>
      <c r="F1128" s="5"/>
      <c r="G1128" s="5"/>
    </row>
    <row r="1129" spans="2:7" x14ac:dyDescent="0.25">
      <c r="B1129" s="5"/>
      <c r="C1129" s="5"/>
      <c r="D1129" s="5"/>
      <c r="E1129" s="5"/>
      <c r="F1129" s="5"/>
      <c r="G1129" s="5"/>
    </row>
    <row r="1130" spans="2:7" x14ac:dyDescent="0.25">
      <c r="B1130" s="5"/>
      <c r="C1130" s="5"/>
      <c r="D1130" s="5"/>
      <c r="E1130" s="5"/>
      <c r="F1130" s="5"/>
      <c r="G1130" s="5"/>
    </row>
    <row r="1131" spans="2:7" x14ac:dyDescent="0.25">
      <c r="B1131" s="5"/>
      <c r="C1131" s="5"/>
      <c r="D1131" s="5"/>
      <c r="E1131" s="5"/>
      <c r="F1131" s="5"/>
      <c r="G1131" s="5"/>
    </row>
    <row r="1132" spans="2:7" x14ac:dyDescent="0.25">
      <c r="B1132" s="5"/>
      <c r="C1132" s="5"/>
      <c r="D1132" s="5"/>
      <c r="E1132" s="5"/>
      <c r="F1132" s="5"/>
      <c r="G1132" s="5"/>
    </row>
    <row r="1133" spans="2:7" x14ac:dyDescent="0.25">
      <c r="B1133" s="5"/>
      <c r="C1133" s="5"/>
      <c r="D1133" s="5"/>
      <c r="E1133" s="5"/>
      <c r="F1133" s="5"/>
      <c r="G1133" s="5"/>
    </row>
    <row r="1134" spans="2:7" x14ac:dyDescent="0.25">
      <c r="B1134" s="5"/>
      <c r="C1134" s="5"/>
      <c r="D1134" s="5"/>
      <c r="E1134" s="5"/>
      <c r="F1134" s="5"/>
      <c r="G1134" s="5"/>
    </row>
    <row r="1135" spans="2:7" x14ac:dyDescent="0.25">
      <c r="B1135" s="5"/>
      <c r="C1135" s="5"/>
      <c r="D1135" s="5"/>
      <c r="E1135" s="5"/>
      <c r="F1135" s="5"/>
      <c r="G1135" s="5"/>
    </row>
    <row r="1136" spans="2:7" x14ac:dyDescent="0.25">
      <c r="B1136" s="5"/>
      <c r="C1136" s="5"/>
      <c r="D1136" s="5"/>
      <c r="E1136" s="5"/>
      <c r="F1136" s="5"/>
      <c r="G1136" s="5"/>
    </row>
    <row r="1137" spans="2:7" x14ac:dyDescent="0.25">
      <c r="B1137" s="5"/>
      <c r="C1137" s="5"/>
      <c r="D1137" s="5"/>
      <c r="E1137" s="5"/>
      <c r="F1137" s="5"/>
      <c r="G1137" s="5"/>
    </row>
    <row r="1138" spans="2:7" x14ac:dyDescent="0.25">
      <c r="B1138" s="5"/>
      <c r="C1138" s="5"/>
      <c r="D1138" s="5"/>
      <c r="E1138" s="5"/>
      <c r="F1138" s="5"/>
      <c r="G1138" s="5"/>
    </row>
    <row r="1139" spans="2:7" x14ac:dyDescent="0.25">
      <c r="B1139" s="5"/>
      <c r="C1139" s="5"/>
      <c r="D1139" s="5"/>
      <c r="E1139" s="5"/>
      <c r="F1139" s="5"/>
      <c r="G1139" s="5"/>
    </row>
    <row r="1140" spans="2:7" x14ac:dyDescent="0.25">
      <c r="B1140" s="5"/>
      <c r="C1140" s="5"/>
      <c r="D1140" s="5"/>
      <c r="E1140" s="5"/>
      <c r="F1140" s="5"/>
      <c r="G1140" s="5"/>
    </row>
    <row r="1141" spans="2:7" x14ac:dyDescent="0.25">
      <c r="B1141" s="5"/>
      <c r="C1141" s="5"/>
      <c r="D1141" s="5"/>
      <c r="E1141" s="5"/>
      <c r="F1141" s="5"/>
      <c r="G1141" s="5"/>
    </row>
    <row r="1142" spans="2:7" x14ac:dyDescent="0.25">
      <c r="B1142" s="5"/>
      <c r="C1142" s="5"/>
      <c r="D1142" s="5"/>
      <c r="E1142" s="5"/>
      <c r="F1142" s="5"/>
      <c r="G1142" s="5"/>
    </row>
    <row r="1143" spans="2:7" x14ac:dyDescent="0.25">
      <c r="B1143" s="5"/>
      <c r="C1143" s="5"/>
      <c r="D1143" s="5"/>
      <c r="E1143" s="5"/>
      <c r="F1143" s="5"/>
      <c r="G1143" s="5"/>
    </row>
    <row r="1144" spans="2:7" x14ac:dyDescent="0.25">
      <c r="B1144" s="5"/>
      <c r="C1144" s="5"/>
      <c r="D1144" s="5"/>
      <c r="E1144" s="5"/>
      <c r="F1144" s="5"/>
      <c r="G1144" s="5"/>
    </row>
    <row r="1145" spans="2:7" x14ac:dyDescent="0.25">
      <c r="B1145" s="5"/>
      <c r="C1145" s="5"/>
      <c r="D1145" s="5"/>
      <c r="E1145" s="5"/>
      <c r="F1145" s="5"/>
      <c r="G1145" s="5"/>
    </row>
    <row r="1146" spans="2:7" x14ac:dyDescent="0.25">
      <c r="B1146" s="5"/>
      <c r="C1146" s="5"/>
      <c r="D1146" s="5"/>
      <c r="E1146" s="5"/>
      <c r="F1146" s="5"/>
      <c r="G1146" s="5"/>
    </row>
    <row r="1147" spans="2:7" x14ac:dyDescent="0.25">
      <c r="B1147" s="5"/>
      <c r="C1147" s="5"/>
      <c r="D1147" s="5"/>
      <c r="E1147" s="5"/>
      <c r="F1147" s="5"/>
      <c r="G1147" s="5"/>
    </row>
    <row r="1148" spans="2:7" x14ac:dyDescent="0.25">
      <c r="B1148" s="5"/>
      <c r="C1148" s="5"/>
      <c r="D1148" s="5"/>
      <c r="E1148" s="5"/>
      <c r="F1148" s="5"/>
      <c r="G1148" s="5"/>
    </row>
    <row r="1149" spans="2:7" x14ac:dyDescent="0.25">
      <c r="B1149" s="5"/>
      <c r="C1149" s="5"/>
      <c r="D1149" s="5"/>
      <c r="E1149" s="5"/>
      <c r="F1149" s="5"/>
      <c r="G1149" s="5"/>
    </row>
    <row r="1150" spans="2:7" x14ac:dyDescent="0.25">
      <c r="B1150" s="5"/>
      <c r="C1150" s="5"/>
      <c r="D1150" s="5"/>
      <c r="E1150" s="5"/>
      <c r="F1150" s="5"/>
      <c r="G1150" s="5"/>
    </row>
    <row r="1151" spans="2:7" x14ac:dyDescent="0.25">
      <c r="B1151" s="5"/>
      <c r="C1151" s="5"/>
      <c r="D1151" s="5"/>
      <c r="E1151" s="5"/>
      <c r="F1151" s="5"/>
      <c r="G1151" s="5"/>
    </row>
    <row r="1152" spans="2:7" x14ac:dyDescent="0.25">
      <c r="B1152" s="5"/>
      <c r="C1152" s="5"/>
      <c r="D1152" s="5"/>
      <c r="E1152" s="5"/>
      <c r="F1152" s="5"/>
      <c r="G1152" s="5"/>
    </row>
    <row r="1153" spans="2:7" x14ac:dyDescent="0.25">
      <c r="B1153" s="5"/>
      <c r="C1153" s="5"/>
      <c r="D1153" s="5"/>
      <c r="E1153" s="5"/>
      <c r="F1153" s="5"/>
      <c r="G1153" s="5"/>
    </row>
    <row r="1154" spans="2:7" x14ac:dyDescent="0.25">
      <c r="B1154" s="5"/>
      <c r="C1154" s="5"/>
      <c r="D1154" s="5"/>
      <c r="E1154" s="5"/>
      <c r="F1154" s="5"/>
      <c r="G1154" s="5"/>
    </row>
    <row r="1155" spans="2:7" x14ac:dyDescent="0.25">
      <c r="B1155" s="5"/>
      <c r="C1155" s="5"/>
      <c r="D1155" s="5"/>
      <c r="E1155" s="5"/>
      <c r="F1155" s="5"/>
      <c r="G1155" s="5"/>
    </row>
    <row r="1156" spans="2:7" x14ac:dyDescent="0.25">
      <c r="B1156" s="5"/>
      <c r="C1156" s="5"/>
      <c r="D1156" s="5"/>
      <c r="E1156" s="5"/>
      <c r="F1156" s="5"/>
      <c r="G1156" s="5"/>
    </row>
    <row r="1157" spans="2:7" x14ac:dyDescent="0.25">
      <c r="B1157" s="5"/>
      <c r="C1157" s="5"/>
      <c r="D1157" s="5"/>
      <c r="E1157" s="5"/>
      <c r="F1157" s="5"/>
      <c r="G1157" s="5"/>
    </row>
    <row r="1158" spans="2:7" x14ac:dyDescent="0.25">
      <c r="B1158" s="5"/>
      <c r="C1158" s="5"/>
      <c r="D1158" s="5"/>
      <c r="E1158" s="5"/>
      <c r="F1158" s="5"/>
      <c r="G1158" s="5"/>
    </row>
    <row r="1159" spans="2:7" x14ac:dyDescent="0.25">
      <c r="B1159" s="5"/>
      <c r="C1159" s="5"/>
      <c r="D1159" s="5"/>
      <c r="E1159" s="5"/>
      <c r="F1159" s="5"/>
      <c r="G1159" s="5"/>
    </row>
    <row r="1160" spans="2:7" x14ac:dyDescent="0.25">
      <c r="B1160" s="5"/>
      <c r="C1160" s="5"/>
      <c r="D1160" s="5"/>
      <c r="E1160" s="5"/>
      <c r="F1160" s="5"/>
      <c r="G1160" s="5"/>
    </row>
    <row r="1161" spans="2:7" x14ac:dyDescent="0.25">
      <c r="B1161" s="5"/>
      <c r="C1161" s="5"/>
      <c r="D1161" s="5"/>
      <c r="E1161" s="5"/>
      <c r="F1161" s="5"/>
      <c r="G1161" s="5"/>
    </row>
    <row r="1162" spans="2:7" x14ac:dyDescent="0.25">
      <c r="B1162" s="5"/>
      <c r="C1162" s="5"/>
      <c r="D1162" s="5"/>
      <c r="E1162" s="5"/>
      <c r="F1162" s="5"/>
      <c r="G1162" s="5"/>
    </row>
    <row r="1163" spans="2:7" x14ac:dyDescent="0.25">
      <c r="B1163" s="5"/>
      <c r="C1163" s="5"/>
      <c r="D1163" s="5"/>
      <c r="E1163" s="5"/>
      <c r="F1163" s="5"/>
      <c r="G1163" s="5"/>
    </row>
    <row r="1164" spans="2:7" x14ac:dyDescent="0.25">
      <c r="B1164" s="5"/>
      <c r="C1164" s="5"/>
      <c r="D1164" s="5"/>
      <c r="E1164" s="5"/>
      <c r="F1164" s="5"/>
      <c r="G1164" s="5"/>
    </row>
    <row r="1165" spans="2:7" x14ac:dyDescent="0.25">
      <c r="B1165" s="5"/>
      <c r="C1165" s="5"/>
      <c r="D1165" s="5"/>
      <c r="E1165" s="5"/>
      <c r="F1165" s="5"/>
      <c r="G1165" s="5"/>
    </row>
    <row r="1166" spans="2:7" x14ac:dyDescent="0.25">
      <c r="B1166" s="5"/>
      <c r="C1166" s="5"/>
      <c r="D1166" s="5"/>
      <c r="E1166" s="5"/>
      <c r="F1166" s="5"/>
      <c r="G1166" s="5"/>
    </row>
    <row r="1167" spans="2:7" x14ac:dyDescent="0.25">
      <c r="B1167" s="5"/>
      <c r="C1167" s="5"/>
      <c r="D1167" s="5"/>
      <c r="E1167" s="5"/>
      <c r="F1167" s="5"/>
      <c r="G1167" s="5"/>
    </row>
    <row r="1168" spans="2:7" x14ac:dyDescent="0.25">
      <c r="B1168" s="5"/>
      <c r="C1168" s="5"/>
      <c r="D1168" s="5"/>
      <c r="E1168" s="5"/>
      <c r="F1168" s="5"/>
      <c r="G1168" s="5"/>
    </row>
    <row r="1169" spans="2:7" x14ac:dyDescent="0.25">
      <c r="B1169" s="5"/>
      <c r="C1169" s="5"/>
      <c r="D1169" s="5"/>
      <c r="E1169" s="5"/>
      <c r="F1169" s="5"/>
      <c r="G1169" s="5"/>
    </row>
  </sheetData>
  <mergeCells count="4">
    <mergeCell ref="A5:I5"/>
    <mergeCell ref="C2:F2"/>
    <mergeCell ref="C3:F3"/>
    <mergeCell ref="C1:F1"/>
  </mergeCells>
  <conditionalFormatting sqref="I8:I73">
    <cfRule type="containsText" dxfId="3" priority="1" operator="containsText" text="NOT IN GLOSSARY">
      <formula>NOT(ISERROR(SEARCH("NOT IN GLOSSARY",I8)))</formula>
    </cfRule>
  </conditionalFormatting>
  <dataValidations count="1">
    <dataValidation type="list" allowBlank="1" showInputMessage="1" sqref="E8:E73" xr:uid="{59145B04-EF2B-4885-8EB8-9BB455A6A8DC}">
      <formula1>Factors_List</formula1>
    </dataValidation>
  </dataValidations>
  <pageMargins left="0.7" right="0.7" top="0.75" bottom="0.75" header="0.3" footer="0.3"/>
  <pageSetup orientation="portrait" r:id="rId1"/>
  <ignoredErrors>
    <ignoredError sqref="E15" listDataValidation="1"/>
  </ignoredError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6</xdr:col>
                    <xdr:colOff>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7</xdr:col>
                    <xdr:colOff>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2:H53"/>
  <sheetViews>
    <sheetView topLeftCell="B1" workbookViewId="0">
      <pane ySplit="5" topLeftCell="A6" activePane="bottomLeft" state="frozen"/>
      <selection pane="bottomLeft" activeCell="A17" sqref="A17"/>
    </sheetView>
  </sheetViews>
  <sheetFormatPr defaultRowHeight="15" x14ac:dyDescent="0.25"/>
  <cols>
    <col min="1" max="1" width="46.28515625" customWidth="1"/>
    <col min="2" max="2" width="45.7109375" customWidth="1"/>
    <col min="3" max="3" width="32.140625" customWidth="1"/>
    <col min="4" max="4" width="10.5703125" customWidth="1"/>
    <col min="5" max="5" width="27.140625" customWidth="1"/>
    <col min="6" max="6" width="9.85546875" customWidth="1"/>
    <col min="7" max="7" width="40.42578125" bestFit="1" customWidth="1"/>
    <col min="8" max="8" width="28.7109375" bestFit="1" customWidth="1"/>
  </cols>
  <sheetData>
    <row r="2" spans="1:8" ht="42.75" customHeight="1" x14ac:dyDescent="0.25"/>
    <row r="3" spans="1:8" x14ac:dyDescent="0.25">
      <c r="A3" s="44" t="s">
        <v>221</v>
      </c>
      <c r="B3" s="44"/>
      <c r="C3" s="44"/>
    </row>
    <row r="4" spans="1:8" x14ac:dyDescent="0.25">
      <c r="A4" s="27" t="str">
        <f>'Thematic Analysis'!E6</f>
        <v>Concern</v>
      </c>
      <c r="B4" s="27" t="str">
        <f>'Thematic Analysis'!F6</f>
        <v>Possible Solutions</v>
      </c>
      <c r="C4" s="27" t="str">
        <f>'Thematic Analysis'!G6</f>
        <v>Organizational Values</v>
      </c>
      <c r="E4" s="11" t="s">
        <v>214</v>
      </c>
      <c r="G4" s="44" t="s">
        <v>213</v>
      </c>
      <c r="H4" s="44"/>
    </row>
    <row r="5" spans="1:8" ht="30" x14ac:dyDescent="0.25">
      <c r="A5" s="12" t="s">
        <v>210</v>
      </c>
      <c r="B5" s="12" t="s">
        <v>211</v>
      </c>
      <c r="C5" s="12" t="s">
        <v>212</v>
      </c>
      <c r="E5" s="3" t="s">
        <v>215</v>
      </c>
      <c r="G5" s="22" t="s">
        <v>216</v>
      </c>
      <c r="H5" s="22" t="s">
        <v>272</v>
      </c>
    </row>
    <row r="6" spans="1:8" x14ac:dyDescent="0.25">
      <c r="A6" s="1" t="s">
        <v>346</v>
      </c>
      <c r="B6" s="1" t="s">
        <v>183</v>
      </c>
      <c r="C6" s="1" t="s">
        <v>263</v>
      </c>
      <c r="E6" s="3"/>
      <c r="G6" s="23" t="s">
        <v>183</v>
      </c>
      <c r="H6" s="23" t="s">
        <v>263</v>
      </c>
    </row>
    <row r="7" spans="1:8" x14ac:dyDescent="0.25">
      <c r="A7" s="1" t="s">
        <v>344</v>
      </c>
      <c r="B7" s="1" t="s">
        <v>183</v>
      </c>
      <c r="C7" s="1" t="s">
        <v>263</v>
      </c>
      <c r="E7" s="43" t="s">
        <v>274</v>
      </c>
      <c r="G7" s="23" t="s">
        <v>181</v>
      </c>
      <c r="H7" s="23" t="s">
        <v>115</v>
      </c>
    </row>
    <row r="8" spans="1:8" x14ac:dyDescent="0.25">
      <c r="A8" s="1" t="s">
        <v>362</v>
      </c>
      <c r="B8" s="1" t="s">
        <v>181</v>
      </c>
      <c r="C8" s="1" t="s">
        <v>115</v>
      </c>
      <c r="G8" s="23" t="s">
        <v>188</v>
      </c>
      <c r="H8" s="23" t="s">
        <v>110</v>
      </c>
    </row>
    <row r="9" spans="1:8" x14ac:dyDescent="0.25">
      <c r="A9" s="1" t="s">
        <v>364</v>
      </c>
      <c r="B9" s="1" t="s">
        <v>185</v>
      </c>
      <c r="C9" s="1" t="s">
        <v>268</v>
      </c>
      <c r="G9" s="23" t="s">
        <v>184</v>
      </c>
      <c r="H9" s="23" t="s">
        <v>111</v>
      </c>
    </row>
    <row r="10" spans="1:8" x14ac:dyDescent="0.25">
      <c r="A10" s="1" t="s">
        <v>358</v>
      </c>
      <c r="B10" s="1" t="s">
        <v>188</v>
      </c>
      <c r="C10" s="1" t="s">
        <v>110</v>
      </c>
      <c r="G10" s="23" t="s">
        <v>182</v>
      </c>
      <c r="H10" s="23" t="s">
        <v>113</v>
      </c>
    </row>
    <row r="11" spans="1:8" x14ac:dyDescent="0.25">
      <c r="A11" s="1" t="s">
        <v>377</v>
      </c>
      <c r="B11" s="1" t="s">
        <v>184</v>
      </c>
      <c r="C11" s="1" t="s">
        <v>111</v>
      </c>
      <c r="G11" s="23" t="s">
        <v>198</v>
      </c>
      <c r="H11" s="23" t="s">
        <v>117</v>
      </c>
    </row>
    <row r="12" spans="1:8" x14ac:dyDescent="0.25">
      <c r="A12" s="1" t="s">
        <v>363</v>
      </c>
      <c r="B12" s="1" t="s">
        <v>181</v>
      </c>
      <c r="C12" s="1" t="s">
        <v>115</v>
      </c>
      <c r="G12" s="23" t="s">
        <v>197</v>
      </c>
      <c r="H12" s="23" t="s">
        <v>116</v>
      </c>
    </row>
    <row r="13" spans="1:8" x14ac:dyDescent="0.25">
      <c r="A13" s="1" t="s">
        <v>356</v>
      </c>
      <c r="B13" s="1" t="s">
        <v>198</v>
      </c>
      <c r="C13" s="1" t="s">
        <v>117</v>
      </c>
      <c r="G13" s="23" t="s">
        <v>186</v>
      </c>
      <c r="H13" s="23" t="s">
        <v>109</v>
      </c>
    </row>
    <row r="14" spans="1:8" x14ac:dyDescent="0.25">
      <c r="A14" s="1" t="s">
        <v>352</v>
      </c>
      <c r="B14" s="1" t="s">
        <v>182</v>
      </c>
      <c r="C14" s="1" t="s">
        <v>113</v>
      </c>
      <c r="G14" s="23" t="s">
        <v>189</v>
      </c>
      <c r="H14" s="23" t="s">
        <v>114</v>
      </c>
    </row>
    <row r="15" spans="1:8" x14ac:dyDescent="0.25">
      <c r="A15" s="1" t="s">
        <v>354</v>
      </c>
      <c r="B15" s="1" t="s">
        <v>182</v>
      </c>
      <c r="C15" s="1" t="s">
        <v>113</v>
      </c>
      <c r="G15" s="23" t="s">
        <v>190</v>
      </c>
      <c r="H15" s="23" t="s">
        <v>264</v>
      </c>
    </row>
    <row r="16" spans="1:8" x14ac:dyDescent="0.25">
      <c r="A16" s="1" t="s">
        <v>380</v>
      </c>
      <c r="B16" s="1" t="s">
        <v>197</v>
      </c>
      <c r="C16" s="1" t="s">
        <v>116</v>
      </c>
      <c r="G16" s="23" t="s">
        <v>187</v>
      </c>
      <c r="H16" s="23" t="s">
        <v>112</v>
      </c>
    </row>
    <row r="17" spans="1:8" x14ac:dyDescent="0.25">
      <c r="A17" s="1" t="s">
        <v>360</v>
      </c>
      <c r="B17" s="1" t="s">
        <v>186</v>
      </c>
      <c r="C17" s="1" t="s">
        <v>109</v>
      </c>
      <c r="G17" s="23" t="s">
        <v>196</v>
      </c>
      <c r="H17" s="23" t="s">
        <v>265</v>
      </c>
    </row>
    <row r="18" spans="1:8" x14ac:dyDescent="0.25">
      <c r="A18" s="1" t="s">
        <v>366</v>
      </c>
      <c r="B18" s="1" t="s">
        <v>189</v>
      </c>
      <c r="C18" s="1" t="s">
        <v>114</v>
      </c>
      <c r="G18" s="23" t="s">
        <v>194</v>
      </c>
      <c r="H18" s="23" t="s">
        <v>266</v>
      </c>
    </row>
    <row r="19" spans="1:8" x14ac:dyDescent="0.25">
      <c r="A19" s="1" t="s">
        <v>345</v>
      </c>
      <c r="B19" s="1" t="s">
        <v>183</v>
      </c>
      <c r="C19" s="1" t="s">
        <v>263</v>
      </c>
      <c r="G19" s="23" t="s">
        <v>195</v>
      </c>
      <c r="H19" s="23" t="s">
        <v>267</v>
      </c>
    </row>
    <row r="20" spans="1:8" x14ac:dyDescent="0.25">
      <c r="A20" s="1" t="s">
        <v>374</v>
      </c>
      <c r="B20" s="1" t="s">
        <v>195</v>
      </c>
      <c r="C20" s="1" t="s">
        <v>267</v>
      </c>
      <c r="G20" s="23" t="s">
        <v>185</v>
      </c>
      <c r="H20" s="23" t="s">
        <v>268</v>
      </c>
    </row>
    <row r="21" spans="1:8" x14ac:dyDescent="0.25">
      <c r="A21" s="1" t="s">
        <v>355</v>
      </c>
      <c r="B21" s="1" t="s">
        <v>182</v>
      </c>
      <c r="C21" s="1" t="s">
        <v>113</v>
      </c>
      <c r="G21" s="23" t="s">
        <v>191</v>
      </c>
      <c r="H21" s="23" t="s">
        <v>269</v>
      </c>
    </row>
    <row r="22" spans="1:8" x14ac:dyDescent="0.25">
      <c r="A22" s="1" t="s">
        <v>104</v>
      </c>
      <c r="B22" s="1" t="s">
        <v>182</v>
      </c>
      <c r="C22" s="1" t="s">
        <v>113</v>
      </c>
      <c r="G22" s="23" t="s">
        <v>192</v>
      </c>
      <c r="H22" s="23" t="s">
        <v>270</v>
      </c>
    </row>
    <row r="23" spans="1:8" x14ac:dyDescent="0.25">
      <c r="A23" s="1" t="s">
        <v>106</v>
      </c>
      <c r="B23" s="1" t="s">
        <v>190</v>
      </c>
      <c r="C23" s="1" t="s">
        <v>264</v>
      </c>
      <c r="G23" s="23" t="s">
        <v>193</v>
      </c>
      <c r="H23" s="23" t="s">
        <v>271</v>
      </c>
    </row>
    <row r="24" spans="1:8" x14ac:dyDescent="0.25">
      <c r="A24" s="1" t="s">
        <v>383</v>
      </c>
      <c r="B24" s="1" t="s">
        <v>192</v>
      </c>
      <c r="C24" s="1" t="s">
        <v>270</v>
      </c>
      <c r="G24" s="36" t="s">
        <v>273</v>
      </c>
      <c r="H24" s="36" t="s">
        <v>568</v>
      </c>
    </row>
    <row r="25" spans="1:8" x14ac:dyDescent="0.25">
      <c r="A25" s="1" t="s">
        <v>361</v>
      </c>
      <c r="B25" s="1" t="s">
        <v>186</v>
      </c>
      <c r="C25" s="1" t="s">
        <v>109</v>
      </c>
    </row>
    <row r="26" spans="1:8" x14ac:dyDescent="0.25">
      <c r="A26" s="1" t="s">
        <v>353</v>
      </c>
      <c r="B26" s="1" t="s">
        <v>182</v>
      </c>
      <c r="C26" s="1" t="s">
        <v>113</v>
      </c>
    </row>
    <row r="27" spans="1:8" x14ac:dyDescent="0.25">
      <c r="A27" s="1" t="s">
        <v>103</v>
      </c>
      <c r="B27" s="1" t="s">
        <v>193</v>
      </c>
      <c r="C27" s="1" t="s">
        <v>271</v>
      </c>
    </row>
    <row r="28" spans="1:8" x14ac:dyDescent="0.25">
      <c r="A28" s="1" t="s">
        <v>375</v>
      </c>
      <c r="B28" s="1" t="s">
        <v>196</v>
      </c>
      <c r="C28" s="1" t="s">
        <v>265</v>
      </c>
    </row>
    <row r="29" spans="1:8" x14ac:dyDescent="0.25">
      <c r="A29" s="1" t="s">
        <v>108</v>
      </c>
      <c r="B29" s="1" t="s">
        <v>186</v>
      </c>
      <c r="C29" s="1" t="s">
        <v>109</v>
      </c>
    </row>
    <row r="30" spans="1:8" x14ac:dyDescent="0.25">
      <c r="A30" s="1" t="s">
        <v>348</v>
      </c>
      <c r="B30" s="1" t="s">
        <v>187</v>
      </c>
      <c r="C30" s="1" t="s">
        <v>112</v>
      </c>
    </row>
    <row r="31" spans="1:8" x14ac:dyDescent="0.25">
      <c r="A31" s="1" t="s">
        <v>370</v>
      </c>
      <c r="B31" s="1" t="s">
        <v>194</v>
      </c>
      <c r="C31" s="1" t="s">
        <v>266</v>
      </c>
    </row>
    <row r="32" spans="1:8" x14ac:dyDescent="0.25">
      <c r="A32" s="1" t="s">
        <v>349</v>
      </c>
      <c r="B32" s="1" t="s">
        <v>187</v>
      </c>
      <c r="C32" s="1" t="s">
        <v>112</v>
      </c>
    </row>
    <row r="33" spans="1:3" x14ac:dyDescent="0.25">
      <c r="A33" s="1" t="s">
        <v>347</v>
      </c>
      <c r="B33" s="1" t="s">
        <v>183</v>
      </c>
      <c r="C33" s="1" t="s">
        <v>263</v>
      </c>
    </row>
    <row r="34" spans="1:3" x14ac:dyDescent="0.25">
      <c r="A34" s="1" t="s">
        <v>373</v>
      </c>
      <c r="B34" s="1" t="s">
        <v>195</v>
      </c>
      <c r="C34" s="1" t="s">
        <v>267</v>
      </c>
    </row>
    <row r="35" spans="1:3" x14ac:dyDescent="0.25">
      <c r="A35" s="1" t="s">
        <v>372</v>
      </c>
      <c r="B35" s="1" t="s">
        <v>194</v>
      </c>
      <c r="C35" s="1" t="s">
        <v>266</v>
      </c>
    </row>
    <row r="36" spans="1:3" x14ac:dyDescent="0.25">
      <c r="A36" s="1" t="s">
        <v>357</v>
      </c>
      <c r="B36" s="1" t="s">
        <v>198</v>
      </c>
      <c r="C36" s="1" t="s">
        <v>117</v>
      </c>
    </row>
    <row r="37" spans="1:3" x14ac:dyDescent="0.25">
      <c r="A37" s="1" t="s">
        <v>379</v>
      </c>
      <c r="B37" s="1" t="s">
        <v>184</v>
      </c>
      <c r="C37" s="1" t="s">
        <v>111</v>
      </c>
    </row>
    <row r="38" spans="1:3" x14ac:dyDescent="0.25">
      <c r="A38" s="1" t="s">
        <v>107</v>
      </c>
      <c r="B38" s="1" t="s">
        <v>187</v>
      </c>
      <c r="C38" s="1" t="s">
        <v>112</v>
      </c>
    </row>
    <row r="39" spans="1:3" x14ac:dyDescent="0.25">
      <c r="A39" s="1" t="s">
        <v>371</v>
      </c>
      <c r="B39" s="1" t="s">
        <v>194</v>
      </c>
      <c r="C39" s="1" t="s">
        <v>266</v>
      </c>
    </row>
    <row r="40" spans="1:3" x14ac:dyDescent="0.25">
      <c r="A40" s="1" t="s">
        <v>381</v>
      </c>
      <c r="B40" s="1" t="s">
        <v>197</v>
      </c>
      <c r="C40" s="1" t="s">
        <v>116</v>
      </c>
    </row>
    <row r="41" spans="1:3" x14ac:dyDescent="0.25">
      <c r="A41" s="1" t="s">
        <v>350</v>
      </c>
      <c r="B41" s="1" t="s">
        <v>187</v>
      </c>
      <c r="C41" s="1" t="s">
        <v>112</v>
      </c>
    </row>
    <row r="42" spans="1:3" x14ac:dyDescent="0.25">
      <c r="A42" s="1" t="s">
        <v>343</v>
      </c>
      <c r="B42" s="1" t="s">
        <v>183</v>
      </c>
      <c r="C42" s="1" t="s">
        <v>263</v>
      </c>
    </row>
    <row r="43" spans="1:3" x14ac:dyDescent="0.25">
      <c r="A43" s="1" t="s">
        <v>376</v>
      </c>
      <c r="B43" s="1" t="s">
        <v>196</v>
      </c>
      <c r="C43" s="1" t="s">
        <v>265</v>
      </c>
    </row>
    <row r="44" spans="1:3" x14ac:dyDescent="0.25">
      <c r="A44" s="1" t="s">
        <v>365</v>
      </c>
      <c r="B44" s="1" t="s">
        <v>185</v>
      </c>
      <c r="C44" s="1" t="s">
        <v>268</v>
      </c>
    </row>
    <row r="45" spans="1:3" x14ac:dyDescent="0.25">
      <c r="A45" s="1" t="s">
        <v>382</v>
      </c>
      <c r="B45" s="1" t="s">
        <v>192</v>
      </c>
      <c r="C45" s="1" t="s">
        <v>270</v>
      </c>
    </row>
    <row r="46" spans="1:3" x14ac:dyDescent="0.25">
      <c r="A46" s="1" t="s">
        <v>359</v>
      </c>
      <c r="B46" s="1" t="s">
        <v>188</v>
      </c>
      <c r="C46" s="1" t="s">
        <v>110</v>
      </c>
    </row>
    <row r="47" spans="1:3" x14ac:dyDescent="0.25">
      <c r="A47" s="1" t="s">
        <v>368</v>
      </c>
      <c r="B47" s="1" t="s">
        <v>193</v>
      </c>
      <c r="C47" s="1" t="s">
        <v>271</v>
      </c>
    </row>
    <row r="48" spans="1:3" x14ac:dyDescent="0.25">
      <c r="A48" s="1" t="s">
        <v>367</v>
      </c>
      <c r="B48" s="1" t="s">
        <v>191</v>
      </c>
      <c r="C48" s="1" t="s">
        <v>269</v>
      </c>
    </row>
    <row r="49" spans="1:3" x14ac:dyDescent="0.25">
      <c r="A49" s="1" t="s">
        <v>384</v>
      </c>
      <c r="B49" s="1" t="s">
        <v>192</v>
      </c>
      <c r="C49" s="1" t="s">
        <v>270</v>
      </c>
    </row>
    <row r="50" spans="1:3" x14ac:dyDescent="0.25">
      <c r="A50" s="1" t="s">
        <v>378</v>
      </c>
      <c r="B50" s="1" t="s">
        <v>184</v>
      </c>
      <c r="C50" s="1" t="s">
        <v>111</v>
      </c>
    </row>
    <row r="51" spans="1:3" x14ac:dyDescent="0.25">
      <c r="A51" s="1" t="s">
        <v>351</v>
      </c>
      <c r="B51" s="1" t="s">
        <v>187</v>
      </c>
      <c r="C51" s="1" t="s">
        <v>112</v>
      </c>
    </row>
    <row r="52" spans="1:3" x14ac:dyDescent="0.25">
      <c r="A52" s="1" t="s">
        <v>369</v>
      </c>
      <c r="B52" s="1" t="s">
        <v>193</v>
      </c>
      <c r="C52" s="1" t="s">
        <v>271</v>
      </c>
    </row>
    <row r="53" spans="1:3" x14ac:dyDescent="0.25">
      <c r="A53" s="26" t="s">
        <v>209</v>
      </c>
      <c r="C53" s="26">
        <f>SUBTOTAL(103,Table2[Sub Groups])</f>
        <v>47</v>
      </c>
    </row>
  </sheetData>
  <mergeCells count="2">
    <mergeCell ref="A3:C3"/>
    <mergeCell ref="G4:H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4</xdr:col>
                    <xdr:colOff>76200</xdr:colOff>
                    <xdr:row>1</xdr:row>
                    <xdr:rowOff>95250</xdr:rowOff>
                  </from>
                  <to>
                    <xdr:col>4</xdr:col>
                    <xdr:colOff>1704975</xdr:colOff>
                    <xdr:row>1</xdr:row>
                    <xdr:rowOff>485775</xdr:rowOff>
                  </to>
                </anchor>
              </controlPr>
            </control>
          </mc:Choice>
        </mc:AlternateContent>
        <mc:AlternateContent xmlns:mc="http://schemas.openxmlformats.org/markup-compatibility/2006">
          <mc:Choice Requires="x14">
            <control shapeId="12290" r:id="rId5" name="Button 2">
              <controlPr defaultSize="0" print="0" autoFill="0" autoPict="0" macro="[0]!ExtractUniqueGroups">
                <anchor moveWithCells="1" sizeWithCells="1">
                  <from>
                    <xdr:col>6</xdr:col>
                    <xdr:colOff>400050</xdr:colOff>
                    <xdr:row>1</xdr:row>
                    <xdr:rowOff>47625</xdr:rowOff>
                  </from>
                  <to>
                    <xdr:col>7</xdr:col>
                    <xdr:colOff>1123950</xdr:colOff>
                    <xdr:row>1</xdr:row>
                    <xdr:rowOff>485775</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1:E52"/>
  <sheetViews>
    <sheetView workbookViewId="0">
      <pane ySplit="4" topLeftCell="A5" activePane="bottomLeft" state="frozen"/>
      <selection pane="bottomLeft" activeCell="E47" sqref="E47"/>
    </sheetView>
  </sheetViews>
  <sheetFormatPr defaultRowHeight="15" x14ac:dyDescent="0.25"/>
  <cols>
    <col min="1" max="1" width="34.28515625" bestFit="1" customWidth="1"/>
    <col min="2" max="2" width="51" customWidth="1"/>
    <col min="3" max="3" width="52.140625" customWidth="1"/>
    <col min="5" max="6" width="14.140625" bestFit="1" customWidth="1"/>
  </cols>
  <sheetData>
    <row r="1" spans="1:5" ht="15.75" thickBot="1" x14ac:dyDescent="0.3"/>
    <row r="2" spans="1:5" ht="15.75" thickBot="1" x14ac:dyDescent="0.3">
      <c r="A2" s="50" t="s">
        <v>326</v>
      </c>
      <c r="B2" s="50"/>
      <c r="C2" s="50"/>
      <c r="E2" s="16" t="s">
        <v>206</v>
      </c>
    </row>
    <row r="3" spans="1:5" x14ac:dyDescent="0.25">
      <c r="A3" s="31" t="str">
        <f>'Thematic Analysis'!E6</f>
        <v>Concern</v>
      </c>
      <c r="B3" s="32" t="s">
        <v>200</v>
      </c>
      <c r="C3" s="33" t="s">
        <v>201</v>
      </c>
    </row>
    <row r="4" spans="1:5" x14ac:dyDescent="0.25">
      <c r="A4" s="10" t="s">
        <v>223</v>
      </c>
      <c r="B4" s="10" t="s">
        <v>217</v>
      </c>
      <c r="C4" s="10" t="s">
        <v>218</v>
      </c>
    </row>
    <row r="5" spans="1:5" ht="30" x14ac:dyDescent="0.25">
      <c r="A5" s="1" t="str">
        <f>Glossary!A6</f>
        <v>Benefit realization</v>
      </c>
      <c r="B5" s="35" t="s">
        <v>224</v>
      </c>
      <c r="C5" s="35" t="s">
        <v>291</v>
      </c>
    </row>
    <row r="6" spans="1:5" ht="30" x14ac:dyDescent="0.25">
      <c r="A6" s="1" t="str">
        <f>Glossary!A7</f>
        <v>Business reform &amp; strategy</v>
      </c>
      <c r="B6" s="35" t="s">
        <v>225</v>
      </c>
      <c r="C6" s="35" t="s">
        <v>292</v>
      </c>
    </row>
    <row r="7" spans="1:5" ht="30" x14ac:dyDescent="0.25">
      <c r="A7" s="1" t="str">
        <f>Glossary!A8</f>
        <v>Collaboration &amp; teamwork</v>
      </c>
      <c r="B7" s="35" t="s">
        <v>226</v>
      </c>
      <c r="C7" s="35" t="s">
        <v>311</v>
      </c>
    </row>
    <row r="8" spans="1:5" ht="30" x14ac:dyDescent="0.25">
      <c r="A8" s="1" t="str">
        <f>Glossary!A9</f>
        <v>Communication standards</v>
      </c>
      <c r="B8" s="35" t="s">
        <v>227</v>
      </c>
      <c r="C8" s="35" t="s">
        <v>320</v>
      </c>
    </row>
    <row r="9" spans="1:5" ht="30" x14ac:dyDescent="0.25">
      <c r="A9" s="1" t="str">
        <f>Glossary!A10</f>
        <v>Compliance &amp; regulations</v>
      </c>
      <c r="B9" s="35" t="s">
        <v>228</v>
      </c>
      <c r="C9" s="35" t="s">
        <v>303</v>
      </c>
    </row>
    <row r="10" spans="1:5" ht="30" x14ac:dyDescent="0.25">
      <c r="A10" s="1" t="str">
        <f>Glossary!A11</f>
        <v>Consumer experience</v>
      </c>
      <c r="B10" s="35" t="s">
        <v>229</v>
      </c>
      <c r="C10" s="35" t="s">
        <v>321</v>
      </c>
    </row>
    <row r="11" spans="1:5" ht="30" x14ac:dyDescent="0.25">
      <c r="A11" s="1" t="str">
        <f>Glossary!A12</f>
        <v>Coordination &amp; support</v>
      </c>
      <c r="B11" s="35" t="s">
        <v>283</v>
      </c>
      <c r="C11" s="35" t="s">
        <v>284</v>
      </c>
    </row>
    <row r="12" spans="1:5" ht="30" x14ac:dyDescent="0.25">
      <c r="A12" s="1" t="str">
        <f>Glossary!A13</f>
        <v>Data integrity &amp; privacy</v>
      </c>
      <c r="B12" s="35" t="s">
        <v>230</v>
      </c>
      <c r="C12" s="35" t="s">
        <v>310</v>
      </c>
    </row>
    <row r="13" spans="1:5" ht="30" x14ac:dyDescent="0.25">
      <c r="A13" s="1" t="str">
        <f>Glossary!A14</f>
        <v>Data management</v>
      </c>
      <c r="B13" s="35" t="s">
        <v>231</v>
      </c>
      <c r="C13" s="35" t="s">
        <v>307</v>
      </c>
    </row>
    <row r="14" spans="1:5" ht="30" x14ac:dyDescent="0.25">
      <c r="A14" s="1" t="str">
        <f>Glossary!A15</f>
        <v>Data sharing &amp; integration</v>
      </c>
      <c r="B14" s="35" t="s">
        <v>232</v>
      </c>
      <c r="C14" s="35" t="s">
        <v>288</v>
      </c>
    </row>
    <row r="15" spans="1:5" ht="30" x14ac:dyDescent="0.25">
      <c r="A15" s="1" t="str">
        <f>Glossary!A16</f>
        <v>Employee training</v>
      </c>
      <c r="B15" s="35" t="s">
        <v>233</v>
      </c>
      <c r="C15" s="35" t="s">
        <v>314</v>
      </c>
    </row>
    <row r="16" spans="1:5" ht="30" x14ac:dyDescent="0.25">
      <c r="A16" s="1" t="str">
        <f>Glossary!A17</f>
        <v>Funding &amp; cost control</v>
      </c>
      <c r="B16" s="35" t="s">
        <v>234</v>
      </c>
      <c r="C16" s="35" t="s">
        <v>312</v>
      </c>
    </row>
    <row r="17" spans="1:3" ht="30" x14ac:dyDescent="0.25">
      <c r="A17" s="1" t="str">
        <f>Glossary!A18</f>
        <v>Future system planning</v>
      </c>
      <c r="B17" s="35" t="s">
        <v>235</v>
      </c>
      <c r="C17" s="35" t="s">
        <v>317</v>
      </c>
    </row>
    <row r="18" spans="1:3" ht="30" x14ac:dyDescent="0.25">
      <c r="A18" s="1" t="str">
        <f>Glossary!A19</f>
        <v>Government priorities &amp; guidelines</v>
      </c>
      <c r="B18" s="35" t="s">
        <v>236</v>
      </c>
      <c r="C18" s="35" t="s">
        <v>313</v>
      </c>
    </row>
    <row r="19" spans="1:3" ht="30" x14ac:dyDescent="0.25">
      <c r="A19" s="1" t="str">
        <f>Glossary!A20</f>
        <v>High-risk environment</v>
      </c>
      <c r="B19" s="35" t="s">
        <v>237</v>
      </c>
      <c r="C19" s="35" t="s">
        <v>316</v>
      </c>
    </row>
    <row r="20" spans="1:3" ht="30" x14ac:dyDescent="0.25">
      <c r="A20" s="1" t="str">
        <f>Glossary!A21</f>
        <v>Inclusion &amp; equity</v>
      </c>
      <c r="B20" s="35" t="s">
        <v>238</v>
      </c>
      <c r="C20" s="35" t="s">
        <v>302</v>
      </c>
    </row>
    <row r="21" spans="1:3" ht="30" x14ac:dyDescent="0.25">
      <c r="A21" s="1" t="str">
        <f>Glossary!A22</f>
        <v>Information flow</v>
      </c>
      <c r="B21" s="35" t="s">
        <v>277</v>
      </c>
      <c r="C21" s="35" t="s">
        <v>278</v>
      </c>
    </row>
    <row r="22" spans="1:3" ht="30" x14ac:dyDescent="0.25">
      <c r="A22" s="1" t="str">
        <f>Glossary!A23</f>
        <v>Infrastructure efficiency</v>
      </c>
      <c r="B22" s="35" t="s">
        <v>239</v>
      </c>
      <c r="C22" s="35" t="s">
        <v>294</v>
      </c>
    </row>
    <row r="23" spans="1:3" ht="30" x14ac:dyDescent="0.25">
      <c r="A23" s="1" t="str">
        <f>Glossary!A24</f>
        <v>Integration capabilities</v>
      </c>
      <c r="B23" s="35" t="s">
        <v>240</v>
      </c>
      <c r="C23" s="35" t="s">
        <v>287</v>
      </c>
    </row>
    <row r="24" spans="1:3" ht="30" x14ac:dyDescent="0.25">
      <c r="A24" s="1" t="str">
        <f>Glossary!A25</f>
        <v>Investment planning</v>
      </c>
      <c r="B24" s="35" t="s">
        <v>229</v>
      </c>
      <c r="C24" s="35" t="s">
        <v>321</v>
      </c>
    </row>
    <row r="25" spans="1:3" ht="30" x14ac:dyDescent="0.25">
      <c r="A25" s="1" t="str">
        <f>Glossary!A26</f>
        <v>Knowledge &amp; content management</v>
      </c>
      <c r="B25" s="35" t="s">
        <v>241</v>
      </c>
      <c r="C25" s="35" t="s">
        <v>289</v>
      </c>
    </row>
    <row r="26" spans="1:3" ht="30" x14ac:dyDescent="0.25">
      <c r="A26" s="1" t="str">
        <f>Glossary!A27</f>
        <v>Performance monitoring</v>
      </c>
      <c r="B26" s="35" t="s">
        <v>242</v>
      </c>
      <c r="C26" s="35" t="s">
        <v>304</v>
      </c>
    </row>
    <row r="27" spans="1:3" ht="30" x14ac:dyDescent="0.25">
      <c r="A27" s="1" t="str">
        <f>Glossary!A28</f>
        <v>Policy &amp; governance reform</v>
      </c>
      <c r="B27" s="35" t="s">
        <v>105</v>
      </c>
      <c r="C27" s="35" t="s">
        <v>295</v>
      </c>
    </row>
    <row r="28" spans="1:3" ht="30" x14ac:dyDescent="0.25">
      <c r="A28" s="1" t="str">
        <f>Glossary!A29</f>
        <v>Preventative solutions</v>
      </c>
      <c r="B28" s="35" t="s">
        <v>243</v>
      </c>
      <c r="C28" s="35" t="s">
        <v>324</v>
      </c>
    </row>
    <row r="29" spans="1:3" ht="30" x14ac:dyDescent="0.25">
      <c r="A29" s="1" t="str">
        <f>Glossary!A30</f>
        <v>Process efficiency</v>
      </c>
      <c r="B29" s="35" t="s">
        <v>275</v>
      </c>
      <c r="C29" s="35" t="s">
        <v>276</v>
      </c>
    </row>
    <row r="30" spans="1:3" ht="30" x14ac:dyDescent="0.25">
      <c r="A30" s="1" t="str">
        <f>Glossary!A31</f>
        <v>Project prioritization</v>
      </c>
      <c r="B30" s="35" t="s">
        <v>244</v>
      </c>
      <c r="C30" s="35" t="s">
        <v>318</v>
      </c>
    </row>
    <row r="31" spans="1:3" ht="30" x14ac:dyDescent="0.25">
      <c r="A31" s="1" t="str">
        <f>Glossary!A32</f>
        <v>Quality &amp; safety</v>
      </c>
      <c r="B31" s="35" t="s">
        <v>245</v>
      </c>
      <c r="C31" s="35" t="s">
        <v>300</v>
      </c>
    </row>
    <row r="32" spans="1:3" ht="30" x14ac:dyDescent="0.25">
      <c r="A32" s="1" t="str">
        <f>Glossary!A33</f>
        <v>Resource allocation</v>
      </c>
      <c r="B32" s="35" t="s">
        <v>246</v>
      </c>
      <c r="C32" s="35" t="s">
        <v>296</v>
      </c>
    </row>
    <row r="33" spans="1:3" ht="30" x14ac:dyDescent="0.25">
      <c r="A33" s="1" t="str">
        <f>Glossary!A34</f>
        <v>Risk identification &amp; mitigation</v>
      </c>
      <c r="B33" s="35" t="s">
        <v>247</v>
      </c>
      <c r="C33" s="35" t="s">
        <v>301</v>
      </c>
    </row>
    <row r="34" spans="1:3" ht="30" x14ac:dyDescent="0.25">
      <c r="A34" s="1" t="str">
        <f>Glossary!A35</f>
        <v>Scope management</v>
      </c>
      <c r="B34" s="35" t="s">
        <v>248</v>
      </c>
      <c r="C34" s="35" t="s">
        <v>309</v>
      </c>
    </row>
    <row r="35" spans="1:3" ht="30" x14ac:dyDescent="0.25">
      <c r="A35" s="1" t="str">
        <f>Glossary!A36</f>
        <v>Secure data practices</v>
      </c>
      <c r="B35" s="35" t="s">
        <v>222</v>
      </c>
      <c r="C35" s="35" t="s">
        <v>290</v>
      </c>
    </row>
    <row r="36" spans="1:3" ht="30" x14ac:dyDescent="0.25">
      <c r="A36" s="1" t="str">
        <f>Glossary!A37</f>
        <v>Service accessibility</v>
      </c>
      <c r="B36" s="35" t="s">
        <v>249</v>
      </c>
      <c r="C36" s="35" t="s">
        <v>323</v>
      </c>
    </row>
    <row r="37" spans="1:3" ht="30" x14ac:dyDescent="0.25">
      <c r="A37" s="1" t="str">
        <f>Glossary!A38</f>
        <v>Service delivery</v>
      </c>
      <c r="B37" s="35" t="s">
        <v>250</v>
      </c>
      <c r="C37" s="35" t="s">
        <v>299</v>
      </c>
    </row>
    <row r="38" spans="1:3" ht="30" x14ac:dyDescent="0.25">
      <c r="A38" s="1" t="str">
        <f>Glossary!A39</f>
        <v>Skilled project execution</v>
      </c>
      <c r="B38" s="35" t="s">
        <v>281</v>
      </c>
      <c r="C38" s="35" t="s">
        <v>282</v>
      </c>
    </row>
    <row r="39" spans="1:3" ht="30" x14ac:dyDescent="0.25">
      <c r="A39" s="1" t="str">
        <f>Glossary!A40</f>
        <v>Skills development</v>
      </c>
      <c r="B39" s="35" t="s">
        <v>261</v>
      </c>
      <c r="C39" s="35" t="s">
        <v>286</v>
      </c>
    </row>
    <row r="40" spans="1:3" ht="30" x14ac:dyDescent="0.25">
      <c r="A40" s="1" t="str">
        <f>Glossary!A41</f>
        <v>Standardization</v>
      </c>
      <c r="B40" s="35" t="s">
        <v>251</v>
      </c>
      <c r="C40" s="35" t="s">
        <v>308</v>
      </c>
    </row>
    <row r="41" spans="1:3" ht="30" x14ac:dyDescent="0.25">
      <c r="A41" s="1" t="str">
        <f>Glossary!A42</f>
        <v>Strategic alignment</v>
      </c>
      <c r="B41" s="35" t="s">
        <v>252</v>
      </c>
      <c r="C41" s="35" t="s">
        <v>305</v>
      </c>
    </row>
    <row r="42" spans="1:3" ht="30" x14ac:dyDescent="0.25">
      <c r="A42" s="1" t="str">
        <f>Glossary!A43</f>
        <v>Sustainability initiatives</v>
      </c>
      <c r="B42" s="35" t="s">
        <v>253</v>
      </c>
      <c r="C42" s="35" t="s">
        <v>306</v>
      </c>
    </row>
    <row r="43" spans="1:3" ht="30" x14ac:dyDescent="0.25">
      <c r="A43" s="1" t="str">
        <f>Glossary!A44</f>
        <v>System compatibility</v>
      </c>
      <c r="B43" s="35" t="s">
        <v>254</v>
      </c>
      <c r="C43" s="35" t="s">
        <v>319</v>
      </c>
    </row>
    <row r="44" spans="1:3" ht="30" x14ac:dyDescent="0.25">
      <c r="A44" s="1" t="str">
        <f>Glossary!A45</f>
        <v>System deployment</v>
      </c>
      <c r="B44" s="35" t="s">
        <v>255</v>
      </c>
      <c r="C44" s="35" t="s">
        <v>293</v>
      </c>
    </row>
    <row r="45" spans="1:3" ht="30" x14ac:dyDescent="0.25">
      <c r="A45" s="1" t="str">
        <f>Glossary!A46</f>
        <v>System interoperability</v>
      </c>
      <c r="B45" s="35" t="s">
        <v>256</v>
      </c>
      <c r="C45" s="35" t="s">
        <v>322</v>
      </c>
    </row>
    <row r="46" spans="1:3" ht="30" x14ac:dyDescent="0.25">
      <c r="A46" s="1" t="str">
        <f>Glossary!A47</f>
        <v>System maintenance</v>
      </c>
      <c r="B46" s="35" t="s">
        <v>257</v>
      </c>
      <c r="C46" s="35" t="s">
        <v>315</v>
      </c>
    </row>
    <row r="47" spans="1:3" ht="30" x14ac:dyDescent="0.25">
      <c r="A47" s="1" t="str">
        <f>Glossary!A48</f>
        <v>Technology advancement</v>
      </c>
      <c r="B47" s="35" t="s">
        <v>279</v>
      </c>
      <c r="C47" s="35" t="s">
        <v>280</v>
      </c>
    </row>
    <row r="48" spans="1:3" ht="30" x14ac:dyDescent="0.25">
      <c r="A48" s="1" t="str">
        <f>Glossary!A49</f>
        <v>Unified platforms</v>
      </c>
      <c r="B48" s="35" t="s">
        <v>258</v>
      </c>
      <c r="C48" s="35" t="s">
        <v>325</v>
      </c>
    </row>
    <row r="49" spans="1:3" ht="30" x14ac:dyDescent="0.25">
      <c r="A49" s="1" t="str">
        <f>Glossary!A50</f>
        <v>User support</v>
      </c>
      <c r="B49" s="35" t="s">
        <v>259</v>
      </c>
      <c r="C49" s="35" t="s">
        <v>297</v>
      </c>
    </row>
    <row r="50" spans="1:3" ht="30" x14ac:dyDescent="0.25">
      <c r="A50" s="1" t="str">
        <f>Glossary!A51</f>
        <v>User-centric optimization</v>
      </c>
      <c r="B50" s="35" t="s">
        <v>260</v>
      </c>
      <c r="C50" s="35" t="s">
        <v>298</v>
      </c>
    </row>
    <row r="51" spans="1:3" ht="30" x14ac:dyDescent="0.25">
      <c r="A51" s="1" t="str">
        <f>Glossary!A52</f>
        <v>Workforce sustainability</v>
      </c>
      <c r="B51" s="35" t="s">
        <v>262</v>
      </c>
      <c r="C51" s="35" t="s">
        <v>285</v>
      </c>
    </row>
    <row r="52" spans="1:3" x14ac:dyDescent="0.25">
      <c r="A52" s="26" t="s">
        <v>209</v>
      </c>
      <c r="C52" s="37">
        <f>SUBTOTAL(103,table5[Sub Catergories])</f>
        <v>47</v>
      </c>
    </row>
  </sheetData>
  <mergeCells count="1">
    <mergeCell ref="A2:C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70"/>
  <sheetViews>
    <sheetView topLeftCell="D1" zoomScaleNormal="100" workbookViewId="0">
      <pane ySplit="4" topLeftCell="A5" activePane="bottomLeft" state="frozen"/>
      <selection pane="bottomLeft" activeCell="C5" sqref="C5"/>
    </sheetView>
  </sheetViews>
  <sheetFormatPr defaultRowHeight="15" x14ac:dyDescent="0.25"/>
  <cols>
    <col min="1" max="1" width="11" style="10" customWidth="1"/>
    <col min="2" max="2" width="34.7109375" customWidth="1"/>
    <col min="3" max="3" width="36.7109375" customWidth="1"/>
    <col min="4" max="4" width="39.5703125" customWidth="1"/>
    <col min="5" max="5" width="31.5703125" customWidth="1"/>
    <col min="6" max="6" width="88.5703125" bestFit="1" customWidth="1"/>
    <col min="7" max="7" width="30.85546875" customWidth="1"/>
  </cols>
  <sheetData>
    <row r="1" spans="1:7" ht="48" customHeight="1" x14ac:dyDescent="0.25"/>
    <row r="2" spans="1:7" x14ac:dyDescent="0.25">
      <c r="A2" s="51" t="s">
        <v>208</v>
      </c>
      <c r="B2" s="52"/>
      <c r="C2" s="52"/>
      <c r="D2" s="52"/>
      <c r="E2" s="52"/>
      <c r="F2" s="52"/>
      <c r="G2" s="52"/>
    </row>
    <row r="3" spans="1:7" x14ac:dyDescent="0.25">
      <c r="A3" s="24"/>
      <c r="B3" s="30" t="str">
        <f>'Thematic Analysis'!E6</f>
        <v>Concern</v>
      </c>
      <c r="C3" s="30" t="str">
        <f>'Thematic Analysis'!F6</f>
        <v>Possible Solutions</v>
      </c>
      <c r="D3" s="30" t="str">
        <f>'Thematic Analysis'!G6</f>
        <v>Organizational Values</v>
      </c>
      <c r="E3" s="31" t="str">
        <f>'Search Data'!B3</f>
        <v>Tech Concept</v>
      </c>
      <c r="F3" s="31" t="str">
        <f>'Search Data'!C3</f>
        <v>Tech Layers</v>
      </c>
      <c r="G3" s="25"/>
    </row>
    <row r="4" spans="1:7" s="10" customFormat="1" x14ac:dyDescent="0.25">
      <c r="A4" s="10" t="s">
        <v>202</v>
      </c>
      <c r="B4" s="34" t="s">
        <v>210</v>
      </c>
      <c r="C4" s="34" t="s">
        <v>211</v>
      </c>
      <c r="D4" s="10" t="s">
        <v>212</v>
      </c>
      <c r="E4" s="10" t="s">
        <v>217</v>
      </c>
      <c r="F4" s="10" t="s">
        <v>218</v>
      </c>
      <c r="G4" s="10" t="s">
        <v>219</v>
      </c>
    </row>
    <row r="5" spans="1:7" s="5" customFormat="1" ht="174" customHeight="1" x14ac:dyDescent="0.25">
      <c r="A5" s="2">
        <v>1</v>
      </c>
      <c r="B5" s="1" t="str">
        <f>'Thematic Analysis'!E8</f>
        <v>Performance monitoring
Process efficiency</v>
      </c>
      <c r="C5" s="1" t="str">
        <f>'Thematic Analysis'!F8</f>
        <v>System Maintenance and Support
Operational Effectiveness and Efficiency</v>
      </c>
      <c r="D5" s="1" t="str">
        <f>'Thematic Analysis'!G8</f>
        <v>Responsive Support
Process optimization</v>
      </c>
      <c r="E5" s="1" t="s">
        <v>569</v>
      </c>
      <c r="F5" s="1" t="s">
        <v>630</v>
      </c>
      <c r="G5" s="1" t="str">
        <f>'Thematic Analysis'!$D8</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6" spans="1:7" s="5" customFormat="1" ht="120" x14ac:dyDescent="0.25">
      <c r="A6" s="2">
        <f t="shared" ref="A6:A37" si="0">A5+1</f>
        <v>2</v>
      </c>
      <c r="B6" s="1" t="str">
        <f>'Thematic Analysis'!E9</f>
        <v>System interoperability</v>
      </c>
      <c r="C6" s="1" t="str">
        <f>'Thematic Analysis'!F9</f>
        <v>Compliance and Governance</v>
      </c>
      <c r="D6" s="1" t="str">
        <f>'Thematic Analysis'!G9</f>
        <v>Regulatory adherence</v>
      </c>
      <c r="E6" s="1" t="s">
        <v>256</v>
      </c>
      <c r="F6" s="1" t="s">
        <v>322</v>
      </c>
      <c r="G6" s="1" t="str">
        <f>'Thematic Analysis'!$D9</f>
        <v>Because of all this, it's hard to share patient info and coordinate care properly. Managers struggle to get accurate info on how well the systems are doing. And keeping them running costs a lot of money.</v>
      </c>
    </row>
    <row r="7" spans="1:7" s="5" customFormat="1" ht="150" x14ac:dyDescent="0.25">
      <c r="A7" s="2">
        <f t="shared" si="0"/>
        <v>3</v>
      </c>
      <c r="B7" s="1" t="str">
        <f>'Thematic Analysis'!E10</f>
        <v>System compatibility
System maintenance
Integration capabilities</v>
      </c>
      <c r="C7" s="1" t="str">
        <f>'Thematic Analysis'!F10</f>
        <v>Standardization and Streamlining Processes
System Maintenance and Support
System Deployment and Integration</v>
      </c>
      <c r="D7" s="1" t="str">
        <f>'Thematic Analysis'!G10</f>
        <v>Consistent Excellence
Responsive Support
Reliable Implementation</v>
      </c>
      <c r="E7" s="1" t="s">
        <v>570</v>
      </c>
      <c r="F7" s="1" t="s">
        <v>631</v>
      </c>
      <c r="G7" s="1" t="str">
        <f>'Thematic Analysis'!$D10</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8" spans="1:7" s="5" customFormat="1" ht="165" x14ac:dyDescent="0.25">
      <c r="A8" s="2">
        <f t="shared" si="0"/>
        <v>4</v>
      </c>
      <c r="B8" s="1" t="str">
        <f>'Thematic Analysis'!E11</f>
        <v>Strategic alignment
Process efficiency
Integration capabilities
Sustainability initiatives
Compliance &amp; regulations</v>
      </c>
      <c r="C8" s="1" t="str">
        <f>'Thematic Analysis'!F11</f>
        <v>Business Alignment
Operational Effectiveness and Efficiency
System Deployment and Integration
Policy and Organizational Reform
Compliance and Governance</v>
      </c>
      <c r="D8" s="1" t="str">
        <f>'Thematic Analysis'!G11</f>
        <v>Strategic Cohesion
Process optimization
Reliable Implementation
Governance with Integrity
Regulatory adherence</v>
      </c>
      <c r="E8" s="1" t="s">
        <v>571</v>
      </c>
      <c r="F8" s="1" t="s">
        <v>632</v>
      </c>
      <c r="G8" s="1" t="str">
        <f>'Thematic Analysis'!$D11</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9" spans="1:7" s="5" customFormat="1" ht="105" x14ac:dyDescent="0.25">
      <c r="A9" s="2">
        <f t="shared" si="0"/>
        <v>5</v>
      </c>
      <c r="B9" s="1" t="str">
        <f>'Thematic Analysis'!E12</f>
        <v>Information flow
Standardization
User-centric optimization</v>
      </c>
      <c r="C9" s="1" t="str">
        <f>'Thematic Analysis'!F12</f>
        <v>Data and Information Management
Operational Effectiveness and Efficiency
Operational Effectiveness and Efficiency</v>
      </c>
      <c r="D9" s="1" t="str">
        <f>'Thematic Analysis'!G12</f>
        <v>Data governance
Process optimization
Process optimization</v>
      </c>
      <c r="E9" s="1" t="s">
        <v>572</v>
      </c>
      <c r="F9" s="1" t="s">
        <v>633</v>
      </c>
      <c r="G9" s="1" t="str">
        <f>'Thematic Analysis'!$D12</f>
        <v>Clinical Systems Strategy
Corporate Systems Strategy
Business Information Strategy
Sustainable Infrastructure Strategy
Whole of Government ICT Strategic Directions</v>
      </c>
    </row>
    <row r="10" spans="1:7" s="5" customFormat="1" ht="90" x14ac:dyDescent="0.25">
      <c r="A10" s="2">
        <f t="shared" si="0"/>
        <v>6</v>
      </c>
      <c r="B10" s="1" t="str">
        <f>'Thematic Analysis'!E13</f>
        <v>Collaboration &amp; teamwork
Integration capabilities
Information flow</v>
      </c>
      <c r="C10" s="1" t="str">
        <f>'Thematic Analysis'!F13</f>
        <v>Collaboration and Communication
System Deployment and Integration
Data and Information Management</v>
      </c>
      <c r="D10" s="1" t="str">
        <f>'Thematic Analysis'!G13</f>
        <v>Teamwork enhancement
Reliable Implementation
Data governance</v>
      </c>
      <c r="E10" s="1" t="s">
        <v>573</v>
      </c>
      <c r="F10" s="1" t="s">
        <v>634</v>
      </c>
      <c r="G10" s="1" t="str">
        <f>'Thematic Analysis'!$D13</f>
        <v>They're making care safer and better by giving clinicians the info they need and setting up systems for consistent, predictable processes across the state.</v>
      </c>
    </row>
    <row r="11" spans="1:7" s="5" customFormat="1" ht="135" x14ac:dyDescent="0.25">
      <c r="A11" s="2">
        <f t="shared" si="0"/>
        <v>7</v>
      </c>
      <c r="B11" s="1" t="str">
        <f>'Thematic Analysis'!E14</f>
        <v>Process efficiency
System deployment
Sustainability initiatives
Employee training</v>
      </c>
      <c r="C11" s="1" t="str">
        <f>'Thematic Analysis'!F14</f>
        <v>Operational Effectiveness and Efficiency
System Deployment and Integration
Policy and Organizational Reform
Employee Training and Development</v>
      </c>
      <c r="D11" s="1" t="str">
        <f>'Thematic Analysis'!G14</f>
        <v>Process optimization
Reliable Implementation
Governance with Integrity
Employee development</v>
      </c>
      <c r="E11" s="1" t="s">
        <v>574</v>
      </c>
      <c r="F11" s="1" t="s">
        <v>635</v>
      </c>
      <c r="G11" s="1" t="str">
        <f>'Thematic Analysis'!$D14</f>
        <v>They're improving teamwork among health agencies in NSW, as well as with private companies and nationally, so everyone can work together better. This means info flows more smoothly, helping patients and making things more efficient.</v>
      </c>
    </row>
    <row r="12" spans="1:7" s="5" customFormat="1" ht="165" x14ac:dyDescent="0.25">
      <c r="A12" s="2">
        <f t="shared" si="0"/>
        <v>8</v>
      </c>
      <c r="B12" s="1" t="str">
        <f>'Thematic Analysis'!E15</f>
        <v>User support
Strategic alignment
Funding &amp; cost control</v>
      </c>
      <c r="C12" s="1" t="str">
        <f>'Thematic Analysis'!F15</f>
        <v>Consumer Experience and Support
Business Alignment
Financial Management and Budgeting</v>
      </c>
      <c r="D12" s="1" t="str">
        <f>'Thematic Analysis'!G15</f>
        <v>Customer service
Strategic Cohesion
Budget control</v>
      </c>
      <c r="E12" s="1" t="s">
        <v>575</v>
      </c>
      <c r="F12" s="1" t="s">
        <v>636</v>
      </c>
      <c r="G12" s="1" t="str">
        <f>'Thematic Analysis'!$D15</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3" spans="1:7" s="5" customFormat="1" ht="330" x14ac:dyDescent="0.25">
      <c r="A13" s="2">
        <f t="shared" si="0"/>
        <v>9</v>
      </c>
      <c r="B13" s="1" t="str">
        <f>'Thematic Analysis'!E16</f>
        <v>Strategic alignment
Policy &amp; governance reform
Investment planning
Business reform &amp; strategy</v>
      </c>
      <c r="C13" s="1" t="str">
        <f>'Thematic Analysis'!F16</f>
        <v>Business Alignment
Policy and Organizational Reform
Financial Management and Budgeting
Business Alignment</v>
      </c>
      <c r="D13" s="1" t="str">
        <f>'Thematic Analysis'!G16</f>
        <v>Strategic Cohesion
Governance with Integrity
Budget control
Strategic Cohesion</v>
      </c>
      <c r="E13" s="1" t="s">
        <v>576</v>
      </c>
      <c r="F13" s="1" t="s">
        <v>637</v>
      </c>
      <c r="G13" s="1" t="str">
        <f>'Thematic Analysis'!$D16</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4" spans="1:7" s="5" customFormat="1" ht="210" x14ac:dyDescent="0.25">
      <c r="A14" s="2">
        <f t="shared" si="0"/>
        <v>10</v>
      </c>
      <c r="B14" s="1" t="str">
        <f>'Thematic Analysis'!E17</f>
        <v>Strategic alignment
Risk identification &amp; mitigation
Project prioritization</v>
      </c>
      <c r="C14" s="1" t="str">
        <f>'Thematic Analysis'!F17</f>
        <v>Business Alignment
Risk Identification and Management
Program and Project Management</v>
      </c>
      <c r="D14" s="1" t="str">
        <f>'Thematic Analysis'!G17</f>
        <v>Strategic Cohesion
Accountable Risk Management
Strategic Project Leadership</v>
      </c>
      <c r="E14" s="1" t="s">
        <v>577</v>
      </c>
      <c r="F14" s="1" t="s">
        <v>638</v>
      </c>
      <c r="G14" s="1" t="str">
        <f>'Thematic Analysis'!$D17</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5" spans="1:7" s="5" customFormat="1" ht="390" x14ac:dyDescent="0.25">
      <c r="A15" s="2">
        <f t="shared" si="0"/>
        <v>11</v>
      </c>
      <c r="B15" s="1" t="str">
        <f>'Thematic Analysis'!E18</f>
        <v>Performance monitoring</v>
      </c>
      <c r="C15" s="1" t="str">
        <f>'Thematic Analysis'!F18</f>
        <v>System Maintenance and Support</v>
      </c>
      <c r="D15" s="1" t="str">
        <f>'Thematic Analysis'!G18</f>
        <v>Responsive Support</v>
      </c>
      <c r="E15" s="1" t="s">
        <v>242</v>
      </c>
      <c r="F15" s="1" t="s">
        <v>304</v>
      </c>
      <c r="G15" s="1" t="str">
        <f>'Thematic Analysis'!$D18</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6" spans="1:7" s="5" customFormat="1" ht="255" x14ac:dyDescent="0.25">
      <c r="A16" s="2">
        <f t="shared" si="0"/>
        <v>12</v>
      </c>
      <c r="B16" s="1" t="str">
        <f>'Thematic Analysis'!E19</f>
        <v>Inclusion &amp; equity
Scope management
Investment planning</v>
      </c>
      <c r="C16" s="1" t="str">
        <f>'Thematic Analysis'!F19</f>
        <v>Data and Information Management
Program and Project Management
Financial Management and Budgeting</v>
      </c>
      <c r="D16" s="1" t="str">
        <f>'Thematic Analysis'!G19</f>
        <v>Data governance
Strategic Project Leadership
Budget control</v>
      </c>
      <c r="E16" s="1" t="s">
        <v>578</v>
      </c>
      <c r="F16" s="1" t="s">
        <v>639</v>
      </c>
      <c r="G16" s="1" t="str">
        <f>'Thematic Analysis'!$D19</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7" spans="1:7" s="5" customFormat="1" ht="75" x14ac:dyDescent="0.25">
      <c r="A17" s="2">
        <f t="shared" si="0"/>
        <v>13</v>
      </c>
      <c r="B17" s="1" t="str">
        <f>'Thematic Analysis'!E20</f>
        <v>Project prioritization
System deployment
User support
Performance monitoring</v>
      </c>
      <c r="C17" s="1" t="str">
        <f>'Thematic Analysis'!F20</f>
        <v>Program and Project Management
System Deployment and Integration
Consumer Experience and Support
System Maintenance and Support</v>
      </c>
      <c r="D17" s="1" t="str">
        <f>'Thematic Analysis'!G20</f>
        <v>Strategic Project Leadership
Reliable Implementation
Customer service
Responsive Support</v>
      </c>
      <c r="E17" s="1" t="s">
        <v>579</v>
      </c>
      <c r="F17" s="1" t="s">
        <v>640</v>
      </c>
      <c r="G17" s="1" t="str">
        <f>'Thematic Analysis'!$D20</f>
        <v>They should only add new projects to their investment plan. When it's time to replace old systems, they can handle it through contracts with vendors.</v>
      </c>
    </row>
    <row r="18" spans="1:7" s="5" customFormat="1" ht="165" x14ac:dyDescent="0.25">
      <c r="A18" s="2">
        <f t="shared" si="0"/>
        <v>14</v>
      </c>
      <c r="B18" s="1" t="str">
        <f>'Thematic Analysis'!E21</f>
        <v>Collaboration &amp; teamwork
User support
Workforce sustainability</v>
      </c>
      <c r="C18" s="1" t="str">
        <f>'Thematic Analysis'!F21</f>
        <v>Collaboration and Communication
Consumer Experience and Support
System Maintenance and Support</v>
      </c>
      <c r="D18" s="1" t="str">
        <f>'Thematic Analysis'!G21</f>
        <v>Teamwork enhancement
Customer service
Responsive Support</v>
      </c>
      <c r="E18" s="1" t="s">
        <v>580</v>
      </c>
      <c r="F18" s="1" t="s">
        <v>641</v>
      </c>
      <c r="G18" s="1" t="str">
        <f>'Thematic Analysis'!$D21</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9" spans="1:7" s="5" customFormat="1" ht="165" x14ac:dyDescent="0.25">
      <c r="A19" s="2">
        <f t="shared" si="0"/>
        <v>15</v>
      </c>
      <c r="B19" s="1" t="str">
        <f>'Thematic Analysis'!E22</f>
        <v>User-centric optimization
Service accessibility
Process efficiency</v>
      </c>
      <c r="C19" s="1" t="str">
        <f>'Thematic Analysis'!F22</f>
        <v>Operational Effectiveness and Efficiency
Consumer Experience and Support
Operational Effectiveness and Efficiency</v>
      </c>
      <c r="D19" s="1" t="str">
        <f>'Thematic Analysis'!G22</f>
        <v>Process optimization
Customer service
Process optimization</v>
      </c>
      <c r="E19" s="1" t="s">
        <v>581</v>
      </c>
      <c r="F19" s="1" t="s">
        <v>642</v>
      </c>
      <c r="G19" s="1" t="str">
        <f>'Thematic Analysis'!$D22</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20" spans="1:7" s="5" customFormat="1" ht="165" x14ac:dyDescent="0.25">
      <c r="A20" s="2">
        <f t="shared" si="0"/>
        <v>16</v>
      </c>
      <c r="B20" s="1" t="str">
        <f>'Thematic Analysis'!E23</f>
        <v>Resource allocation
Process efficiency
Future system planning</v>
      </c>
      <c r="C20" s="1" t="str">
        <f>'Thematic Analysis'!F23</f>
        <v>Business Alignment
Operational Effectiveness and Efficiency
Future Planning and System Demand</v>
      </c>
      <c r="D20" s="1" t="str">
        <f>'Thematic Analysis'!G23</f>
        <v>Strategic Cohesion
Process optimization
Futureproofing</v>
      </c>
      <c r="E20" s="1" t="s">
        <v>582</v>
      </c>
      <c r="F20" s="1" t="s">
        <v>643</v>
      </c>
      <c r="G20" s="1" t="str">
        <f>'Thematic Analysis'!$D23</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1" spans="1:7" s="5" customFormat="1" ht="105" x14ac:dyDescent="0.25">
      <c r="A21" s="2">
        <f t="shared" si="0"/>
        <v>17</v>
      </c>
      <c r="B21" s="1" t="str">
        <f>'Thematic Analysis'!E24</f>
        <v>Performance monitoring
Resource allocation
Funding &amp; cost control</v>
      </c>
      <c r="C21" s="1" t="str">
        <f>'Thematic Analysis'!F24</f>
        <v>System Maintenance and Support
Business Alignment
Financial Management and Budgeting</v>
      </c>
      <c r="D21" s="1" t="str">
        <f>'Thematic Analysis'!G24</f>
        <v>Responsive Support
Strategic Cohesion
Budget control</v>
      </c>
      <c r="E21" s="1" t="s">
        <v>583</v>
      </c>
      <c r="F21" s="1" t="s">
        <v>644</v>
      </c>
      <c r="G21" s="1" t="str">
        <f>'Thematic Analysis'!$D24</f>
        <v>Nursing Unit Manager (NUM) can plan patient care better when they know all the demands and resources. This includes patients from the emergency room, post-surgery, and transfers, as well as available beds and staff skills.</v>
      </c>
    </row>
    <row r="22" spans="1:7" s="5" customFormat="1" ht="105" x14ac:dyDescent="0.25">
      <c r="A22" s="2">
        <f t="shared" si="0"/>
        <v>18</v>
      </c>
      <c r="B22" s="1" t="str">
        <f>'Thematic Analysis'!E25</f>
        <v>Project prioritization
Resource allocation
Service delivery</v>
      </c>
      <c r="C22" s="1" t="str">
        <f>'Thematic Analysis'!F25</f>
        <v>Program and Project Management
Business Alignment
Operational Effectiveness and Efficiency</v>
      </c>
      <c r="D22" s="1" t="str">
        <f>'Thematic Analysis'!G25</f>
        <v>Strategic Project Leadership
Strategic Cohesion
Process optimization</v>
      </c>
      <c r="E22" s="1" t="s">
        <v>584</v>
      </c>
      <c r="F22" s="1" t="s">
        <v>645</v>
      </c>
      <c r="G22" s="1" t="str">
        <f>'Thematic Analysis'!$D25</f>
        <v>At hospital, area, and department executive levels, having a complete portfolio lets them look at health outcomes, service demand, resources, performance, and finances all together.</v>
      </c>
    </row>
    <row r="23" spans="1:7" s="5" customFormat="1" ht="105" x14ac:dyDescent="0.25">
      <c r="A23" s="2">
        <f t="shared" si="0"/>
        <v>19</v>
      </c>
      <c r="B23" s="1" t="str">
        <f>'Thematic Analysis'!E26</f>
        <v>Process efficiency
User-centric optimization
Resource allocation
Service accessibility</v>
      </c>
      <c r="C23" s="1" t="str">
        <f>'Thematic Analysis'!F26</f>
        <v>Operational Effectiveness and Efficiency
Operational Effectiveness and Efficiency
Business Alignment
Consumer Experience and Support</v>
      </c>
      <c r="D23" s="1" t="str">
        <f>'Thematic Analysis'!G26</f>
        <v>Process optimization
Process optimization
Strategic Cohesion
Customer service</v>
      </c>
      <c r="E23" s="1" t="s">
        <v>585</v>
      </c>
      <c r="F23" s="1" t="s">
        <v>646</v>
      </c>
      <c r="G23" s="1" t="str">
        <f>'Thematic Analysis'!$D26</f>
        <v>The ICT Strategy focuses on key areas and will address them as resources allow. Other initiatives will only be added if they don't affect these core functions or if there's an urgent need.</v>
      </c>
    </row>
    <row r="24" spans="1:7" s="5" customFormat="1" ht="105" x14ac:dyDescent="0.25">
      <c r="A24" s="2">
        <f t="shared" si="0"/>
        <v>20</v>
      </c>
      <c r="B24" s="1" t="str">
        <f>'Thematic Analysis'!E27</f>
        <v>System interoperability
Service accessibility
Resource allocation</v>
      </c>
      <c r="C24" s="1" t="str">
        <f>'Thematic Analysis'!F27</f>
        <v>Compliance and Governance
Consumer Experience and Support
Business Alignment</v>
      </c>
      <c r="D24" s="1" t="str">
        <f>'Thematic Analysis'!G27</f>
        <v>Regulatory adherence
Customer service
Strategic Cohesion</v>
      </c>
      <c r="E24" s="1" t="s">
        <v>586</v>
      </c>
      <c r="F24" s="1" t="s">
        <v>647</v>
      </c>
      <c r="G24" s="1" t="str">
        <f>'Thematic Analysis'!$D27</f>
        <v>By 2011, clinical departments will have improved systems for workflow, decision-making support, and accessing necessary information. This helps clinicians make better decisions for patients, leading to safer care</v>
      </c>
    </row>
    <row r="25" spans="1:7" s="5" customFormat="1" ht="105" x14ac:dyDescent="0.25">
      <c r="A25" s="2">
        <f t="shared" si="0"/>
        <v>21</v>
      </c>
      <c r="B25" s="1" t="str">
        <f>'Thematic Analysis'!E28</f>
        <v>Integration capabilities
Service accessibility
Resource allocation
Standardization
Collaboration &amp; teamwork</v>
      </c>
      <c r="C25" s="1" t="str">
        <f>'Thematic Analysis'!F28</f>
        <v>System Deployment and Integration
Consumer Experience and Support
Business Alignment
Operational Effectiveness and Efficiency
Collaboration and Communication</v>
      </c>
      <c r="D25" s="1" t="str">
        <f>'Thematic Analysis'!G28</f>
        <v>Reliable Implementation
Customer service
Strategic Cohesion
Process optimization
Teamwork enhancement</v>
      </c>
      <c r="E25" s="1" t="s">
        <v>587</v>
      </c>
      <c r="F25" s="1" t="s">
        <v>648</v>
      </c>
      <c r="G25" s="1" t="str">
        <f>'Thematic Analysis'!$D28</f>
        <v>Integrated hospital systems mean information is collected once and available to all, reducing handover issues and improving resource management for smoother patient care.</v>
      </c>
    </row>
    <row r="26" spans="1:7" s="5" customFormat="1" ht="240" x14ac:dyDescent="0.25">
      <c r="A26" s="2">
        <f t="shared" si="0"/>
        <v>22</v>
      </c>
      <c r="B26" s="1" t="str">
        <f>'Thematic Analysis'!E29</f>
        <v>System deployment
Standardization
Resource allocation
Future system planning</v>
      </c>
      <c r="C26" s="1" t="str">
        <f>'Thematic Analysis'!F29</f>
        <v>System Deployment and Integration
Operational Effectiveness and Efficiency
Business Alignment
Future Planning and System Demand</v>
      </c>
      <c r="D26" s="1" t="str">
        <f>'Thematic Analysis'!G29</f>
        <v>Reliable Implementation
Process optimization
Strategic Cohesion
Futureproofing</v>
      </c>
      <c r="E26" s="1" t="s">
        <v>588</v>
      </c>
      <c r="F26" s="1" t="s">
        <v>649</v>
      </c>
      <c r="G26" s="1" t="str">
        <f>'Thematic Analysis'!$D29</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7" spans="1:7" s="5" customFormat="1" ht="180" x14ac:dyDescent="0.25">
      <c r="A27" s="2">
        <f t="shared" si="0"/>
        <v>23</v>
      </c>
      <c r="B27" s="1" t="str">
        <f>'Thematic Analysis'!E30</f>
        <v>Service delivery
Performance monitoring
Future system planning</v>
      </c>
      <c r="C27" s="1" t="str">
        <f>'Thematic Analysis'!F30</f>
        <v>Operational Effectiveness and Efficiency
System Maintenance and Support
Future Planning and System Demand</v>
      </c>
      <c r="D27" s="1" t="str">
        <f>'Thematic Analysis'!G30</f>
        <v>Process optimization
Responsive Support
Futureproofing</v>
      </c>
      <c r="E27" s="1" t="s">
        <v>589</v>
      </c>
      <c r="F27" s="1" t="s">
        <v>650</v>
      </c>
      <c r="G27" s="1" t="str">
        <f>'Thematic Analysis'!$D30</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8" spans="1:7" s="5" customFormat="1" ht="150" x14ac:dyDescent="0.25">
      <c r="A28" s="2">
        <f t="shared" si="0"/>
        <v>24</v>
      </c>
      <c r="B28" s="1" t="str">
        <f>'Thematic Analysis'!E31</f>
        <v>Workforce sustainability
Risk identification &amp; mitigation
Resource allocation</v>
      </c>
      <c r="C28" s="1" t="str">
        <f>'Thematic Analysis'!F31</f>
        <v>System Maintenance and Support
Risk Identification and Management
Business Alignment</v>
      </c>
      <c r="D28" s="1" t="str">
        <f>'Thematic Analysis'!G31</f>
        <v>Responsive Support
Accountable Risk Management
Strategic Cohesion</v>
      </c>
      <c r="E28" s="1" t="s">
        <v>590</v>
      </c>
      <c r="F28" s="1" t="s">
        <v>651</v>
      </c>
      <c r="G28" s="1" t="str">
        <f>'Thematic Analysis'!$D31</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9" spans="1:7" s="5" customFormat="1" ht="60" x14ac:dyDescent="0.25">
      <c r="A29" s="2">
        <f t="shared" si="0"/>
        <v>25</v>
      </c>
      <c r="B29" s="1" t="str">
        <f>'Thematic Analysis'!E32</f>
        <v>Data management
Performance monitoring
Future system planning</v>
      </c>
      <c r="C29" s="1" t="str">
        <f>'Thematic Analysis'!F32</f>
        <v>Data and Information Management
System Maintenance and Support
Future Planning and System Demand</v>
      </c>
      <c r="D29" s="1" t="str">
        <f>'Thematic Analysis'!G32</f>
        <v>Data governance
Responsive Support
Futureproofing</v>
      </c>
      <c r="E29" s="1" t="s">
        <v>591</v>
      </c>
      <c r="F29" s="1" t="s">
        <v>652</v>
      </c>
      <c r="G29" s="1" t="str">
        <f>'Thematic Analysis'!$D32</f>
        <v>Staff shortages in critical areas such as nursing and medicine Hospitals running at maximum capacity</v>
      </c>
    </row>
    <row r="30" spans="1:7" s="5" customFormat="1" ht="120" x14ac:dyDescent="0.25">
      <c r="A30" s="2">
        <f t="shared" si="0"/>
        <v>26</v>
      </c>
      <c r="B30" s="1" t="str">
        <f>'Thematic Analysis'!E33</f>
        <v>Knowledge &amp; content management
Technology advancement</v>
      </c>
      <c r="C30" s="1" t="str">
        <f>'Thematic Analysis'!F33</f>
        <v>Data and Information Management
System and Technology Improvement</v>
      </c>
      <c r="D30" s="1" t="str">
        <f>'Thematic Analysis'!G33</f>
        <v>Data governance
Innovative Evolution</v>
      </c>
      <c r="E30" s="1" t="s">
        <v>592</v>
      </c>
      <c r="F30" s="1" t="s">
        <v>653</v>
      </c>
      <c r="G30" s="1" t="str">
        <f>'Thematic Analysis'!$D33</f>
        <v>The rate of chronic diseases like heart disease, lung disease, diabetes, and cancer is rising. Obesity is becoming more common among young people, and our increasingly globalized society raises the risk of pandemics.</v>
      </c>
    </row>
    <row r="31" spans="1:7" s="5" customFormat="1" ht="60" x14ac:dyDescent="0.25">
      <c r="A31" s="2">
        <f t="shared" si="0"/>
        <v>27</v>
      </c>
      <c r="B31" s="1" t="str">
        <f>'Thematic Analysis'!E34</f>
        <v>Funding &amp; cost control
Technology advancement</v>
      </c>
      <c r="C31" s="1" t="str">
        <f>'Thematic Analysis'!F34</f>
        <v>Financial Management and Budgeting
System and Technology Improvement</v>
      </c>
      <c r="D31" s="1" t="str">
        <f>'Thematic Analysis'!G34</f>
        <v>Budget control
Innovative Evolution</v>
      </c>
      <c r="E31" s="1" t="s">
        <v>593</v>
      </c>
      <c r="F31" s="1" t="s">
        <v>654</v>
      </c>
      <c r="G31" s="1" t="str">
        <f>'Thematic Analysis'!$D34</f>
        <v>An increasing body of medical knowledge that staff cannot manage and
use without advanced IT systems</v>
      </c>
    </row>
    <row r="32" spans="1:7" s="5" customFormat="1" ht="60" x14ac:dyDescent="0.25">
      <c r="A32" s="2">
        <f t="shared" si="0"/>
        <v>28</v>
      </c>
      <c r="B32" s="1" t="str">
        <f>'Thematic Analysis'!E35</f>
        <v>Consumer experience
Service delivery
High-risk environment</v>
      </c>
      <c r="C32" s="1" t="str">
        <f>'Thematic Analysis'!F35</f>
        <v>Consumer Experience and Support
Operational Effectiveness and Efficiency
Risk Identification and Management</v>
      </c>
      <c r="D32" s="1" t="str">
        <f>'Thematic Analysis'!G35</f>
        <v>Customer service
Process optimization
Accountable Risk Management</v>
      </c>
      <c r="E32" s="1" t="s">
        <v>594</v>
      </c>
      <c r="F32" s="1" t="s">
        <v>655</v>
      </c>
      <c r="G32" s="1" t="str">
        <f>'Thematic Analysis'!$D35</f>
        <v>Health services are increasingly challenged by more expensive medical technologies and pharmaceuticals</v>
      </c>
    </row>
    <row r="33" spans="1:7" s="5" customFormat="1" ht="60" x14ac:dyDescent="0.25">
      <c r="A33" s="2">
        <f t="shared" si="0"/>
        <v>29</v>
      </c>
      <c r="B33" s="1" t="str">
        <f>'Thematic Analysis'!E36</f>
        <v>Consumer experience
Service delivery
High-risk environment</v>
      </c>
      <c r="C33" s="1" t="str">
        <f>'Thematic Analysis'!F36</f>
        <v>Consumer Experience and Support
Operational Effectiveness and Efficiency
Risk Identification and Management</v>
      </c>
      <c r="D33" s="1" t="str">
        <f>'Thematic Analysis'!G36</f>
        <v>Customer service
Process optimization
Accountable Risk Management</v>
      </c>
      <c r="E33" s="1" t="s">
        <v>594</v>
      </c>
      <c r="F33" s="1" t="s">
        <v>655</v>
      </c>
      <c r="G33" s="1" t="str">
        <f>'Thematic Analysis'!$D36</f>
        <v>Consumers are becoming more informed, have higher expectations and more complex problems</v>
      </c>
    </row>
    <row r="34" spans="1:7" s="5" customFormat="1" ht="165" x14ac:dyDescent="0.25">
      <c r="A34" s="2">
        <f t="shared" si="0"/>
        <v>30</v>
      </c>
      <c r="B34" s="1" t="str">
        <f>'Thematic Analysis'!E37</f>
        <v>Communication standards
Policy &amp; governance reform
Skills development
Workforce sustainability</v>
      </c>
      <c r="C34" s="1" t="str">
        <f>'Thematic Analysis'!F37</f>
        <v>Standardization and Streamlining Processes
Policy and Organizational Reform
Employee Training and Development
System Maintenance and Support</v>
      </c>
      <c r="D34" s="1" t="str">
        <f>'Thematic Analysis'!G37</f>
        <v>Consistent Excellence
Governance with Integrity
Employee development
Responsive Support</v>
      </c>
      <c r="E34" s="1" t="s">
        <v>595</v>
      </c>
      <c r="F34" s="1" t="s">
        <v>656</v>
      </c>
      <c r="G34" s="1" t="str">
        <f>'Thematic Analysis'!$D37</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5" spans="1:7" s="5" customFormat="1" ht="105" x14ac:dyDescent="0.25">
      <c r="A35" s="2">
        <f t="shared" si="0"/>
        <v>31</v>
      </c>
      <c r="B35" s="1" t="str">
        <f>'Thematic Analysis'!E38</f>
        <v>System deployment
Business reform &amp; strategy</v>
      </c>
      <c r="C35" s="1" t="str">
        <f>'Thematic Analysis'!F38</f>
        <v>System Deployment and Integration
Business Alignment</v>
      </c>
      <c r="D35" s="1" t="str">
        <f>'Thematic Analysis'!G38</f>
        <v>Reliable Implementation
Strategic Cohesion</v>
      </c>
      <c r="E35" s="1" t="s">
        <v>596</v>
      </c>
      <c r="F35" s="1" t="s">
        <v>657</v>
      </c>
      <c r="G35" s="1" t="str">
        <f>'Thematic Analysis'!$D38</f>
        <v>The key factors that cause these adverse events are:
_x0001_ Communication
_x0001_ Policies and procedures
_x0001_ Knowledge, skills and competence issues
_x0001_ Work scheduling</v>
      </c>
    </row>
    <row r="36" spans="1:7" s="5" customFormat="1" ht="105" x14ac:dyDescent="0.25">
      <c r="A36" s="2">
        <f t="shared" si="0"/>
        <v>32</v>
      </c>
      <c r="B36" s="1" t="str">
        <f>'Thematic Analysis'!E39</f>
        <v>Integration capabilities</v>
      </c>
      <c r="C36" s="1" t="str">
        <f>'Thematic Analysis'!F39</f>
        <v>System Deployment and Integration</v>
      </c>
      <c r="D36" s="1" t="str">
        <f>'Thematic Analysis'!G39</f>
        <v>Reliable Implementation</v>
      </c>
      <c r="E36" s="1" t="s">
        <v>240</v>
      </c>
      <c r="F36" s="1" t="s">
        <v>287</v>
      </c>
      <c r="G36" s="1" t="str">
        <f>'Thematic Analysis'!$D39</f>
        <v>Clinical ICT is becoming an increasingly important enabler of health
system reform, yet the core systems to underpin reform are not
currently in place.</v>
      </c>
    </row>
    <row r="37" spans="1:7" s="5" customFormat="1" ht="150" x14ac:dyDescent="0.25">
      <c r="A37" s="2">
        <f t="shared" si="0"/>
        <v>33</v>
      </c>
      <c r="B37" s="1" t="str">
        <f>'Thematic Analysis'!E40</f>
        <v>Funding &amp; cost control
Skilled project execution
Workforce sustainability</v>
      </c>
      <c r="C37" s="1" t="str">
        <f>'Thematic Analysis'!F40</f>
        <v>Financial Management and Budgeting
Program and Project Management
System Maintenance and Support</v>
      </c>
      <c r="D37" s="1" t="str">
        <f>'Thematic Analysis'!G40</f>
        <v>Budget control
Strategic Project Leadership
Responsive Support</v>
      </c>
      <c r="E37" s="1" t="s">
        <v>597</v>
      </c>
      <c r="F37" s="1" t="s">
        <v>658</v>
      </c>
      <c r="G37" s="1" t="str">
        <f>'Thematic Analysis'!$D40</f>
        <v>Constraints in capital and recurrent funding, skilled project
management and implementation resources and capacity of the health
systems to accommodate large scale change all restrict the potential
speed of implementation of core systems.</v>
      </c>
    </row>
    <row r="38" spans="1:7" s="5" customFormat="1" ht="105" x14ac:dyDescent="0.25">
      <c r="A38" s="2">
        <f t="shared" ref="A38:A70" si="1">A37+1</f>
        <v>34</v>
      </c>
      <c r="B38" s="1" t="str">
        <f>'Thematic Analysis'!E41</f>
        <v>Funding &amp; cost control
Project prioritization
Scope management</v>
      </c>
      <c r="C38" s="1" t="str">
        <f>'Thematic Analysis'!F41</f>
        <v>Financial Management and Budgeting
Program and Project Management
Program and Project Management</v>
      </c>
      <c r="D38" s="1" t="str">
        <f>'Thematic Analysis'!G41</f>
        <v>Budget control
Strategic Project Leadership
Strategic Project Leadership</v>
      </c>
      <c r="E38" s="1" t="s">
        <v>598</v>
      </c>
      <c r="F38" s="1" t="s">
        <v>659</v>
      </c>
      <c r="G38" s="1" t="str">
        <f>'Thematic Analysis'!$D41</f>
        <v>There are many competing demands for ICT funds. Deciding which projects to prioritize and schedule is complex and needs ongoing review to ensure funds are allocated where they will be most beneficial.</v>
      </c>
    </row>
    <row r="39" spans="1:7" s="5" customFormat="1" ht="105" x14ac:dyDescent="0.25">
      <c r="A39" s="2">
        <f t="shared" si="1"/>
        <v>35</v>
      </c>
      <c r="B39" s="1" t="str">
        <f>'Thematic Analysis'!E42</f>
        <v>Risk identification &amp; mitigation
High-risk environment
Service delivery</v>
      </c>
      <c r="C39" s="1" t="str">
        <f>'Thematic Analysis'!F42</f>
        <v>Risk Identification and Management
Risk Identification and Management
Operational Effectiveness and Efficiency</v>
      </c>
      <c r="D39" s="1" t="str">
        <f>'Thematic Analysis'!G42</f>
        <v>Accountable Risk Management
Accountable Risk Management
Process optimization</v>
      </c>
      <c r="E39" s="1" t="s">
        <v>599</v>
      </c>
      <c r="F39" s="1" t="s">
        <v>660</v>
      </c>
      <c r="G39" s="1" t="str">
        <f>'Thematic Analysis'!$D42</f>
        <v>NSW Health needs to change how it delivers services to meet these challenges. They've started a big reform program and need the right IT solutions to support staff and make these changes last</v>
      </c>
    </row>
    <row r="40" spans="1:7" s="5" customFormat="1" ht="135" x14ac:dyDescent="0.25">
      <c r="A40" s="2">
        <f t="shared" si="1"/>
        <v>36</v>
      </c>
      <c r="B40" s="1" t="str">
        <f>'Thematic Analysis'!E43</f>
        <v>Service delivery
Workforce sustainability
Government priorities &amp; guidelines
Strategic alignment</v>
      </c>
      <c r="C40" s="1" t="str">
        <f>'Thematic Analysis'!F43</f>
        <v>Operational Effectiveness and Efficiency
System Maintenance and Support
Business Alignment
Business Alignment</v>
      </c>
      <c r="D40" s="1" t="str">
        <f>'Thematic Analysis'!G43</f>
        <v>Process optimization
Responsive Support
Strategic Cohesion
Strategic Cohesion</v>
      </c>
      <c r="E40" s="1" t="s">
        <v>600</v>
      </c>
      <c r="F40" s="1" t="s">
        <v>661</v>
      </c>
      <c r="G40" s="1" t="str">
        <f>'Thematic Analysis'!$D43</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1" spans="1:7" s="5" customFormat="1" ht="135" x14ac:dyDescent="0.25">
      <c r="A41" s="2">
        <f t="shared" si="1"/>
        <v>37</v>
      </c>
      <c r="B41" s="1" t="str">
        <f>'Thematic Analysis'!E44</f>
        <v>Strategic alignment
Policy &amp; governance reform
Business reform &amp; strategy
Government priorities &amp; guidelines</v>
      </c>
      <c r="C41" s="1" t="str">
        <f>'Thematic Analysis'!F44</f>
        <v>Business Alignment
Policy and Organizational Reform
Business Alignment
Business Alignment</v>
      </c>
      <c r="D41" s="1" t="str">
        <f>'Thematic Analysis'!G44</f>
        <v>Strategic Cohesion
Governance with Integrity
Strategic Cohesion
Strategic Cohesion</v>
      </c>
      <c r="E41" s="1" t="s">
        <v>601</v>
      </c>
      <c r="F41" s="1" t="s">
        <v>662</v>
      </c>
      <c r="G41" s="1" t="str">
        <f>'Thematic Analysis'!$D44</f>
        <v>The Results and Services Plan guides everything in NSW Health. There are other plans helping out too. The ICT Strategic Plan is one of them, making sure it works well with the main plan. They also look at what the whole government and the country are doing.</v>
      </c>
    </row>
    <row r="42" spans="1:7" s="5" customFormat="1" ht="345" x14ac:dyDescent="0.25">
      <c r="A42" s="2">
        <f t="shared" si="1"/>
        <v>38</v>
      </c>
      <c r="B42" s="1" t="str">
        <f>'Thematic Analysis'!E45</f>
        <v>Consumer experience
Future system planning
Collaboration &amp; teamwork
Funding &amp; cost control
Workforce sustainability
Risk identification &amp; mitigation</v>
      </c>
      <c r="C42" s="1" t="str">
        <f>'Thematic Analysis'!F45</f>
        <v>Consumer Experience and Support
Future Planning and System Demand
Collaboration and Communication
Financial Management and Budgeting
System Maintenance and Support
Risk Identification and Management</v>
      </c>
      <c r="D42" s="1" t="str">
        <f>'Thematic Analysis'!G45</f>
        <v>Customer service
Futureproofing
Teamwork enhancement
Budget control
Responsive Support
Accountable Risk Management</v>
      </c>
      <c r="E42" s="1" t="s">
        <v>602</v>
      </c>
      <c r="F42" s="1" t="s">
        <v>663</v>
      </c>
      <c r="G42" s="1" t="str">
        <f>'Thematic Analysis'!$D45</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3" spans="1:7" s="5" customFormat="1" ht="150" x14ac:dyDescent="0.25">
      <c r="A43" s="2">
        <f t="shared" si="1"/>
        <v>39</v>
      </c>
      <c r="B43" s="1" t="str">
        <f>'Thematic Analysis'!E46</f>
        <v>Risk identification &amp; mitigation
Consumer experience
Preventative solutions</v>
      </c>
      <c r="C43" s="1" t="str">
        <f>'Thematic Analysis'!F46</f>
        <v>Risk Identification and Management
Consumer Experience and Support
Financial Management and Budgeting</v>
      </c>
      <c r="D43" s="1" t="str">
        <f>'Thematic Analysis'!G46</f>
        <v>Accountable Risk Management
Customer service
Budget control</v>
      </c>
      <c r="E43" s="1" t="s">
        <v>603</v>
      </c>
      <c r="F43" s="1" t="s">
        <v>664</v>
      </c>
      <c r="G43" s="1" t="str">
        <f>'Thematic Analysis'!$D46</f>
        <v>NSW Health wants to prevent sickness and promote good health habits. They're focusing on getting more people vaccinated and helping those at risk for diseases like diabetes. ICT can help by sending alerts about things like missed vaccinations or overdue check-ups</v>
      </c>
    </row>
    <row r="44" spans="1:7" s="5" customFormat="1" ht="150" x14ac:dyDescent="0.25">
      <c r="A44" s="2">
        <f t="shared" si="1"/>
        <v>40</v>
      </c>
      <c r="B44" s="1" t="str">
        <f>'Thematic Analysis'!E47</f>
        <v>Service accessibility
Service delivery
Coordination &amp; support
Sustainability initiatives
Information flow
Consumer experience</v>
      </c>
      <c r="C44" s="1" t="str">
        <f>'Thematic Analysis'!F47</f>
        <v>Consumer Experience and Support
Operational Effectiveness and Efficiency
Collaboration and Communication
Policy and Organizational Reform
Data and Information Management
Consumer Experience and Support</v>
      </c>
      <c r="D44" s="1" t="str">
        <f>'Thematic Analysis'!G47</f>
        <v>Customer service
Process optimization
Teamwork enhancement
Governance with Integrity
Data governance
Customer service</v>
      </c>
      <c r="E44" s="1" t="s">
        <v>604</v>
      </c>
      <c r="F44" s="1" t="s">
        <v>665</v>
      </c>
      <c r="G44" s="1" t="str">
        <f>'Thematic Analysis'!$D47</f>
        <v>NSW Health wants to make sure everyone gets the care they need, when they need it. They're using tech to support new ways of caring for people and making sure changes stick. Better info during your care journey means a better experience and getting the right care.</v>
      </c>
    </row>
    <row r="45" spans="1:7" s="5" customFormat="1" ht="120" x14ac:dyDescent="0.25">
      <c r="A45" s="2">
        <f t="shared" si="1"/>
        <v>41</v>
      </c>
      <c r="B45" s="1" t="str">
        <f>'Thematic Analysis'!E48</f>
        <v>Process efficiency
Collaboration &amp; teamwork
Coordination &amp; support
Quality &amp; safety
Resource allocation</v>
      </c>
      <c r="C45" s="1" t="str">
        <f>'Thematic Analysis'!F48</f>
        <v>Operational Effectiveness and Efficiency
Collaboration and Communication
Collaboration and Communication
Operational Effectiveness and Efficiency
Business Alignment</v>
      </c>
      <c r="D45" s="1" t="str">
        <f>'Thematic Analysis'!G48</f>
        <v>Process optimization
Teamwork enhancement
Teamwork enhancement
Process optimization
Strategic Cohesion</v>
      </c>
      <c r="E45" s="1" t="s">
        <v>605</v>
      </c>
      <c r="F45" s="1" t="s">
        <v>666</v>
      </c>
      <c r="G45" s="1" t="str">
        <f>'Thematic Analysis'!$D48</f>
        <v>NSW Health aims to improve healthcare by working better together. They're using tech to help everyone collaborate and use resources wisely. That means better tools for healthcare workers and making sure everyone gets great care.</v>
      </c>
    </row>
    <row r="46" spans="1:7" s="5" customFormat="1" ht="90" x14ac:dyDescent="0.25">
      <c r="A46" s="2">
        <f t="shared" si="1"/>
        <v>42</v>
      </c>
      <c r="B46" s="1" t="str">
        <f>'Thematic Analysis'!E49</f>
        <v>Scope management
Strategic alignment</v>
      </c>
      <c r="C46" s="1" t="str">
        <f>'Thematic Analysis'!F49</f>
        <v>Program and Project Management
Business Alignment</v>
      </c>
      <c r="D46" s="1" t="str">
        <f>'Thematic Analysis'!G49</f>
        <v>Strategic Project Leadership
Strategic Cohesion</v>
      </c>
      <c r="E46" s="1" t="s">
        <v>606</v>
      </c>
      <c r="F46" s="1" t="s">
        <v>667</v>
      </c>
      <c r="G46" s="1" t="str">
        <f>'Thematic Analysis'!$D49</f>
        <v>The NSW Government's IT setup influences NSW Health's ICT plan. They aim to make sure NSW initiatives match up with and sometimes even help shape national and statewide plans</v>
      </c>
    </row>
    <row r="47" spans="1:7" s="5" customFormat="1" ht="240" x14ac:dyDescent="0.25">
      <c r="A47" s="2">
        <f t="shared" si="1"/>
        <v>43</v>
      </c>
      <c r="B47" s="1" t="str">
        <f>'Thematic Analysis'!E50</f>
        <v>Technology advancement
Strategic alignment</v>
      </c>
      <c r="C47" s="1" t="str">
        <f>'Thematic Analysis'!F50</f>
        <v>System and Technology Improvement
Business Alignment</v>
      </c>
      <c r="D47" s="1" t="str">
        <f>'Thematic Analysis'!G50</f>
        <v>Innovative Evolution
Strategic Cohesion</v>
      </c>
      <c r="E47" s="1" t="s">
        <v>607</v>
      </c>
      <c r="F47" s="1" t="s">
        <v>668</v>
      </c>
      <c r="G47" s="1" t="str">
        <f>'Thematic Analysis'!$D50</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8" spans="1:7" s="5" customFormat="1" ht="180" x14ac:dyDescent="0.25">
      <c r="A48" s="2">
        <f t="shared" si="1"/>
        <v>44</v>
      </c>
      <c r="B48" s="1" t="str">
        <f>'Thematic Analysis'!E51</f>
        <v>Data sharing &amp; integration</v>
      </c>
      <c r="C48" s="1" t="str">
        <f>'Thematic Analysis'!F51</f>
        <v>Data and Information Management</v>
      </c>
      <c r="D48" s="1" t="str">
        <f>'Thematic Analysis'!G51</f>
        <v>Data governance</v>
      </c>
      <c r="E48" s="1" t="s">
        <v>232</v>
      </c>
      <c r="F48" s="1" t="s">
        <v>288</v>
      </c>
      <c r="G48" s="1" t="str">
        <f>'Thematic Analysis'!$D51</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9" spans="1:7" s="5" customFormat="1" ht="255" x14ac:dyDescent="0.25">
      <c r="A49" s="2">
        <f t="shared" si="1"/>
        <v>45</v>
      </c>
      <c r="B49" s="1" t="str">
        <f>'Thematic Analysis'!E52</f>
        <v>Government priorities &amp; guidelines
Business reform &amp; strategy
Inclusion &amp; equity
Preventative solutions</v>
      </c>
      <c r="C49" s="1" t="str">
        <f>'Thematic Analysis'!F52</f>
        <v>Business Alignment
Business Alignment
Data and Information Management
Financial Management and Budgeting</v>
      </c>
      <c r="D49" s="1" t="str">
        <f>'Thematic Analysis'!G52</f>
        <v>Strategic Cohesion
Strategic Cohesion
Data governance
Budget control</v>
      </c>
      <c r="E49" s="1" t="s">
        <v>608</v>
      </c>
      <c r="F49" s="1" t="s">
        <v>669</v>
      </c>
      <c r="G49" s="1" t="str">
        <f>'Thematic Analysis'!$D52</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50" spans="1:7" s="5" customFormat="1" ht="210" x14ac:dyDescent="0.25">
      <c r="A50" s="2">
        <f t="shared" si="1"/>
        <v>46</v>
      </c>
      <c r="B50" s="1" t="str">
        <f>'Thematic Analysis'!E53</f>
        <v>Collaboration &amp; teamwork
Standardization
Data sharing &amp; integration
Compliance &amp; regulations</v>
      </c>
      <c r="C50" s="1" t="str">
        <f>'Thematic Analysis'!F53</f>
        <v>Collaboration and Communication
Operational Effectiveness and Efficiency
Data and Information Management
Compliance and Governance</v>
      </c>
      <c r="D50" s="1" t="str">
        <f>'Thematic Analysis'!G53</f>
        <v>Teamwork enhancement
Process optimization
Data governance
Regulatory adherence</v>
      </c>
      <c r="E50" s="1" t="s">
        <v>609</v>
      </c>
      <c r="F50" s="1" t="s">
        <v>670</v>
      </c>
      <c r="G50" s="1" t="str">
        <f>'Thematic Analysis'!$D53</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1" spans="1:7" s="5" customFormat="1" ht="120" x14ac:dyDescent="0.25">
      <c r="A51" s="2">
        <f t="shared" si="1"/>
        <v>47</v>
      </c>
      <c r="B51" s="1" t="str">
        <f>'Thematic Analysis'!E54</f>
        <v>Compliance &amp; regulations
Strategic alignment
System interoperability
Standardization
Data integrity &amp; privacy
Secure data practices</v>
      </c>
      <c r="C51" s="1" t="str">
        <f>'Thematic Analysis'!F54</f>
        <v>Compliance and Governance
Business Alignment
Compliance and Governance
Operational Effectiveness and Efficiency
Data Security, Quality and Privacy
Data Security, Quality and Privacy</v>
      </c>
      <c r="D51" s="1" t="str">
        <f>'Thematic Analysis'!G54</f>
        <v>Regulatory adherence
Strategic Cohesion
Regulatory adherence
Process optimization
Data integrity
Data integrity</v>
      </c>
      <c r="E51" s="1" t="s">
        <v>610</v>
      </c>
      <c r="F51" s="1" t="s">
        <v>671</v>
      </c>
      <c r="G51" s="1" t="str">
        <f>'Thematic Analysis'!$D54</f>
        <v>To tackle challenges and prepare for the future, NSW Health is changing how it delivers services. Implementing IT solutions to support staff and integrate business processes is key for sustainable service delivery changes.</v>
      </c>
    </row>
    <row r="52" spans="1:7" s="5" customFormat="1" ht="195" x14ac:dyDescent="0.25">
      <c r="A52" s="2">
        <f t="shared" si="1"/>
        <v>48</v>
      </c>
      <c r="B52" s="1" t="str">
        <f>'Thematic Analysis'!E55</f>
        <v>Strategic alignment
Investment planning
Funding &amp; cost control
Project prioritization</v>
      </c>
      <c r="C52" s="1" t="str">
        <f>'Thematic Analysis'!F55</f>
        <v>Business Alignment
Financial Management and Budgeting
Financial Management and Budgeting
Program and Project Management</v>
      </c>
      <c r="D52" s="1" t="str">
        <f>'Thematic Analysis'!G55</f>
        <v>Strategic Cohesion
Budget control
Budget control
Strategic Project Leadership</v>
      </c>
      <c r="E52" s="1" t="s">
        <v>611</v>
      </c>
      <c r="F52" s="1" t="s">
        <v>672</v>
      </c>
      <c r="G52" s="1" t="str">
        <f>'Thematic Analysis'!$D55</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3" spans="1:7" s="5" customFormat="1" ht="120" x14ac:dyDescent="0.25">
      <c r="A53" s="2">
        <f t="shared" si="1"/>
        <v>49</v>
      </c>
      <c r="B53" s="1" t="str">
        <f>'Thematic Analysis'!E56</f>
        <v>User support
System deployment
System maintenance</v>
      </c>
      <c r="C53" s="1" t="str">
        <f>'Thematic Analysis'!F56</f>
        <v>Consumer Experience and Support
System Deployment and Integration
System Maintenance and Support</v>
      </c>
      <c r="D53" s="1" t="str">
        <f>'Thematic Analysis'!G56</f>
        <v>Customer service
Reliable Implementation
Responsive Support</v>
      </c>
      <c r="E53" s="1" t="s">
        <v>612</v>
      </c>
      <c r="F53" s="1" t="s">
        <v>673</v>
      </c>
      <c r="G53" s="1" t="str">
        <f>'Thematic Analysis'!$D56</f>
        <v>Health Support Services sets up and maintains key computer systems for healthcare. They give specific IT help to Area Health Services as defined by the law. This includes managing computers, software, and helping with setting up systems.</v>
      </c>
    </row>
    <row r="54" spans="1:7" s="5" customFormat="1" ht="105" x14ac:dyDescent="0.25">
      <c r="A54" s="2">
        <f t="shared" si="1"/>
        <v>50</v>
      </c>
      <c r="B54" s="1" t="str">
        <f>'Thematic Analysis'!E57</f>
        <v>Service delivery
System deployment
Skills development
Benefit realization</v>
      </c>
      <c r="C54" s="1" t="str">
        <f>'Thematic Analysis'!F57</f>
        <v>Operational Effectiveness and Efficiency
System Deployment and Integration
Employee Training and Development
Business Alignment</v>
      </c>
      <c r="D54" s="1" t="str">
        <f>'Thematic Analysis'!G57</f>
        <v>Process optimization
Reliable Implementation
Employee development
Strategic Cohesion</v>
      </c>
      <c r="E54" s="1" t="s">
        <v>613</v>
      </c>
      <c r="F54" s="1" t="s">
        <v>674</v>
      </c>
      <c r="G54" s="1" t="str">
        <f>'Thematic Analysis'!$D57</f>
        <v>Area Health Services are responsible for the management of local
implementations, change management and training of staff and benefits
realisation.</v>
      </c>
    </row>
    <row r="55" spans="1:7" s="5" customFormat="1" ht="105" x14ac:dyDescent="0.25">
      <c r="A55" s="2">
        <f t="shared" si="1"/>
        <v>51</v>
      </c>
      <c r="B55" s="1" t="str">
        <f>'Thematic Analysis'!E58</f>
        <v>Project prioritization
Investment planning
Benefit realization
Standardization
Collaboration &amp; teamwork</v>
      </c>
      <c r="C55" s="1" t="str">
        <f>'Thematic Analysis'!F58</f>
        <v>Program and Project Management
Financial Management and Budgeting
Business Alignment
Operational Effectiveness and Efficiency
Collaboration and Communication</v>
      </c>
      <c r="D55" s="1" t="str">
        <f>'Thematic Analysis'!G58</f>
        <v>Strategic Project Leadership
Budget control
Strategic Cohesion
Process optimization
Teamwork enhancement</v>
      </c>
      <c r="E55" s="1" t="s">
        <v>614</v>
      </c>
      <c r="F55" s="1" t="s">
        <v>675</v>
      </c>
      <c r="G55" s="1" t="str">
        <f>'Thematic Analysis'!$D58</f>
        <v>They pick the most important projects and invest wisely for the health system. We work together on ICT stuff and have clear rules. This helps us decide what to build and how to run things</v>
      </c>
    </row>
    <row r="56" spans="1:7" s="5" customFormat="1" ht="105" x14ac:dyDescent="0.25">
      <c r="A56" s="2">
        <f t="shared" si="1"/>
        <v>52</v>
      </c>
      <c r="B56" s="1" t="str">
        <f>'Thematic Analysis'!E59</f>
        <v>Project prioritization
Performance monitoring
Strategic alignment</v>
      </c>
      <c r="C56" s="1" t="str">
        <f>'Thematic Analysis'!F59</f>
        <v>Program and Project Management
System Maintenance and Support
Business Alignment</v>
      </c>
      <c r="D56" s="1" t="str">
        <f>'Thematic Analysis'!G59</f>
        <v>Strategic Project Leadership
Responsive Support
Strategic Cohesion</v>
      </c>
      <c r="E56" s="1" t="s">
        <v>615</v>
      </c>
      <c r="F56" s="1" t="s">
        <v>676</v>
      </c>
      <c r="G56" s="1" t="str">
        <f>'Thematic Analysis'!$D59</f>
        <v>NSW Health uses a coordinated approach to manage ICT projects. This helps us evaluate, prioritize, select, and monitor programs and projects. We adjust as needed to meet our business goals.</v>
      </c>
    </row>
    <row r="57" spans="1:7" s="5" customFormat="1" ht="60" x14ac:dyDescent="0.25">
      <c r="A57" s="2">
        <f t="shared" si="1"/>
        <v>53</v>
      </c>
      <c r="B57" s="1" t="str">
        <f>'Thematic Analysis'!E60</f>
        <v>Standardization
Policy &amp; governance reform</v>
      </c>
      <c r="C57" s="1" t="str">
        <f>'Thematic Analysis'!F60</f>
        <v>Operational Effectiveness and Efficiency
Policy and Organizational Reform</v>
      </c>
      <c r="D57" s="1" t="str">
        <f>'Thematic Analysis'!G60</f>
        <v>Process optimization
Governance with Integrity</v>
      </c>
      <c r="E57" s="1" t="s">
        <v>616</v>
      </c>
      <c r="F57" s="1" t="s">
        <v>677</v>
      </c>
      <c r="G57" s="1" t="str">
        <f>'Thematic Analysis'!$D60</f>
        <v>They have set ways of doing things that support our ICT plan. These cover every step of a project's life.</v>
      </c>
    </row>
    <row r="58" spans="1:7" s="5" customFormat="1" ht="135" x14ac:dyDescent="0.25">
      <c r="A58" s="2">
        <f t="shared" si="1"/>
        <v>54</v>
      </c>
      <c r="B58" s="1" t="str">
        <f>'Thematic Analysis'!E61</f>
        <v>Collaboration &amp; teamwork
Policy &amp; governance reform
Standardization</v>
      </c>
      <c r="C58" s="1" t="str">
        <f>'Thematic Analysis'!F61</f>
        <v>Collaboration and Communication
Policy and Organizational Reform
Operational Effectiveness and Efficiency</v>
      </c>
      <c r="D58" s="1" t="str">
        <f>'Thematic Analysis'!G61</f>
        <v>Teamwork enhancement
Governance with Integrity
Process optimization</v>
      </c>
      <c r="E58" s="1" t="s">
        <v>617</v>
      </c>
      <c r="F58" s="1" t="s">
        <v>678</v>
      </c>
      <c r="G58" s="1" t="str">
        <f>'Thematic Analysis'!$D61</f>
        <v>To make the strategy work, NSW Health collaborates with the Department of Health, Area Health Services, Health Technology, and third-party providers, using shared decision-making processes and building core applications at the state level</v>
      </c>
    </row>
    <row r="59" spans="1:7" s="5" customFormat="1" ht="150" x14ac:dyDescent="0.25">
      <c r="A59" s="2">
        <f t="shared" si="1"/>
        <v>55</v>
      </c>
      <c r="B59" s="1" t="str">
        <f>'Thematic Analysis'!E62</f>
        <v>Data management
Resource allocation
Performance monitoring</v>
      </c>
      <c r="C59" s="1" t="str">
        <f>'Thematic Analysis'!F62</f>
        <v>Data and Information Management
Business Alignment
System Maintenance and Support</v>
      </c>
      <c r="D59" s="1" t="str">
        <f>'Thematic Analysis'!G62</f>
        <v>Data governance
Strategic Cohesion
Responsive Support</v>
      </c>
      <c r="E59" s="1" t="s">
        <v>618</v>
      </c>
      <c r="F59" s="1" t="s">
        <v>679</v>
      </c>
      <c r="G59" s="1" t="str">
        <f>'Thematic Analysis'!$D62</f>
        <v>Applications and projects are categorized as core, common, or divergent, influencing their prioritization, funding, and management, with core ones managed by the Department, common ones collaboratively, and divergent ones allowing for innovative solutions to local needs.</v>
      </c>
    </row>
    <row r="60" spans="1:7" s="5" customFormat="1" ht="150" x14ac:dyDescent="0.25">
      <c r="A60" s="2">
        <f t="shared" si="1"/>
        <v>56</v>
      </c>
      <c r="B60" s="1" t="str">
        <f>'Thematic Analysis'!E63</f>
        <v>Strategic alignment
Risk identification &amp; mitigation
Strategic alignment</v>
      </c>
      <c r="C60" s="1" t="str">
        <f>'Thematic Analysis'!F63</f>
        <v>Business Alignment
Risk Identification and Management
Business Alignment</v>
      </c>
      <c r="D60" s="1" t="str">
        <f>'Thematic Analysis'!G63</f>
        <v>Strategic Cohesion
Accountable Risk Management
Strategic Cohesion</v>
      </c>
      <c r="E60" s="1" t="s">
        <v>619</v>
      </c>
      <c r="F60" s="1" t="s">
        <v>680</v>
      </c>
      <c r="G60" s="1" t="str">
        <f>'Thematic Analysis'!$D63</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1" spans="1:7" s="5" customFormat="1" ht="150" x14ac:dyDescent="0.25">
      <c r="A61" s="2">
        <f t="shared" si="1"/>
        <v>57</v>
      </c>
      <c r="B61" s="1" t="str">
        <f>'Thematic Analysis'!E64</f>
        <v>Project prioritization
Integration capabilities
Knowledge &amp; content management</v>
      </c>
      <c r="C61" s="1" t="str">
        <f>'Thematic Analysis'!F64</f>
        <v>Program and Project Management
System Deployment and Integration
Data and Information Management</v>
      </c>
      <c r="D61" s="1" t="str">
        <f>'Thematic Analysis'!G64</f>
        <v>Strategic Project Leadership
Reliable Implementation
Data governance</v>
      </c>
      <c r="E61" s="1" t="s">
        <v>620</v>
      </c>
      <c r="F61" s="1" t="s">
        <v>681</v>
      </c>
      <c r="G61" s="1" t="str">
        <f>'Thematic Analysis'!$D64</f>
        <v>In the Content Development phase, they design and build a prototype, then review it with clinicians. We use a method called Fast Track, which makes the process quicker. The prototype helps clinicians understand the application better and decide if it works for them</v>
      </c>
    </row>
    <row r="62" spans="1:7" s="5" customFormat="1" ht="240" x14ac:dyDescent="0.25">
      <c r="A62" s="2">
        <f t="shared" si="1"/>
        <v>58</v>
      </c>
      <c r="B62" s="1" t="str">
        <f>'Thematic Analysis'!E65</f>
        <v>Knowledge &amp; content management
Resource allocation
Skills development
Scope management</v>
      </c>
      <c r="C62" s="1" t="str">
        <f>'Thematic Analysis'!F65</f>
        <v>Data and Information Management
Business Alignment
Employee Training and Development
Program and Project Management</v>
      </c>
      <c r="D62" s="1" t="str">
        <f>'Thematic Analysis'!G65</f>
        <v>Data governance
Strategic Cohesion
Employee development
Strategic Project Leadership</v>
      </c>
      <c r="E62" s="1" t="s">
        <v>621</v>
      </c>
      <c r="F62" s="1" t="s">
        <v>682</v>
      </c>
      <c r="G62" s="1" t="str">
        <f>'Thematic Analysis'!$D65</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3" spans="1:7" s="5" customFormat="1" ht="165" x14ac:dyDescent="0.25">
      <c r="A63" s="2">
        <f t="shared" si="1"/>
        <v>59</v>
      </c>
      <c r="B63" s="1" t="str">
        <f>'Thematic Analysis'!E66</f>
        <v>Inclusion &amp; equity
Scope management</v>
      </c>
      <c r="C63" s="1" t="str">
        <f>'Thematic Analysis'!F66</f>
        <v>Data and Information Management
Program and Project Management</v>
      </c>
      <c r="D63" s="1" t="str">
        <f>'Thematic Analysis'!G66</f>
        <v>Data governance
Strategic Project Leadership</v>
      </c>
      <c r="E63" s="1" t="s">
        <v>622</v>
      </c>
      <c r="F63" s="1" t="s">
        <v>683</v>
      </c>
      <c r="G63" s="1" t="str">
        <f>'Thematic Analysis'!$D66</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4" spans="1:7" s="5" customFormat="1" ht="165" x14ac:dyDescent="0.25">
      <c r="A64" s="2">
        <f t="shared" si="1"/>
        <v>60</v>
      </c>
      <c r="B64" s="1" t="str">
        <f>'Thematic Analysis'!E67</f>
        <v>Strategic alignment
Project prioritization
Resource allocation</v>
      </c>
      <c r="C64" s="1" t="str">
        <f>'Thematic Analysis'!F67</f>
        <v>Business Alignment
Program and Project Management
Business Alignment</v>
      </c>
      <c r="D64" s="1" t="str">
        <f>'Thematic Analysis'!G67</f>
        <v>Strategic Cohesion
Strategic Project Leadership
Strategic Cohesion</v>
      </c>
      <c r="E64" s="1" t="s">
        <v>623</v>
      </c>
      <c r="F64" s="1" t="s">
        <v>684</v>
      </c>
      <c r="G64" s="1" t="str">
        <f>'Thematic Analysis'!$D67</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5" spans="1:7" s="5" customFormat="1" ht="165" x14ac:dyDescent="0.25">
      <c r="A65" s="2">
        <f t="shared" si="1"/>
        <v>61</v>
      </c>
      <c r="B65" s="1" t="str">
        <f>'Thematic Analysis'!E68</f>
        <v>Project prioritization
Integration capabilities
System compatibility</v>
      </c>
      <c r="C65" s="1" t="str">
        <f>'Thematic Analysis'!F68</f>
        <v>Program and Project Management
System Deployment and Integration
Standardization and Streamlining Processes</v>
      </c>
      <c r="D65" s="1" t="str">
        <f>'Thematic Analysis'!G68</f>
        <v>Strategic Project Leadership
Reliable Implementation
Consistent Excellence</v>
      </c>
      <c r="E65" s="1" t="s">
        <v>624</v>
      </c>
      <c r="F65" s="1" t="s">
        <v>685</v>
      </c>
      <c r="G65" s="1" t="str">
        <f>'Thematic Analysis'!$D68</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6" spans="1:7" s="5" customFormat="1" ht="135" x14ac:dyDescent="0.25">
      <c r="A66" s="2">
        <f t="shared" si="1"/>
        <v>62</v>
      </c>
      <c r="B66" s="1" t="str">
        <f>'Thematic Analysis'!E69</f>
        <v>Integration capabilities
Process efficiency
Data integrity &amp; privacy
Secure data practices</v>
      </c>
      <c r="C66" s="1" t="str">
        <f>'Thematic Analysis'!F69</f>
        <v>System Deployment and Integration
Operational Effectiveness and Efficiency
Data Security, Quality and Privacy
Data Security, Quality and Privacy</v>
      </c>
      <c r="D66" s="1" t="str">
        <f>'Thematic Analysis'!G69</f>
        <v>Reliable Implementation
Process optimization
Data integrity
Data integrity</v>
      </c>
      <c r="E66" s="1" t="s">
        <v>625</v>
      </c>
      <c r="F66" s="1" t="s">
        <v>686</v>
      </c>
      <c r="G66" s="1" t="str">
        <f>'Thematic Analysis'!$D69</f>
        <v>The Corporate Systems Strategy sets up essential systems to support the Corporate Shared Services reform program, cutting duplication and costs in administrative tasks to redirect funds to frontline care, with the Corporate Systems program as its backbone.</v>
      </c>
    </row>
    <row r="67" spans="1:7" s="5" customFormat="1" ht="180" x14ac:dyDescent="0.25">
      <c r="A67" s="2">
        <f t="shared" si="1"/>
        <v>63</v>
      </c>
      <c r="B67" s="1" t="str">
        <f>'Thematic Analysis'!E70</f>
        <v>Performance monitoring
Data management
Performance monitoring
Integration capabilities
Unified platforms
Data sharing &amp; integration
Data integrity &amp; privacy</v>
      </c>
      <c r="C67" s="1" t="str">
        <f>'Thematic Analysis'!F70</f>
        <v>System Maintenance and Support
Data and Information Management
System Maintenance and Support
System Deployment and Integration
System Deployment and Integration
Data and Information Management
Data Security, Quality and Privacy</v>
      </c>
      <c r="D67" s="1" t="str">
        <f>'Thematic Analysis'!G70</f>
        <v>Responsive Support
Data governance
Responsive Support
Reliable Implementation
Reliable Implementation
Data governance
Data integrity</v>
      </c>
      <c r="E67" s="1" t="s">
        <v>626</v>
      </c>
      <c r="F67" s="1" t="s">
        <v>687</v>
      </c>
      <c r="G67" s="1" t="str">
        <f>'Thematic Analysis'!$D70</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8" spans="1:7" s="5" customFormat="1" ht="150" x14ac:dyDescent="0.25">
      <c r="A68" s="2">
        <f t="shared" si="1"/>
        <v>64</v>
      </c>
      <c r="B68" s="1" t="str">
        <f>'Thematic Analysis'!E71</f>
        <v>Project prioritization
Strategic alignment
Performance monitoring</v>
      </c>
      <c r="C68" s="1" t="str">
        <f>'Thematic Analysis'!F71</f>
        <v>Program and Project Management
Business Alignment
System Maintenance and Support</v>
      </c>
      <c r="D68" s="1" t="str">
        <f>'Thematic Analysis'!G71</f>
        <v>Strategic Project Leadership
Strategic Cohesion
Responsive Support</v>
      </c>
      <c r="E68" s="1" t="s">
        <v>627</v>
      </c>
      <c r="F68" s="1" t="s">
        <v>688</v>
      </c>
      <c r="G68" s="1" t="str">
        <f>'Thematic Analysis'!$D71</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9" spans="1:7" s="5" customFormat="1" ht="120" x14ac:dyDescent="0.25">
      <c r="A69" s="2">
        <f t="shared" si="1"/>
        <v>65</v>
      </c>
      <c r="B69" s="1" t="str">
        <f>'Thematic Analysis'!E72</f>
        <v>Infrastructure efficiency
Standardization
Resource allocation</v>
      </c>
      <c r="C69" s="1" t="str">
        <f>'Thematic Analysis'!F72</f>
        <v>Infrastructure and Hardware Management
Operational Effectiveness and Efficiency
Business Alignment</v>
      </c>
      <c r="D69" s="1" t="str">
        <f>'Thematic Analysis'!G72</f>
        <v>Sustainable Systems
Process optimization
Strategic Cohesion</v>
      </c>
      <c r="E69" s="1" t="s">
        <v>628</v>
      </c>
      <c r="F69" s="1" t="s">
        <v>689</v>
      </c>
      <c r="G69" s="1" t="str">
        <f>'Thematic Analysis'!$D72</f>
        <v>The Sustainable Infrastructure program aims to streamline technical infrastructure, establish and uphold standards and architecture for statewide ICT initiatives, and ensure maximum benefit from ICT investments.</v>
      </c>
    </row>
    <row r="70" spans="1:7" s="5" customFormat="1" ht="105" x14ac:dyDescent="0.25">
      <c r="A70" s="2">
        <f t="shared" si="1"/>
        <v>66</v>
      </c>
      <c r="B70" s="1" t="str">
        <f>'Thematic Analysis'!E73</f>
        <v>Infrastructure efficiency
Standardization
Data integrity &amp; privacy</v>
      </c>
      <c r="C70" s="1" t="str">
        <f>'Thematic Analysis'!F73</f>
        <v>Infrastructure and Hardware Management
Operational Effectiveness and Efficiency
Data Security, Quality and Privacy</v>
      </c>
      <c r="D70" s="1" t="str">
        <f>'Thematic Analysis'!G73</f>
        <v>Sustainable Systems
Process optimization
Data integrity</v>
      </c>
      <c r="E70" s="1" t="s">
        <v>629</v>
      </c>
      <c r="F70" s="1" t="s">
        <v>690</v>
      </c>
      <c r="G70" s="1" t="str">
        <f>'Thematic Analysis'!$D73</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atergorie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SubCatergorie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C32EB-6237-4D26-B3D1-613AC55CA332}">
  <sheetPr codeName="Sheet3"/>
  <dimension ref="A2:D8"/>
  <sheetViews>
    <sheetView workbookViewId="0">
      <selection activeCell="G7" sqref="G7"/>
    </sheetView>
  </sheetViews>
  <sheetFormatPr defaultRowHeight="15" x14ac:dyDescent="0.25"/>
  <cols>
    <col min="1" max="1" width="6.85546875" bestFit="1" customWidth="1"/>
    <col min="2" max="2" width="7.140625" bestFit="1" customWidth="1"/>
    <col min="3" max="3" width="17.5703125" bestFit="1" customWidth="1"/>
    <col min="4" max="4" width="42.5703125" bestFit="1" customWidth="1"/>
  </cols>
  <sheetData>
    <row r="2" spans="1:4" x14ac:dyDescent="0.25">
      <c r="A2" s="51" t="s">
        <v>342</v>
      </c>
      <c r="B2" s="51"/>
      <c r="C2" s="51"/>
      <c r="D2" s="51"/>
    </row>
    <row r="3" spans="1:4" x14ac:dyDescent="0.25">
      <c r="A3" t="s">
        <v>328</v>
      </c>
      <c r="B3" t="s">
        <v>329</v>
      </c>
      <c r="C3" t="s">
        <v>330</v>
      </c>
      <c r="D3" t="s">
        <v>331</v>
      </c>
    </row>
    <row r="4" spans="1:4" x14ac:dyDescent="0.25">
      <c r="A4" s="40">
        <v>0</v>
      </c>
      <c r="B4" s="40">
        <v>0.15</v>
      </c>
      <c r="C4" t="s">
        <v>332</v>
      </c>
      <c r="D4" t="s">
        <v>333</v>
      </c>
    </row>
    <row r="5" spans="1:4" x14ac:dyDescent="0.25">
      <c r="A5" s="40">
        <v>0.15</v>
      </c>
      <c r="B5" s="40">
        <v>0.3</v>
      </c>
      <c r="C5" t="s">
        <v>334</v>
      </c>
      <c r="D5" t="s">
        <v>335</v>
      </c>
    </row>
    <row r="6" spans="1:4" x14ac:dyDescent="0.25">
      <c r="A6" s="40">
        <v>0.3</v>
      </c>
      <c r="B6" s="40">
        <v>0.6</v>
      </c>
      <c r="C6" t="s">
        <v>336</v>
      </c>
      <c r="D6" t="s">
        <v>337</v>
      </c>
    </row>
    <row r="7" spans="1:4" x14ac:dyDescent="0.25">
      <c r="A7" s="40">
        <v>0.6</v>
      </c>
      <c r="B7" s="40">
        <v>0.8</v>
      </c>
      <c r="C7" t="s">
        <v>338</v>
      </c>
      <c r="D7" t="s">
        <v>339</v>
      </c>
    </row>
    <row r="8" spans="1:4" x14ac:dyDescent="0.25">
      <c r="A8" s="40">
        <v>0.8</v>
      </c>
      <c r="B8" s="40">
        <v>1</v>
      </c>
      <c r="C8" t="s">
        <v>340</v>
      </c>
      <c r="D8" t="s">
        <v>341</v>
      </c>
    </row>
  </sheetData>
  <mergeCells count="1">
    <mergeCell ref="A2:D2"/>
  </mergeCell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Thematic Analysis</vt:lpstr>
      <vt:lpstr>Glossary</vt:lpstr>
      <vt:lpstr>Search Data</vt:lpstr>
      <vt:lpstr>Tool Data</vt:lpstr>
      <vt:lpstr>Risk Matrix</vt:lpstr>
      <vt:lpstr>Catergories</vt:lpstr>
      <vt:lpstr>Factors</vt:lpstr>
      <vt:lpstr>Factors_List</vt:lpstr>
      <vt:lpstr>Groups</vt:lpstr>
      <vt:lpstr>Search_Factors</vt:lpstr>
      <vt:lpstr>Sub_catergories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 Galbraith [ncg33]</cp:lastModifiedBy>
  <dcterms:created xsi:type="dcterms:W3CDTF">2015-06-05T18:17:20Z</dcterms:created>
  <dcterms:modified xsi:type="dcterms:W3CDTF">2025-06-24T21:19:39Z</dcterms:modified>
</cp:coreProperties>
</file>