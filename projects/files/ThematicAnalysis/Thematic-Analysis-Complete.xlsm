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BE1B57C6-A88F-42B7-85BE-81D42FC512E0}" xr6:coauthVersionLast="47" xr6:coauthVersionMax="47" xr10:uidLastSave="{00000000-0000-0000-0000-000000000000}"/>
  <bookViews>
    <workbookView xWindow="28680" yWindow="-120" windowWidth="29040" windowHeight="15840" activeTab="3"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atergories">Table6[Catergories]</definedName>
    <definedName name="Concerns_List">Table2[Factors]</definedName>
    <definedName name="Factors">'Thematic Analysis'!$E$8:$E$73</definedName>
    <definedName name="Groups">'Thematic Analysis'!$F$8:$F$73</definedName>
    <definedName name="Search_Factors">Table6[Factors]</definedName>
    <definedName name="Sub_catergories">Table6[Sub Catergories]</definedName>
    <definedName name="Sub_Group">'Thematic Analysis'!$G$8:$G$73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9" l="1"/>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5" i="9"/>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5" i="8"/>
  <c r="A26" i="8"/>
  <c r="A27" i="8"/>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210" i="8" s="1"/>
  <c r="A211" i="8" s="1"/>
  <c r="A212" i="8" s="1"/>
  <c r="A213" i="8" s="1"/>
  <c r="A214" i="8" s="1"/>
  <c r="A215" i="8" s="1"/>
  <c r="A216" i="8" s="1"/>
  <c r="A217" i="8" s="1"/>
  <c r="D218" i="8"/>
  <c r="A6" i="8"/>
  <c r="A7" i="8" s="1"/>
  <c r="A8" i="8" s="1"/>
  <c r="A9" i="8" s="1"/>
  <c r="A10" i="8" s="1"/>
  <c r="A11" i="8" s="1"/>
  <c r="A12" i="8" s="1"/>
  <c r="A13" i="8" s="1"/>
  <c r="A14" i="8" s="1"/>
  <c r="A15" i="8" s="1"/>
  <c r="A16" i="8" s="1"/>
  <c r="A17" i="8" s="1"/>
  <c r="A18" i="8" s="1"/>
  <c r="A19" i="8" s="1"/>
  <c r="A20" i="8" s="1"/>
  <c r="A21" i="8" s="1"/>
  <c r="A22" i="8" s="1"/>
  <c r="A23" i="8" s="1"/>
  <c r="A24" i="8" s="1"/>
  <c r="A25" i="8" s="1"/>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3" i="9"/>
  <c r="B6" i="9" l="1"/>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5" i="9"/>
  <c r="G5" i="9"/>
  <c r="F3" i="9"/>
  <c r="E3" i="9"/>
  <c r="B3" i="9"/>
  <c r="A4" i="2"/>
  <c r="B4" i="2"/>
  <c r="C4" i="2"/>
  <c r="G27" i="2"/>
  <c r="E7" i="2"/>
  <c r="C219" i="2"/>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I68" i="1"/>
  <c r="I28" i="1"/>
  <c r="I45" i="1"/>
  <c r="I23" i="1"/>
  <c r="I47" i="1"/>
  <c r="I26" i="1"/>
  <c r="I69" i="1"/>
  <c r="I9" i="1"/>
  <c r="I17" i="1"/>
  <c r="I48" i="1"/>
  <c r="I50" i="1"/>
  <c r="I53" i="1"/>
  <c r="I55" i="1"/>
  <c r="I63" i="1"/>
  <c r="I21" i="1"/>
  <c r="I33" i="1"/>
  <c r="I35" i="1"/>
  <c r="I22" i="1"/>
  <c r="I52" i="1"/>
  <c r="I36" i="1"/>
  <c r="I73" i="1"/>
  <c r="I38" i="1"/>
  <c r="I10" i="1"/>
  <c r="I62" i="1"/>
  <c r="I66" i="1"/>
  <c r="I70" i="1"/>
  <c r="I57" i="1"/>
  <c r="I13" i="1"/>
  <c r="I8" i="1"/>
  <c r="I42" i="1"/>
  <c r="I25" i="1"/>
  <c r="I54" i="1"/>
  <c r="I15" i="1"/>
  <c r="I51" i="1"/>
  <c r="I37" i="1"/>
  <c r="I19" i="1"/>
  <c r="I46" i="1"/>
  <c r="I27" i="1"/>
  <c r="I14" i="1"/>
  <c r="I71" i="1"/>
  <c r="I43" i="1"/>
  <c r="I41" i="1"/>
  <c r="I60" i="1"/>
  <c r="I18" i="1"/>
  <c r="I20" i="1"/>
  <c r="I67" i="1"/>
  <c r="I58" i="1"/>
  <c r="I32" i="1"/>
  <c r="I39" i="1"/>
  <c r="I56" i="1"/>
  <c r="I34" i="1"/>
  <c r="I40" i="1"/>
  <c r="I12" i="1"/>
  <c r="I65" i="1"/>
  <c r="I30" i="1"/>
  <c r="I24" i="1"/>
  <c r="I11" i="1"/>
  <c r="I29" i="1"/>
  <c r="I64" i="1"/>
  <c r="I49" i="1"/>
  <c r="I44" i="1"/>
  <c r="I61" i="1"/>
  <c r="I31" i="1"/>
  <c r="I72" i="1"/>
  <c r="I16" i="1"/>
  <c r="I59" i="1"/>
  <c r="A6" i="9" l="1"/>
  <c r="A7" i="9"/>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alcChain>
</file>

<file path=xl/sharedStrings.xml><?xml version="1.0" encoding="utf-8"?>
<sst xmlns="http://schemas.openxmlformats.org/spreadsheetml/2006/main" count="1659" uniqueCount="1126">
  <si>
    <t>Thematic analysis and coding template</t>
  </si>
  <si>
    <t>What are you looking for? What is your discovery question/purpose</t>
  </si>
  <si>
    <t>Notes/Additional</t>
  </si>
  <si>
    <t>Page 6</t>
  </si>
  <si>
    <t>Page 8</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</si>
  <si>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</si>
  <si>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</si>
  <si>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</si>
  <si>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</si>
  <si>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</si>
  <si>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</si>
  <si>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</si>
  <si>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</si>
  <si>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</si>
  <si>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</si>
  <si>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</si>
  <si>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</si>
  <si>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</si>
  <si>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</si>
  <si>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</si>
  <si>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</si>
  <si>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</si>
  <si>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</si>
  <si>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</si>
  <si>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</si>
  <si>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</si>
  <si>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</si>
  <si>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</si>
  <si>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</si>
  <si>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</si>
  <si>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</si>
  <si>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</si>
  <si>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</si>
  <si>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</si>
  <si>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</si>
  <si>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</si>
  <si>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</si>
  <si>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</si>
  <si>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</si>
  <si>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</si>
  <si>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</si>
  <si>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</si>
  <si>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</si>
  <si>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</si>
  <si>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</si>
  <si>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</si>
  <si>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</si>
  <si>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</si>
  <si>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</si>
  <si>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</si>
  <si>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</si>
  <si>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</si>
  <si>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</si>
  <si>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</si>
  <si>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</si>
  <si>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</si>
  <si>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</si>
  <si>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</si>
  <si>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</si>
  <si>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</si>
  <si>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</si>
  <si>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</si>
  <si>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</si>
  <si>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</si>
  <si>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</si>
  <si>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</si>
  <si>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</si>
  <si>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</si>
  <si>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</si>
  <si>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</si>
  <si>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</si>
  <si>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</si>
  <si>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</si>
  <si>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</si>
  <si>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</si>
  <si>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</si>
  <si>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</si>
  <si>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</si>
  <si>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</si>
  <si>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</si>
  <si>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</si>
  <si>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</si>
  <si>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</si>
  <si>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</si>
  <si>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</si>
  <si>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</si>
  <si>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</si>
  <si>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</si>
  <si>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</si>
  <si>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</si>
  <si>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</si>
  <si>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</si>
  <si>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</si>
  <si>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</si>
  <si>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</si>
  <si>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</si>
  <si>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</si>
  <si>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</si>
  <si>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</si>
  <si>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</si>
  <si>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</si>
  <si>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</si>
  <si>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</si>
  <si>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</si>
  <si>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</si>
  <si>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</si>
  <si>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</si>
  <si>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</si>
  <si>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</si>
  <si>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</si>
  <si>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</si>
  <si>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</si>
  <si>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</si>
  <si>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</si>
  <si>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</si>
  <si>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</si>
  <si>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</si>
  <si>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</si>
  <si>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</si>
  <si>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</si>
  <si>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</si>
  <si>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</si>
  <si>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</si>
  <si>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</si>
  <si>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</si>
  <si>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</si>
  <si>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</si>
  <si>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</si>
  <si>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</si>
  <si>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</si>
  <si>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</si>
  <si>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</si>
  <si>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</si>
  <si>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</si>
  <si>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</si>
  <si>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</si>
  <si>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</si>
  <si>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</si>
  <si>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</si>
  <si>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</si>
  <si>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</si>
  <si>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</si>
  <si>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</si>
  <si>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</si>
  <si>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</si>
  <si>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</si>
  <si>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</si>
  <si>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</si>
  <si>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</si>
  <si>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</si>
  <si>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</si>
  <si>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</si>
  <si>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</si>
  <si>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</si>
  <si>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</si>
  <si>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</si>
  <si>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</si>
  <si>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</si>
  <si>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</si>
  <si>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</si>
  <si>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</si>
  <si>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</si>
  <si>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</si>
  <si>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</si>
  <si>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</si>
  <si>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</si>
  <si>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</si>
  <si>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</si>
  <si>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</si>
  <si>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</si>
  <si>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</si>
  <si>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</si>
  <si>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</si>
  <si>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</si>
  <si>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</si>
  <si>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</si>
  <si>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</si>
  <si>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</si>
  <si>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</si>
  <si>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</si>
  <si>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</si>
  <si>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</si>
  <si>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</si>
  <si>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</si>
  <si>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</si>
  <si>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</si>
  <si>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</si>
  <si>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</si>
  <si>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</si>
  <si>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</si>
  <si>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</si>
  <si>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</si>
  <si>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</si>
  <si>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</si>
  <si>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</si>
  <si>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</si>
  <si>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</si>
  <si>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</si>
  <si>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</si>
  <si>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</si>
  <si>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</si>
  <si>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</si>
  <si>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</si>
  <si>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</si>
  <si>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</si>
  <si>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</si>
  <si>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</si>
  <si>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</si>
  <si>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</si>
  <si>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</si>
  <si>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</si>
  <si>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</si>
  <si>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</si>
  <si>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</si>
  <si>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</si>
  <si>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</si>
  <si>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</si>
  <si>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</si>
  <si>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</si>
  <si>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</si>
  <si>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</si>
  <si>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</si>
  <si>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</si>
  <si>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</si>
  <si>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</si>
  <si>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</si>
  <si>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</si>
  <si>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</si>
  <si>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</si>
  <si>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</si>
  <si>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</si>
  <si>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</si>
  <si>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</si>
  <si>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</si>
  <si>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</si>
  <si>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</si>
  <si>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</si>
  <si>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</si>
  <si>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</si>
  <si>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</si>
  <si>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</si>
  <si>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</si>
  <si>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</si>
  <si>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</si>
  <si>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</si>
  <si>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</si>
  <si>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</si>
  <si>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</si>
  <si>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</si>
  <si>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</si>
  <si>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</si>
  <si>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</si>
  <si>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</si>
  <si>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</si>
  <si>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</si>
  <si>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</si>
  <si>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</si>
  <si>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</si>
  <si>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</si>
  <si>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</si>
  <si>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</si>
  <si>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</si>
  <si>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</si>
  <si>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</si>
  <si>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</si>
  <si>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</si>
  <si>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</si>
  <si>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</si>
  <si>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</si>
  <si>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</si>
  <si>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</si>
  <si>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</si>
  <si>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</si>
  <si>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</si>
  <si>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</si>
  <si>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</si>
  <si>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</si>
  <si>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</si>
  <si>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</si>
  <si>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</si>
  <si>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</si>
  <si>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</si>
  <si>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</si>
  <si>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</si>
  <si>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</si>
  <si>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</si>
  <si>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</si>
  <si>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</si>
  <si>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</si>
  <si>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</si>
  <si>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</si>
  <si>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</si>
  <si>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</si>
  <si>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</si>
  <si>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</si>
  <si>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</si>
  <si>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</si>
  <si>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</si>
  <si>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</si>
  <si>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</si>
  <si>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</si>
  <si>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</si>
  <si>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</si>
  <si>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</si>
  <si>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</si>
  <si>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</si>
  <si>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</si>
  <si>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</si>
  <si>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</si>
  <si>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</si>
  <si>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</si>
  <si>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</si>
  <si>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</si>
  <si>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</si>
  <si>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</si>
  <si>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</si>
  <si>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</si>
  <si>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</si>
  <si>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</si>
  <si>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</si>
  <si>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</si>
  <si>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</si>
  <si>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</si>
  <si>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</si>
  <si>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</si>
  <si>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</si>
  <si>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</si>
  <si>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</si>
  <si>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</si>
  <si>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</si>
  <si>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</si>
  <si>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</si>
  <si>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</si>
  <si>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</si>
  <si>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</si>
  <si>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</si>
  <si>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</si>
  <si>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</si>
  <si>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</si>
  <si>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</si>
  <si>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</si>
  <si>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</si>
  <si>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</si>
  <si>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</si>
  <si>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</si>
  <si>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</si>
  <si>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</si>
  <si>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</si>
  <si>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</si>
  <si>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</si>
  <si>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</si>
  <si>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</si>
  <si>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</si>
  <si>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</si>
  <si>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</si>
  <si>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</si>
  <si>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</si>
  <si>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</si>
  <si>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</si>
  <si>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</si>
  <si>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</si>
  <si>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</si>
  <si>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</si>
  <si>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</si>
  <si>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</si>
  <si>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</si>
  <si>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</si>
  <si>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</si>
  <si>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</si>
  <si>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</si>
  <si>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</si>
  <si>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</si>
  <si>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</si>
  <si>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</si>
  <si>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</si>
  <si>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</si>
  <si>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</si>
  <si>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</si>
  <si>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</si>
  <si>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</si>
  <si>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</si>
  <si>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</si>
  <si>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</si>
  <si>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</si>
  <si>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</si>
  <si>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</si>
  <si>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</si>
  <si>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</si>
  <si>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</si>
  <si>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</si>
  <si>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</si>
  <si>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</si>
  <si>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</si>
  <si>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</si>
  <si>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</si>
  <si>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</si>
  <si>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</si>
  <si>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</si>
  <si>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</si>
  <si>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</si>
  <si>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</si>
  <si>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</si>
  <si>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</si>
  <si>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</si>
  <si>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</si>
  <si>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</si>
  <si>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</si>
  <si>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</si>
  <si>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</si>
  <si>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</si>
  <si>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</si>
  <si>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</si>
  <si>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</si>
  <si>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</si>
  <si>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</si>
  <si>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</si>
  <si>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</si>
  <si>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</si>
  <si>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</si>
  <si>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</si>
  <si>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</si>
  <si>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</si>
  <si>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</si>
  <si>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</si>
  <si>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</si>
  <si>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</si>
  <si>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</si>
  <si>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</si>
  <si>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</si>
  <si>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</si>
  <si>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</si>
  <si>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</si>
  <si>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</si>
  <si>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</si>
  <si>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</si>
  <si>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</si>
  <si>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</si>
  <si>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</si>
  <si>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</si>
  <si>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</si>
  <si>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</si>
  <si>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</si>
  <si>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</si>
  <si>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</si>
  <si>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</si>
  <si>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</si>
  <si>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</si>
  <si>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</si>
  <si>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</si>
  <si>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</si>
  <si>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</si>
  <si>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</si>
  <si>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</si>
  <si>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</si>
  <si>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</si>
  <si>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</si>
  <si>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</si>
  <si>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</si>
  <si>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</si>
  <si>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</si>
  <si>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</si>
  <si>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</si>
  <si>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</si>
  <si>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</si>
  <si>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</si>
  <si>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</si>
  <si>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</si>
  <si>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</si>
  <si>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</si>
  <si>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</si>
  <si>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</si>
  <si>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</si>
  <si>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</si>
  <si>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</si>
  <si>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</si>
  <si>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</si>
  <si>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</si>
  <si>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</si>
  <si>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</si>
  <si>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</si>
  <si>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</si>
  <si>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</si>
  <si>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</si>
  <si>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</si>
  <si>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</si>
  <si>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</si>
  <si>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</si>
  <si>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</si>
  <si>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</si>
  <si>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</si>
  <si>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</si>
  <si>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</si>
  <si>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</si>
  <si>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</si>
  <si>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</si>
  <si>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</si>
  <si>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</si>
  <si>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</si>
  <si>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</si>
  <si>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</si>
  <si>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</si>
  <si>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</si>
  <si>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</si>
  <si>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</si>
  <si>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</si>
  <si>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</si>
  <si>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</si>
  <si>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</si>
  <si>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</si>
  <si>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</si>
  <si>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</si>
  <si>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</si>
  <si>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</si>
  <si>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</si>
  <si>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</si>
  <si>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</si>
  <si>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</si>
  <si>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</si>
  <si>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</si>
  <si>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</si>
  <si>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</si>
  <si>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</si>
  <si>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</si>
  <si>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</si>
  <si>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</si>
  <si>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</si>
  <si>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</si>
  <si>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</si>
  <si>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</si>
  <si>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</si>
  <si>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</si>
  <si>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</si>
  <si>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</si>
  <si>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</si>
  <si>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</si>
  <si>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</si>
  <si>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</si>
  <si>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</si>
  <si>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</si>
  <si>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</si>
  <si>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</si>
  <si>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</si>
  <si>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</si>
  <si>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</si>
  <si>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</si>
  <si>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</si>
  <si>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</si>
  <si>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</si>
  <si>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</si>
  <si>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</si>
  <si>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</si>
  <si>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</si>
  <si>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</si>
  <si>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</si>
  <si>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</si>
  <si>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</si>
  <si>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</si>
  <si>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</si>
  <si>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</si>
  <si>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</si>
  <si>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</si>
  <si>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</si>
  <si>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</si>
  <si>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</si>
  <si>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</si>
  <si>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</si>
  <si>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</si>
  <si>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</si>
  <si>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</si>
  <si>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</si>
  <si>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</si>
  <si>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</si>
  <si>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</si>
  <si>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</si>
  <si>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</si>
  <si>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</si>
  <si>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</si>
  <si>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</si>
  <si>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</si>
  <si>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</si>
  <si>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</si>
  <si>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</si>
  <si>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</si>
  <si>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</si>
  <si>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</si>
  <si>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</si>
  <si>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</si>
  <si>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</si>
  <si>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</si>
  <si>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</si>
  <si>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</si>
  <si>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</si>
  <si>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</si>
  <si>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</si>
  <si>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</si>
  <si>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</si>
  <si>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</si>
  <si>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</si>
  <si>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</si>
  <si>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</si>
  <si>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</si>
  <si>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</si>
  <si>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</si>
  <si>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</si>
  <si>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</si>
  <si>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</si>
  <si>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</si>
  <si>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</si>
  <si>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</si>
  <si>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</si>
  <si>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</si>
  <si>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</si>
  <si>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</si>
  <si>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</si>
  <si>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</si>
  <si>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</si>
  <si>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</si>
  <si>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</si>
  <si>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</si>
  <si>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</si>
  <si>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</si>
  <si>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</si>
  <si>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</si>
  <si>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</si>
  <si>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</si>
  <si>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</si>
  <si>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</si>
  <si>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</si>
  <si>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</si>
  <si>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</si>
  <si>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</si>
  <si>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</si>
  <si>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</si>
  <si>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</si>
  <si>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</si>
  <si>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</si>
  <si>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</si>
  <si>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</si>
  <si>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</si>
  <si>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</si>
  <si>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</si>
  <si>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</si>
  <si>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</si>
  <si>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</si>
  <si>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</si>
  <si>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</si>
  <si>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</si>
  <si>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</si>
  <si>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</si>
  <si>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</si>
  <si>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</si>
  <si>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</si>
  <si>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</si>
  <si>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</si>
  <si>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</si>
  <si>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</si>
  <si>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</si>
  <si>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</si>
  <si>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</si>
  <si>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</si>
  <si>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</si>
  <si>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</si>
  <si>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</si>
  <si>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</si>
  <si>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</si>
  <si>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</si>
  <si>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</si>
  <si>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</si>
  <si>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</si>
  <si>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</si>
  <si>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</si>
  <si>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</si>
  <si>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</si>
  <si>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</si>
  <si>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</si>
  <si>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</si>
  <si>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</si>
  <si>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</si>
  <si>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</si>
  <si>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</si>
  <si>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</si>
  <si>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</si>
  <si>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</si>
  <si>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</si>
  <si>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</si>
  <si>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</si>
  <si>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</si>
  <si>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</si>
  <si>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</si>
  <si>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</si>
  <si>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</si>
  <si>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</si>
  <si>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</si>
  <si>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</si>
  <si>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</si>
  <si>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</si>
  <si>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</si>
  <si>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</si>
  <si>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</si>
  <si>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</si>
  <si>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</si>
  <si>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</si>
  <si>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</si>
  <si>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</si>
  <si>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</si>
  <si>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</si>
  <si>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</si>
  <si>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</si>
  <si>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</si>
  <si>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</si>
  <si>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</si>
  <si>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</si>
  <si>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</si>
  <si>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</si>
  <si>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</si>
  <si>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</si>
  <si>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</si>
  <si>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</si>
  <si>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</si>
  <si>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</si>
  <si>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</si>
  <si>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</si>
  <si>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</si>
  <si>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</si>
  <si>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</si>
  <si>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</si>
  <si>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</si>
  <si>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</si>
  <si>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Tech Concept</t>
  </si>
  <si>
    <t>Tech Layers</t>
  </si>
  <si>
    <t>ID</t>
  </si>
  <si>
    <t>Facts</t>
  </si>
  <si>
    <t>Organizational Values</t>
  </si>
  <si>
    <t>Table 1:  Thematic Analysis</t>
  </si>
  <si>
    <t>Editable Fields</t>
  </si>
  <si>
    <t>Glossary Check</t>
  </si>
  <si>
    <t>Accuracy of Reporting
Duplication</t>
  </si>
  <si>
    <t>Precise reports
Streamlined processes</t>
  </si>
  <si>
    <t>Table 5: Tech Concept Table</t>
  </si>
  <si>
    <t>Table 6: Tool Data</t>
  </si>
  <si>
    <t>Data Security, Quality and Privacy
Streamlined processes</t>
  </si>
  <si>
    <t>Compliance and Governance
Upgrades
Standard protocols</t>
  </si>
  <si>
    <t>Business Alignment
Performance review
System unification
Green practices
Regulatory adherence</t>
  </si>
  <si>
    <t>Data and Information Management
Standard procedures
Forecasting models</t>
  </si>
  <si>
    <t>Collaboration and Communication
API integration
Data pipelines</t>
  </si>
  <si>
    <t>Program and Project Management
Project management
Green practices
Mitigation strategies
E-learning</t>
  </si>
  <si>
    <t>Consumer Experience and Support
Goal alignment
Expense reduction</t>
  </si>
  <si>
    <t>Business Alignment
Policy framework
Capital allocation
Market analysis</t>
  </si>
  <si>
    <t>Business Alignment
Risk assessment
Contingency planning</t>
  </si>
  <si>
    <t>Data and Information Management
System swaps
Vendor management</t>
  </si>
  <si>
    <t>Future Planning and System Demand
Rollout plan
Customer service
BI systems</t>
  </si>
  <si>
    <t>Collaboration and Communication
Helpdesk
HR systems</t>
  </si>
  <si>
    <t>Consumer Experience and Support
Open data
Time tracking</t>
  </si>
  <si>
    <t>Resource Management and Utilization
Utilization metrics
Roadmap creation</t>
  </si>
  <si>
    <t>Compliance and Governance
Inventory tracking
Accounting software</t>
  </si>
  <si>
    <t>Risk Identification and Management
Budgeting
Crisis management</t>
  </si>
  <si>
    <t>Operational Effectiveness and Efficiency
AI tools
Asset allocation
Open data</t>
  </si>
  <si>
    <t>System Deployment and Integration
Open data
Asset allocation</t>
  </si>
  <si>
    <t>System Deployment and Integration
Open data
Asset allocation
Data governance
Teamwork tools</t>
  </si>
  <si>
    <t>System Deployment and Integration
Uniform interfaces
Efficient usage
Forecasting</t>
  </si>
  <si>
    <t>Data and Information Management
Operational efficiency
Futureproofing</t>
  </si>
  <si>
    <t>System Maintenance and Support
Focus areas
Data expansion</t>
  </si>
  <si>
    <t>Data and Information Management
Capacity planning
Knowledge base</t>
  </si>
  <si>
    <t>Data and Information Management
Cost-benefit analysis</t>
  </si>
  <si>
    <t>Future Planning and System Demand
Education</t>
  </si>
  <si>
    <t>System Deployment and Integration
Problem-solving
Compliance audits</t>
  </si>
  <si>
    <t>Operational Effectiveness and Efficiency
Occupational safety
SOPs</t>
  </si>
  <si>
    <t>Standardization and Streamlining Processes
Training programs
Roster management
System investment</t>
  </si>
  <si>
    <t>System and Technology Improvement
Budget reallocation</t>
  </si>
  <si>
    <t>Consumer Experience and Support
Change management
Prioritization</t>
  </si>
  <si>
    <t>Consumer Experience and Support
Gantt charts
Problem clustering</t>
  </si>
  <si>
    <t>Consumer Experience and Support
Transformation
Talent acquisition</t>
  </si>
  <si>
    <t>System Deployment and Integration
Talent acquisition
Policy alignment
IT roadmaps</t>
  </si>
  <si>
    <t>Business Alignment
Strategic backing
Change alignment
Holistic approach</t>
  </si>
  <si>
    <t>Financial Management and Budgeting
UX design
Long-term planning
Stakeholder engagement
Expense management
HR planning
Risk forecasting</t>
  </si>
  <si>
    <t>Risk Identification and Management
Customer care
Targeted support</t>
  </si>
  <si>
    <t>Business Alignment
Performance metrics
Integrated care
Innovative healthcare
Continuous improvement
Data mapping
UX enhancement
Tailored services</t>
  </si>
  <si>
    <t>Compliance and Governance
Teamwork enhancement
Integrated systems
Quality assurance
Optimal allocation</t>
  </si>
  <si>
    <t>Financial Management and Budgeting
Policy coherence</t>
  </si>
  <si>
    <t>System and Technology Improvement
Leadership vision</t>
  </si>
  <si>
    <t>System Deployment and Integration
Change strategy
Organizational change
Inclusive services
Early intervention</t>
  </si>
  <si>
    <t>Collaboration and Communication
Uniform methods
Centralized data
Legal compliance</t>
  </si>
  <si>
    <t>Implementation Challenges and Delays
IT blueprint
API integration
Data governance
Identity codes
Personal data
Security protocols
Encrypted communication
Logistics control</t>
  </si>
  <si>
    <t>Financial Management and Budgeting
IT overhaul
Tech deployment</t>
  </si>
  <si>
    <t>Collaboration and Communication
Capital focus
Financial planning
Execution</t>
  </si>
  <si>
    <t>Policy and Organizational Reform
System rollout
Upkeep
Customer service
Device control
Application administration</t>
  </si>
  <si>
    <t>Policy and Organizational Reform
Regional rollout
Transition planning
Employee development
Outcome tracking</t>
  </si>
  <si>
    <t>Risk Identification and Management
ROI analysis
Value creation
Standardization
Team structure</t>
  </si>
  <si>
    <t>Consumer Experience and Support
Task ranking
Supervision
Goal fulfillment</t>
  </si>
  <si>
    <t>Standardization and Streamlining Processes
Best practices</t>
  </si>
  <si>
    <t>Standardization and Streamlining Processes
Unified policies
Standard coding</t>
  </si>
  <si>
    <t>Collaboration and Communication
App lifecycle
Asset allocation
Results tracking</t>
  </si>
  <si>
    <t>Business Alignment
Risk assessment
Execution gap</t>
  </si>
  <si>
    <t>System Deployment and Integration
Seamless adoption
Data-driven choices</t>
  </si>
  <si>
    <t>Data and Information Management
Limited resources
Competence building
Project control</t>
  </si>
  <si>
    <t>Standardization and Streamlining Processes
Process governance
Customization</t>
  </si>
  <si>
    <t>Business Alignment
Time management
Resource planning</t>
  </si>
  <si>
    <t>Program and Project Management
System merger
System harmony</t>
  </si>
  <si>
    <t>System Deployment and Integration
Smooth transitions
Protection
Confidentiality</t>
  </si>
  <si>
    <t>Operational Effectiveness and Efficiency
Data integrity
Precise reports
Data fusion
Single interface
Easy access
Confidentiality</t>
  </si>
  <si>
    <t>Program and Project Management
Strategic fit
Supervision</t>
  </si>
  <si>
    <t>Data and Information Management
Data governance
Best use</t>
  </si>
  <si>
    <t>System Deployment and Integration
High standards
High standards</t>
  </si>
  <si>
    <t>Total</t>
  </si>
  <si>
    <t>Factors</t>
  </si>
  <si>
    <t>Groups</t>
  </si>
  <si>
    <t>Sub Groups</t>
  </si>
  <si>
    <t>Table 4: Current Groups</t>
  </si>
  <si>
    <t>Table 3: Factor Check</t>
  </si>
  <si>
    <t>Factors that Need to be added</t>
  </si>
  <si>
    <t>Current Groups</t>
  </si>
  <si>
    <t>Catergories</t>
  </si>
  <si>
    <t>Sub Catergories</t>
  </si>
  <si>
    <t>Extracts</t>
  </si>
  <si>
    <t>References</t>
  </si>
  <si>
    <t>Table 2: Glossary</t>
  </si>
  <si>
    <t>Communication Tools</t>
  </si>
  <si>
    <t>Predictive Analytics</t>
  </si>
  <si>
    <t>Factor</t>
  </si>
  <si>
    <t>Data Management</t>
  </si>
  <si>
    <t>Application</t>
  </si>
  <si>
    <t>Data Quality</t>
  </si>
  <si>
    <t>Data</t>
  </si>
  <si>
    <t>Reporting Systems</t>
  </si>
  <si>
    <t>Strategic Alignment</t>
  </si>
  <si>
    <t>Business</t>
  </si>
  <si>
    <t>Outcome Measurement</t>
  </si>
  <si>
    <t>Strategic Planning</t>
  </si>
  <si>
    <t>Business Case</t>
  </si>
  <si>
    <t>Program Governance</t>
  </si>
  <si>
    <t>Policy Compliance</t>
  </si>
  <si>
    <t>Change Management</t>
  </si>
  <si>
    <t>Results-Based Planning</t>
  </si>
  <si>
    <t>Resource Management</t>
  </si>
  <si>
    <t>Service Design</t>
  </si>
  <si>
    <t>Resource Optimization</t>
  </si>
  <si>
    <t>Infrastructure</t>
  </si>
  <si>
    <t>Service Availability</t>
  </si>
  <si>
    <t>Organizational Value</t>
  </si>
  <si>
    <t>Benefits Management</t>
  </si>
  <si>
    <t>Financial Planning</t>
  </si>
  <si>
    <t>Change Initiatives</t>
  </si>
  <si>
    <t>Change Readiness</t>
  </si>
  <si>
    <t>Performance Tuning</t>
  </si>
  <si>
    <t>Transition Planning</t>
  </si>
  <si>
    <t>Application Architecture</t>
  </si>
  <si>
    <t>Stakeholder Engagement</t>
  </si>
  <si>
    <t>Interagency Cooperation</t>
  </si>
  <si>
    <t>Governance Structure</t>
  </si>
  <si>
    <t>Joint Program Delivery</t>
  </si>
  <si>
    <t>Process Standardization</t>
  </si>
  <si>
    <t>System Interoperability</t>
  </si>
  <si>
    <t>Integration Architecture</t>
  </si>
  <si>
    <t>Budget Management</t>
  </si>
  <si>
    <t>Case Management Systems</t>
  </si>
  <si>
    <t>Process Optimization</t>
  </si>
  <si>
    <t>Policy &amp; Regulation</t>
  </si>
  <si>
    <t>Policy Alignment</t>
  </si>
  <si>
    <t>Standards Adherence</t>
  </si>
  <si>
    <t>Dev Standards</t>
  </si>
  <si>
    <t>System Architecture</t>
  </si>
  <si>
    <t>Risk and Opportunity Analysis</t>
  </si>
  <si>
    <t>Budget Constraints</t>
  </si>
  <si>
    <t>UX Design</t>
  </si>
  <si>
    <t>Helpdesk / User Services</t>
  </si>
  <si>
    <t>Integrated Service Design</t>
  </si>
  <si>
    <t>Care Coordination Systems</t>
  </si>
  <si>
    <t>Core Services</t>
  </si>
  <si>
    <t>Application Design</t>
  </si>
  <si>
    <t>Organizational Change</t>
  </si>
  <si>
    <t>Cost Efficiency</t>
  </si>
  <si>
    <t>Procurement Strategy</t>
  </si>
  <si>
    <t>Service Costing</t>
  </si>
  <si>
    <t>Priority Services</t>
  </si>
  <si>
    <t>Open Data / Interoperability</t>
  </si>
  <si>
    <t>Privacy and Security</t>
  </si>
  <si>
    <t>Data Governance</t>
  </si>
  <si>
    <t>Cybersecurity</t>
  </si>
  <si>
    <t>Information Exchange</t>
  </si>
  <si>
    <t>Decision Support Systems</t>
  </si>
  <si>
    <t>Service Planning</t>
  </si>
  <si>
    <t>System Dependencies</t>
  </si>
  <si>
    <t>ICT Strategic Planning</t>
  </si>
  <si>
    <t>Software Development Lifecycle</t>
  </si>
  <si>
    <t>Execution Gap</t>
  </si>
  <si>
    <t>Legacy Systems</t>
  </si>
  <si>
    <t>Business Continuity</t>
  </si>
  <si>
    <t>Redundancy Management</t>
  </si>
  <si>
    <t>KPIs and Metrics</t>
  </si>
  <si>
    <t>Service Evaluation</t>
  </si>
  <si>
    <t>Lean Architecture</t>
  </si>
  <si>
    <t>HR Systems</t>
  </si>
  <si>
    <t>Workflow Systems</t>
  </si>
  <si>
    <t>Accessibility</t>
  </si>
  <si>
    <t>Project Metrics</t>
  </si>
  <si>
    <t>Cost Analysis</t>
  </si>
  <si>
    <t>Budgeting Systems</t>
  </si>
  <si>
    <t>System Silos</t>
  </si>
  <si>
    <t>Funding Sources</t>
  </si>
  <si>
    <t>Capacity Planning</t>
  </si>
  <si>
    <t>Program Oversight</t>
  </si>
  <si>
    <t>Policy Objectives</t>
  </si>
  <si>
    <t>Best Practices</t>
  </si>
  <si>
    <t>Asset Management</t>
  </si>
  <si>
    <t>System Scalability</t>
  </si>
  <si>
    <t>IT-Business Alignment</t>
  </si>
  <si>
    <t>Transformation Planning</t>
  </si>
  <si>
    <t>Compliance and Standards</t>
  </si>
  <si>
    <t>Long-term Planning</t>
  </si>
  <si>
    <t>Implementation Roadmap</t>
  </si>
  <si>
    <t>IAM</t>
  </si>
  <si>
    <t>Timeline Risk</t>
  </si>
  <si>
    <t>Rollout Process</t>
  </si>
  <si>
    <t>Deployment</t>
  </si>
  <si>
    <t>Scheduling</t>
  </si>
  <si>
    <t>Inclusive Design</t>
  </si>
  <si>
    <t>Equity</t>
  </si>
  <si>
    <t>Data Collection</t>
  </si>
  <si>
    <t>Digital Health Records</t>
  </si>
  <si>
    <t>Open Access</t>
  </si>
  <si>
    <t>Workflow Management</t>
  </si>
  <si>
    <t>Journey Mapping</t>
  </si>
  <si>
    <t>Health Literacy Tools</t>
  </si>
  <si>
    <t>Analytics &amp; Reporting</t>
  </si>
  <si>
    <t>System Integration</t>
  </si>
  <si>
    <t>Infrastructure Optimization</t>
  </si>
  <si>
    <t>Analytics Framework</t>
  </si>
  <si>
    <t>Systems Integration</t>
  </si>
  <si>
    <t>Core Platform Integration</t>
  </si>
  <si>
    <t>Data Interoperability</t>
  </si>
  <si>
    <t>Governance Integration</t>
  </si>
  <si>
    <t>Unified Platforms</t>
  </si>
  <si>
    <t>Centralization</t>
  </si>
  <si>
    <t>Methodological Compatibility</t>
  </si>
  <si>
    <t>Standards-based Integration</t>
  </si>
  <si>
    <t>Capital Planning</t>
  </si>
  <si>
    <t>Priority Setting</t>
  </si>
  <si>
    <t>Digital Modernization</t>
  </si>
  <si>
    <t>KM Systems</t>
  </si>
  <si>
    <t>System Deficit</t>
  </si>
  <si>
    <t>ECM (Enterprise Content Management)</t>
  </si>
  <si>
    <t>Site-Specific Rollouts</t>
  </si>
  <si>
    <t>Ongoing Costs</t>
  </si>
  <si>
    <t>System Operations</t>
  </si>
  <si>
    <t>MIS Systems</t>
  </si>
  <si>
    <t>App Lifecycle</t>
  </si>
  <si>
    <t>Demand Forecasting</t>
  </si>
  <si>
    <t>Risk Mitigation</t>
  </si>
  <si>
    <t>System Monitoring</t>
  </si>
  <si>
    <t>National Infrastructure</t>
  </si>
  <si>
    <t>Collaboration Tools</t>
  </si>
  <si>
    <t>Service Innovation</t>
  </si>
  <si>
    <t>Innovation Strategy</t>
  </si>
  <si>
    <t>Risk Assessment</t>
  </si>
  <si>
    <t>Legacy Replacement</t>
  </si>
  <si>
    <t>System Modernization</t>
  </si>
  <si>
    <t>KPIs / Metrics</t>
  </si>
  <si>
    <t>Demand Modeling</t>
  </si>
  <si>
    <t>Preventive Care Systems</t>
  </si>
  <si>
    <t>Early Intervention Tools</t>
  </si>
  <si>
    <t>Risk Management</t>
  </si>
  <si>
    <t>Strategic Goals</t>
  </si>
  <si>
    <t>Decision Framework</t>
  </si>
  <si>
    <t>Portfolio Management</t>
  </si>
  <si>
    <t>Resource Prioritization</t>
  </si>
  <si>
    <t>Prioritization Matrix</t>
  </si>
  <si>
    <t>Vendor Management</t>
  </si>
  <si>
    <t>Execution Management</t>
  </si>
  <si>
    <t>Outcome Evaluation</t>
  </si>
  <si>
    <t>Project Management</t>
  </si>
  <si>
    <t>Compliance Framework</t>
  </si>
  <si>
    <t>Continuous Improvement</t>
  </si>
  <si>
    <t>Change Strategy</t>
  </si>
  <si>
    <t>Policy Environment</t>
  </si>
  <si>
    <t>System Upgrade</t>
  </si>
  <si>
    <t>Workforce / Budget</t>
  </si>
  <si>
    <t>Resource Bottlenecks</t>
  </si>
  <si>
    <t>Resource Allocation Tools</t>
  </si>
  <si>
    <t>Efficiency Tools</t>
  </si>
  <si>
    <t>Utilization Metrics</t>
  </si>
  <si>
    <t>Service Charter</t>
  </si>
  <si>
    <t>Operational Support</t>
  </si>
  <si>
    <t>Risk Management Tools</t>
  </si>
  <si>
    <t>Occupational Safety</t>
  </si>
  <si>
    <t>Project Governance</t>
  </si>
  <si>
    <t>Encrypted Communication</t>
  </si>
  <si>
    <t>Risk Register</t>
  </si>
  <si>
    <t>Project Capability</t>
  </si>
  <si>
    <t>LMS</t>
  </si>
  <si>
    <t>Workforce Development</t>
  </si>
  <si>
    <t>Version Control</t>
  </si>
  <si>
    <t>ROI Analysis</t>
  </si>
  <si>
    <t>Workforce Planning</t>
  </si>
  <si>
    <t>Professional Development</t>
  </si>
  <si>
    <t>Compliance Management</t>
  </si>
  <si>
    <t>Data Standards</t>
  </si>
  <si>
    <t>Universal Access</t>
  </si>
  <si>
    <t>ITIL / SOPs</t>
  </si>
  <si>
    <t>Training Programs</t>
  </si>
  <si>
    <t>Logistics Systems</t>
  </si>
  <si>
    <t>Service Desk</t>
  </si>
  <si>
    <t>Strategic Support</t>
  </si>
  <si>
    <t>End-User Support</t>
  </si>
  <si>
    <t>Model of Care</t>
  </si>
  <si>
    <t>Sustainability Planning</t>
  </si>
  <si>
    <t>Long-Term Planning</t>
  </si>
  <si>
    <t>HR Strategy</t>
  </si>
  <si>
    <t>Deployment Planning</t>
  </si>
  <si>
    <t>Future Planning</t>
  </si>
  <si>
    <t>Modernization Strategy</t>
  </si>
  <si>
    <t>Technical Support</t>
  </si>
  <si>
    <t>Implementation Planning</t>
  </si>
  <si>
    <t>Automation</t>
  </si>
  <si>
    <t>Responsiveness</t>
  </si>
  <si>
    <t>Platform Architecture</t>
  </si>
  <si>
    <t>Identity Management</t>
  </si>
  <si>
    <t>User Scalability</t>
  </si>
  <si>
    <t>Personalization</t>
  </si>
  <si>
    <t>Scheduling Tools</t>
  </si>
  <si>
    <t>Business Process Management</t>
  </si>
  <si>
    <t>Reporting Systems
Redundancy Management</t>
  </si>
  <si>
    <t>System Silos
System Modernization
System Interoperability</t>
  </si>
  <si>
    <t>Strategic Planning
KPIs and Metrics
Systems Integration
Sustainability Planning
Policy &amp; Regulation</t>
  </si>
  <si>
    <t>Data Management
Standards Adherence
Demand Modeling</t>
  </si>
  <si>
    <t>Stakeholder Engagement
Standards-based Integration
Workflow Management</t>
  </si>
  <si>
    <t>Lean Architecture
Deployment Planning
Sustainability Planning
Risk Mitigation
Training Programs</t>
  </si>
  <si>
    <t>End-User Support
Program Governance
Cost Efficiency</t>
  </si>
  <si>
    <t>IT-Business Alignment
Program Oversight
Capital Planning
Strategic Planning</t>
  </si>
  <si>
    <t>IT-Business Alignment
Risk Management Tools
System Dependencies</t>
  </si>
  <si>
    <t>Equity
System Upgrade
Vendor Management</t>
  </si>
  <si>
    <t>Scheduling
Implementation Planning
Service Desk
MIS Systems</t>
  </si>
  <si>
    <t>Stakeholder Engagement
Helpdesk / User Services
HR Systems</t>
  </si>
  <si>
    <t>Personalization
Open Access
Automation</t>
  </si>
  <si>
    <t>Resource Allocation Tools
Performance Tuning
Strategic Planning</t>
  </si>
  <si>
    <t>Analytics Framework
Workforce / Budget
Budgeting Systems</t>
  </si>
  <si>
    <t>Resource Prioritization
Funding Sources
Core Services</t>
  </si>
  <si>
    <t>Business Process Management
Decision Support Systems
Resource Allocation Tools
Open Access</t>
  </si>
  <si>
    <t>Core Platform Integration
Open Access
Resource Allocation Tools</t>
  </si>
  <si>
    <t>Unified Platforms
Open Access
Resource Allocation Tools
Data Standards
Stakeholder Engagement</t>
  </si>
  <si>
    <t>Implementation Planning
Universal Access
Utilization Metrics
Demand Forecasting</t>
  </si>
  <si>
    <t>Scalability
Service Design
Future Planning</t>
  </si>
  <si>
    <t>Workforce Planning
Priority Services
User Scalability</t>
  </si>
  <si>
    <t>Data Collection
Scalability
Capacity Planning</t>
  </si>
  <si>
    <t>KM Systems
Digital Modernization</t>
  </si>
  <si>
    <t>Cost Analysis
Procurement Strategy</t>
  </si>
  <si>
    <t>Health Literacy Tools
Stakeholder Engagement
Case Management Systems</t>
  </si>
  <si>
    <t>Compliance Framework
System Scalability
Occupational Safety</t>
  </si>
  <si>
    <t>Communication Tools
Governance
Workforce Development
Scheduling Tools</t>
  </si>
  <si>
    <t>System Deficit
Modernization Strategy</t>
  </si>
  <si>
    <t>Budget Constraints
Project Capability
Change Readiness</t>
  </si>
  <si>
    <t>Budget Management
Prioritization Matrix
Project Management</t>
  </si>
  <si>
    <t>Integrated Service Design
Risk Register
Service Innovation</t>
  </si>
  <si>
    <t>Service Planning
Business Process Management
Policy Objectives
Implementation Roadmap</t>
  </si>
  <si>
    <t>Results-Based Planning
Strategic Support
Change Management
Policy Alignment</t>
  </si>
  <si>
    <t>Early Intervention Tools
UX Design
Forecasting
Stakeholder Engagement
Service Costing
HR Strategy
Risk Assessment</t>
  </si>
  <si>
    <t>Risk Mitigation
Risk Management
Predictive Analytics</t>
  </si>
  <si>
    <t>Service Availability
Service Evaluation
Care Coordination Systems
Model of Care
Long-Term Planning
Journey Mapping
UX Design
Service Design</t>
  </si>
  <si>
    <t>Process Optimization
Collaboration Tools
Workflow Systems
Continuous Improvement
Resource Optimization</t>
  </si>
  <si>
    <t>Risk and Opportunity Analysis
Policy Compliance</t>
  </si>
  <si>
    <t>Innovation Strategy
Strategic Goals</t>
  </si>
  <si>
    <t>Policy Objectives
Change Strategy
Change Initiatives
Inclusive Design
Preventive Care Systems</t>
  </si>
  <si>
    <t>Interagency Cooperation
System Architecture
National Infrastructure
Policy Environment</t>
  </si>
  <si>
    <t>Compliance and Standards
Long-term Planning
Standards-based Integration
Data Standards
Identity Management
Digital Health Records
IAM
Encrypted Communication
Logistics Systems</t>
  </si>
  <si>
    <t>Organizational Change
Transformation Planning
Rollout Process</t>
  </si>
  <si>
    <t>ICT Strategic Planning
Priority Setting
Financial Planning
Execution Management</t>
  </si>
  <si>
    <t>Operational Support
Deployment
System Operations
Service Desk
Asset Management
Version Control</t>
  </si>
  <si>
    <t>Service Charter
Site-Specific Rollouts
Transition Planning
Professional Development
Benefits Management</t>
  </si>
  <si>
    <t>Portfolio Management
ROI Analysis
Organizational Value
Process Standardization
Governance Structure</t>
  </si>
  <si>
    <t>Project Metrics
Decision Framework
System Monitoring
Strategic Alignment</t>
  </si>
  <si>
    <t>ITIL / SOPs
Best Practices</t>
  </si>
  <si>
    <t>Joint Program Delivery
Governance Integration
Dev Standards</t>
  </si>
  <si>
    <t>Application Architecture
App Lifecycle
Resource Allocation Tools
Outcome Measurement</t>
  </si>
  <si>
    <t>Business Case
Risk Management Tools
Execution Gap</t>
  </si>
  <si>
    <t>Software Development Lifecycle
Methodological Compatibility
Analytics &amp; Reporting</t>
  </si>
  <si>
    <t>ECM (Enterprise Content Management)
Resource Bottlenecks
LMS
Project Governance</t>
  </si>
  <si>
    <t>Accessibility
Governance
Application Design</t>
  </si>
  <si>
    <t>Strategic Planning
Timeline Risk
Resource Management</t>
  </si>
  <si>
    <t>Program Oversight
Unified Platforms
Integration Architecture</t>
  </si>
  <si>
    <t>Centralization
Business Continuity
Cybersecurity
Privacy and Security</t>
  </si>
  <si>
    <t>Responsiveness
Data Quality
Reporting Systems
Data Interoperability
Platform Architecture
Open Data / Interoperability
Privacy and Security</t>
  </si>
  <si>
    <t>Decision Framework
Strategic Planning
System Monitoring</t>
  </si>
  <si>
    <t>Infrastructure Optimization
Data Standards
Efficiency Tools</t>
  </si>
  <si>
    <t>System Integration
Compliance Management
Data Governance</t>
  </si>
  <si>
    <t>Application
Application</t>
  </si>
  <si>
    <t>Infrastructure
Infrastructure
Infrastructure</t>
  </si>
  <si>
    <t>Business
Business
Infrastructure
Business
Business</t>
  </si>
  <si>
    <t>Application
Application
Business</t>
  </si>
  <si>
    <t>Business
Infrastructure
Application</t>
  </si>
  <si>
    <t>Infrastructure
Infrastructure
Business
Business
Application</t>
  </si>
  <si>
    <t>Application
Business
Business</t>
  </si>
  <si>
    <t>Business
Business
Business
Business</t>
  </si>
  <si>
    <t>Business
Business
Infrastructure</t>
  </si>
  <si>
    <t>Business
Infrastructure
Business</t>
  </si>
  <si>
    <t>Business
Application
Application
Application</t>
  </si>
  <si>
    <t>Business
Application
Application</t>
  </si>
  <si>
    <t>Application
Application
Application</t>
  </si>
  <si>
    <t>Data
Business
Business</t>
  </si>
  <si>
    <t>Business
Business
Application</t>
  </si>
  <si>
    <t>Application
Application
Business
Application</t>
  </si>
  <si>
    <t>Infrastructure
Application
Business</t>
  </si>
  <si>
    <t>Infrastructure
Application
Business
Data
Business</t>
  </si>
  <si>
    <t>Application
Application
Business
Business</t>
  </si>
  <si>
    <t>Data
Infrastructure
Infrastructure</t>
  </si>
  <si>
    <t>Application
Infrastructure</t>
  </si>
  <si>
    <t>Infrastructure
Business</t>
  </si>
  <si>
    <t>Application
Business
Application</t>
  </si>
  <si>
    <t>Business
Infrastructure
Infrastructure</t>
  </si>
  <si>
    <t>Application
Business
Business
Application</t>
  </si>
  <si>
    <t>Business
Business
Business</t>
  </si>
  <si>
    <t>Business
Application
Business
Business</t>
  </si>
  <si>
    <t>Application
Application
Business
Business
Business
Business
Business</t>
  </si>
  <si>
    <t>Infrastructure
Business
Application
Business
Business
Application
Application
Application</t>
  </si>
  <si>
    <t>Application
Application
Application
Business
Infrastructure</t>
  </si>
  <si>
    <t>Business
Business</t>
  </si>
  <si>
    <t>Business
Business
Business
Application
Application</t>
  </si>
  <si>
    <t>Business
Infrastructure
Infrastructure
Business</t>
  </si>
  <si>
    <t>Infrastructure
Business
Infrastructure
Data
Data
Application
Infrastructure
Application
Application</t>
  </si>
  <si>
    <t>Business
Application
Infrastructure
Application
Infrastructure
Application</t>
  </si>
  <si>
    <t>Business
Business
Business
Business
Business</t>
  </si>
  <si>
    <t>Business
Business
Business
Application
Business</t>
  </si>
  <si>
    <t>Business
Business
Application
Business</t>
  </si>
  <si>
    <t>Application
Business
Application
Business</t>
  </si>
  <si>
    <t>Infrastructure
Business
Infrastructure
Data</t>
  </si>
  <si>
    <t>Business
Data
Application
Data
Infrastructure
Data
Data</t>
  </si>
  <si>
    <t>Infrastructure
Data
Infrastructure</t>
  </si>
  <si>
    <t>Infrastructure
Business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</si>
</sst>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rgb="FF7030A0"/>
        <bgColor indexed="64"/>
      </patternFill>
    </fill>
    <fill>
      <patternFill patternType="solid">
        <fgColor rgb="FFFFFF00"/>
        <bgColor theme="8"/>
      </patternFill>
    </fill>
    <fill>
      <patternFill patternType="solid">
        <fgColor rgb="FF7030A0"/>
        <bgColor theme="4"/>
      </patternFill>
    </fill>
    <fill>
      <patternFill patternType="solid">
        <fgColor rgb="FFFFFF00"/>
        <bgColor theme="4"/>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49">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1" fillId="7" borderId="0" xfId="0" applyFont="1" applyFill="1" applyAlignment="1">
      <alignment vertical="center" wrapText="1"/>
    </xf>
    <xf numFmtId="0" fontId="1" fillId="8" borderId="10" xfId="0" applyFont="1" applyFill="1" applyBorder="1" applyAlignment="1">
      <alignment horizontal="center" vertical="center" wrapText="1"/>
    </xf>
    <xf numFmtId="0" fontId="8" fillId="9" borderId="8" xfId="0" applyFont="1" applyFill="1" applyBorder="1" applyAlignment="1">
      <alignment horizontal="center" vertical="center" wrapText="1"/>
    </xf>
    <xf numFmtId="0" fontId="8" fillId="9" borderId="9" xfId="0" applyFont="1" applyFill="1" applyBorder="1" applyAlignment="1">
      <alignment horizontal="center" vertical="center" wrapText="1"/>
    </xf>
    <xf numFmtId="0" fontId="1" fillId="8" borderId="0" xfId="0" applyFont="1" applyFill="1" applyAlignment="1">
      <alignment horizontal="center"/>
    </xf>
    <xf numFmtId="0" fontId="1" fillId="10" borderId="11" xfId="0" applyFont="1" applyFill="1" applyBorder="1" applyAlignment="1">
      <alignment horizontal="center"/>
    </xf>
    <xf numFmtId="0" fontId="1" fillId="11" borderId="11" xfId="0" applyFont="1" applyFill="1" applyBorder="1" applyAlignment="1">
      <alignment horizontal="center"/>
    </xf>
    <xf numFmtId="0" fontId="1" fillId="11" borderId="12" xfId="0" applyFont="1" applyFill="1" applyBorder="1" applyAlignment="1">
      <alignment horizontal="center"/>
    </xf>
    <xf numFmtId="0" fontId="0" fillId="0" borderId="0" xfId="0" applyAlignment="1">
      <alignment horizont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0" fillId="2" borderId="0" xfId="0" applyFill="1" applyAlignment="1">
      <alignment vertical="center" wrapText="1"/>
    </xf>
  </cellXfs>
  <cellStyles count="1">
    <cellStyle name="Normal" xfId="0" builtinId="0"/>
  </cellStyles>
  <dxfs count="52">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ill>
        <patternFill>
          <bgColor rgb="FFFF0000"/>
        </patternFill>
      </fill>
    </dxf>
    <dxf>
      <fill>
        <patternFill patternType="solid">
          <fgColor indexed="64"/>
          <bgColor rgb="FFFFFF00"/>
        </patternFill>
      </fill>
    </dxf>
    <dxf>
      <fill>
        <patternFill patternType="solid">
          <fgColor indexed="64"/>
          <bgColor rgb="FFFFFF00"/>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bottom"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alignment horizontal="righ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wrapText="0"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1</xdr:row>
          <xdr:rowOff>95250</xdr:rowOff>
        </xdr:from>
        <xdr:to>
          <xdr:col>4</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1</xdr:row>
          <xdr:rowOff>47625</xdr:rowOff>
        </xdr:from>
        <xdr:to>
          <xdr:col>6</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7:I73" headerRowDxfId="51" dataDxfId="50" tableBorderDxfId="49">
  <autoFilter ref="A7:I73" xr:uid="{D39C65B1-301A-4664-8C30-852B8C943832}"/>
  <tableColumns count="9">
    <tableColumn id="1" xr3:uid="{E37F10F0-3B28-44D1-909D-56174809CD15}" name="ID" totalsRowLabel="Total" dataDxfId="48" totalsRowDxfId="47">
      <calculatedColumnFormula>A7+1</calculatedColumnFormula>
    </tableColumn>
    <tableColumn id="2" xr3:uid="{AF52C601-054F-4544-8A9F-E4E66B42EAF2}" name="References" dataDxfId="46" totalsRowDxfId="45"/>
    <tableColumn id="3" xr3:uid="{98663B65-2A1B-45B8-9B7B-E5AA992F38ED}" name="Extracts" dataDxfId="44" totalsRowDxfId="43"/>
    <tableColumn id="4" xr3:uid="{32D4F5A3-434E-41A7-B4FE-8A0A4DDD0E9A}" name="Facts" dataDxfId="42" totalsRowDxfId="41"/>
    <tableColumn id="5" xr3:uid="{58B8B5D6-2CE4-4032-B24A-E79E6D6499FC}" name="Factors" dataDxfId="40" totalsRowDxfId="39"/>
    <tableColumn id="6" xr3:uid="{4CBF119E-EA62-4897-BA19-B5277A113CD7}" name="Groups" dataDxfId="38" totalsRowDxfId="37"/>
    <tableColumn id="7" xr3:uid="{9245D754-1CF3-4F33-A9FD-11B36365C483}" name="Sub Groups" dataDxfId="36" totalsRowDxfId="35"/>
    <tableColumn id="8" xr3:uid="{1E1314C4-1724-4F46-B5BA-BB850A2B3061}" name="Notes/Additional" dataDxfId="34" totalsRowDxfId="33"/>
    <tableColumn id="9" xr3:uid="{9BABA224-03F1-4C2F-A655-FAAFE66B6540}" name="Glossary Check" totalsRowFunction="count" dataDxfId="32" totalsRowDxfId="31">
      <calculatedColumnFormula>CheckGlossary($E8, Table2[Factors])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5:C219" totalsRowCount="1" headerRowDxfId="30" dataDxfId="29">
  <autoFilter ref="A5:C218" xr:uid="{F557346A-8157-4AB7-BA24-95DEAB55C7E0}"/>
  <sortState xmlns:xlrd2="http://schemas.microsoft.com/office/spreadsheetml/2017/richdata2" ref="A6:C218">
    <sortCondition ref="A5:A218"/>
  </sortState>
  <tableColumns count="3">
    <tableColumn id="1" xr3:uid="{A62D73FD-7276-4F2D-9085-D203977C73C4}" name="Factors" totalsRowLabel="Total" dataDxfId="28" totalsRowDxfId="27"/>
    <tableColumn id="4" xr3:uid="{CEE9EB9B-E91C-41C5-A782-3045000D3D4D}" name="Groups"/>
    <tableColumn id="2" xr3:uid="{4D87C797-9AF2-4A53-B9A2-1F9D701C9272}" name="Sub Groups" totalsRowFunction="count" dataDxfId="26" totalsRowDxfId="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E5:E7" insertRow="1" totalsRowCount="1" headerRowDxfId="24">
  <autoFilter ref="E5:E6" xr:uid="{564EFC92-3300-4F45-A64E-D2ABBD972040}"/>
  <tableColumns count="1">
    <tableColumn id="1" xr3:uid="{484E5B82-363C-4245-9DEE-C2DF5DAAB66B}" name="Factors that Need to be added" totalsRowFunction="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G5:G27" totalsRowCount="1" headerRowDxfId="23" dataDxfId="22" totalsRowDxfId="21">
  <autoFilter ref="G5:G26" xr:uid="{071F6413-E688-439B-ACCD-82F7D0B9CBF0}"/>
  <sortState xmlns:xlrd2="http://schemas.microsoft.com/office/spreadsheetml/2017/richdata2" ref="G4:G5">
    <sortCondition ref="G5"/>
  </sortState>
  <tableColumns count="1">
    <tableColumn id="1" xr3:uid="{D404CA30-2006-4947-A67D-31137D4C5B75}" name="Current Groups" totalsRowFunction="count" dataDxfId="20" totalsRowDxfId="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4:D218" totalsRowCount="1" headerRowDxfId="19" dataDxfId="18">
  <autoFilter ref="A4:D217" xr:uid="{88A77055-C259-414B-BB36-D21754969C94}"/>
  <sortState xmlns:xlrd2="http://schemas.microsoft.com/office/spreadsheetml/2017/richdata2" ref="A5:D5">
    <sortCondition ref="B4:B5"/>
  </sortState>
  <tableColumns count="4">
    <tableColumn id="4" xr3:uid="{9FF417ED-669E-4CD6-B370-3F284EF98416}" name="ID" totalsRowLabel="Total" dataDxfId="17" totalsRowDxfId="7"/>
    <tableColumn id="1" xr3:uid="{0C4B0DBE-4A73-4192-B377-7DA531385DE2}" name="Factor" totalsRowDxfId="6">
      <calculatedColumnFormula>Glossary!A6</calculatedColumnFormula>
    </tableColumn>
    <tableColumn id="2" xr3:uid="{3E208449-6526-44CF-AC59-CB9429924362}" name="Catergories" dataDxfId="3" totalsRowDxfId="5"/>
    <tableColumn id="3" xr3:uid="{0C1310BA-D048-4003-820D-563F24B1B8D2}" name="Sub Catergories" totalsRowFunction="count" dataDxfId="2" totalsRowDxfId="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4:G70" totalsRowShown="0" headerRowDxfId="16" dataDxfId="15">
  <autoFilter ref="A4:G70" xr:uid="{F79CF538-C3D7-4737-A223-A0DBD291B3C6}"/>
  <tableColumns count="7">
    <tableColumn id="1" xr3:uid="{D1D6EA50-9BC1-4A54-BECD-39796F25EBD7}" name="ID" dataDxfId="14">
      <calculatedColumnFormula>'Thematic Analysis'!#REF!</calculatedColumnFormula>
    </tableColumn>
    <tableColumn id="2" xr3:uid="{E24CE3CC-B4B6-4C4F-90E7-295304758DF1}" name="Factors" dataDxfId="13">
      <calculatedColumnFormula>'Thematic Analysis'!E8</calculatedColumnFormula>
    </tableColumn>
    <tableColumn id="7" xr3:uid="{922643FC-B475-48C8-895E-24816DC8ADB8}" name="Groups" dataDxfId="8">
      <calculatedColumnFormula>'Thematic Analysis'!F8</calculatedColumnFormula>
    </tableColumn>
    <tableColumn id="3" xr3:uid="{DDA15557-5AE9-4190-B274-0F309E7E6249}" name="Sub Groups" dataDxfId="12">
      <calculatedColumnFormula>'Thematic Analysis'!G8</calculatedColumnFormula>
    </tableColumn>
    <tableColumn id="4" xr3:uid="{8317CC99-47AA-4512-9B48-6638EFE433BC}" name="Catergories" dataDxfId="11"/>
    <tableColumn id="5" xr3:uid="{CFDDE1F2-4EBC-4AF6-BED1-F881894AC077}" name="Sub Catergories" dataDxfId="10"/>
    <tableColumn id="6" xr3:uid="{75D8CE58-185C-4867-8B65-8D04627A39E7}" name="Extracts" dataDxfId="9">
      <calculatedColumnFormula>'Thematic Analysis'!$D8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9"/>
  <sheetViews>
    <sheetView topLeftCell="D1" zoomScaleNormal="100" workbookViewId="0">
      <pane ySplit="7" topLeftCell="A59" activePane="bottomLeft" state="frozen"/>
      <selection pane="bottomLeft" activeCell="F60" sqref="F60"/>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44" t="s">
        <v>0</v>
      </c>
      <c r="D1" s="44"/>
      <c r="E1" s="44"/>
      <c r="F1" s="44"/>
      <c r="I1" s="2"/>
    </row>
    <row r="2" spans="1:9" ht="19.5" thickBot="1" x14ac:dyDescent="0.35">
      <c r="C2" s="40" t="s">
        <v>1</v>
      </c>
      <c r="D2" s="40"/>
      <c r="E2" s="40"/>
      <c r="F2" s="40"/>
      <c r="I2" s="2"/>
    </row>
    <row r="3" spans="1:9" ht="30.75" customHeight="1" thickBot="1" x14ac:dyDescent="0.3">
      <c r="C3" s="41" t="s">
        <v>692</v>
      </c>
      <c r="D3" s="42"/>
      <c r="E3" s="42"/>
      <c r="F3" s="43"/>
      <c r="H3" s="17" t="s">
        <v>734</v>
      </c>
    </row>
    <row r="4" spans="1:9" ht="57.75" customHeight="1" x14ac:dyDescent="0.25">
      <c r="I4" s="2"/>
    </row>
    <row r="5" spans="1:9" x14ac:dyDescent="0.25">
      <c r="A5" s="39" t="s">
        <v>733</v>
      </c>
      <c r="B5" s="39"/>
      <c r="C5" s="39"/>
      <c r="D5" s="39"/>
      <c r="E5" s="39"/>
      <c r="F5" s="39"/>
      <c r="G5" s="39"/>
      <c r="H5" s="39"/>
      <c r="I5" s="39"/>
    </row>
    <row r="6" spans="1:9" x14ac:dyDescent="0.25">
      <c r="A6" s="12"/>
      <c r="B6" s="12"/>
      <c r="C6" s="12"/>
      <c r="D6" s="12"/>
      <c r="E6" s="32" t="s">
        <v>727</v>
      </c>
      <c r="F6" s="33" t="s">
        <v>5</v>
      </c>
      <c r="G6" s="32" t="s">
        <v>732</v>
      </c>
      <c r="H6" s="12"/>
      <c r="I6" s="12"/>
    </row>
    <row r="7" spans="1:9" s="7" customFormat="1" x14ac:dyDescent="0.25">
      <c r="A7" s="14" t="s">
        <v>730</v>
      </c>
      <c r="B7" s="14" t="s">
        <v>814</v>
      </c>
      <c r="C7" s="15" t="s">
        <v>813</v>
      </c>
      <c r="D7" s="15" t="s">
        <v>731</v>
      </c>
      <c r="E7" s="15" t="s">
        <v>804</v>
      </c>
      <c r="F7" s="16" t="s">
        <v>805</v>
      </c>
      <c r="G7" s="15" t="s">
        <v>806</v>
      </c>
      <c r="H7" s="16" t="s">
        <v>2</v>
      </c>
      <c r="I7" s="16" t="s">
        <v>735</v>
      </c>
    </row>
    <row r="8" spans="1:9" ht="300" x14ac:dyDescent="0.25">
      <c r="A8" s="18">
        <v>1</v>
      </c>
      <c r="B8" s="19" t="s">
        <v>6</v>
      </c>
      <c r="C8" s="19" t="s">
        <v>24</v>
      </c>
      <c r="D8" s="19" t="s">
        <v>633</v>
      </c>
      <c r="E8" s="20" t="s">
        <v>736</v>
      </c>
      <c r="F8" s="10" t="s">
        <v>737</v>
      </c>
      <c r="G8" s="23" t="s">
        <v>740</v>
      </c>
      <c r="H8" s="4"/>
      <c r="I8" s="10" t="str">
        <f>CheckGlossary($E8, Table2[Factors])</f>
        <v>In Glossary
In Glossary</v>
      </c>
    </row>
    <row r="9" spans="1:9" ht="60" x14ac:dyDescent="0.25">
      <c r="A9" s="18">
        <f>A8+1</f>
        <v>2</v>
      </c>
      <c r="B9" s="19" t="s">
        <v>3</v>
      </c>
      <c r="C9" s="19" t="s">
        <v>7</v>
      </c>
      <c r="D9" s="19" t="s">
        <v>634</v>
      </c>
      <c r="E9" s="20" t="s">
        <v>136</v>
      </c>
      <c r="F9" s="10" t="s">
        <v>316</v>
      </c>
      <c r="G9" s="10" t="s">
        <v>713</v>
      </c>
      <c r="H9" s="8"/>
      <c r="I9" s="10" t="str">
        <f>CheckGlossary($E9, Table2[Factors])</f>
        <v>In Glossary</v>
      </c>
    </row>
    <row r="10" spans="1:9" ht="90" x14ac:dyDescent="0.25">
      <c r="A10" s="18">
        <f t="shared" ref="A10:A73" si="0">A9+1</f>
        <v>3</v>
      </c>
      <c r="B10" s="19" t="s">
        <v>3</v>
      </c>
      <c r="C10" s="19" t="s">
        <v>8</v>
      </c>
      <c r="D10" s="19" t="s">
        <v>635</v>
      </c>
      <c r="E10" s="20" t="s">
        <v>138</v>
      </c>
      <c r="F10" s="10" t="s">
        <v>365</v>
      </c>
      <c r="G10" s="10" t="s">
        <v>716</v>
      </c>
      <c r="H10" s="8"/>
      <c r="I10" s="10" t="str">
        <f>CheckGlossary($E10, Table2[Factors])</f>
        <v>In Glossary</v>
      </c>
    </row>
    <row r="11" spans="1:9" ht="105" x14ac:dyDescent="0.25">
      <c r="A11" s="18">
        <f t="shared" si="0"/>
        <v>4</v>
      </c>
      <c r="B11" s="19" t="s">
        <v>3</v>
      </c>
      <c r="C11" s="19" t="s">
        <v>9</v>
      </c>
      <c r="D11" s="19" t="s">
        <v>636</v>
      </c>
      <c r="E11" s="20" t="s">
        <v>325</v>
      </c>
      <c r="F11" s="10" t="s">
        <v>565</v>
      </c>
      <c r="G11" s="10" t="s">
        <v>741</v>
      </c>
      <c r="H11" s="8"/>
      <c r="I11" s="10" t="str">
        <f>CheckGlossary($E11, Table2[Factors])</f>
        <v>In Glossary
In Glossary
In Glossary</v>
      </c>
    </row>
    <row r="12" spans="1:9" ht="150" x14ac:dyDescent="0.25">
      <c r="A12" s="18">
        <f t="shared" si="0"/>
        <v>5</v>
      </c>
      <c r="B12" s="19" t="s">
        <v>4</v>
      </c>
      <c r="C12" s="19" t="s">
        <v>32</v>
      </c>
      <c r="D12" s="19" t="s">
        <v>637</v>
      </c>
      <c r="E12" s="20" t="s">
        <v>111</v>
      </c>
      <c r="F12" s="10" t="s">
        <v>566</v>
      </c>
      <c r="G12" s="10" t="s">
        <v>742</v>
      </c>
      <c r="H12" s="9"/>
      <c r="I12" s="10" t="str">
        <f>CheckGlossary($E12, Table2[Factors])</f>
        <v>In Glossary
In Glossary
In Glossary
In Glossary
In Glossary</v>
      </c>
    </row>
    <row r="13" spans="1:9" ht="60" x14ac:dyDescent="0.25">
      <c r="A13" s="18">
        <f t="shared" si="0"/>
        <v>6</v>
      </c>
      <c r="B13" s="19" t="s">
        <v>11</v>
      </c>
      <c r="C13" s="19" t="s">
        <v>10</v>
      </c>
      <c r="D13" s="19" t="s">
        <v>638</v>
      </c>
      <c r="E13" s="20" t="s">
        <v>326</v>
      </c>
      <c r="F13" s="10" t="s">
        <v>567</v>
      </c>
      <c r="G13" s="10" t="s">
        <v>743</v>
      </c>
      <c r="H13" s="9"/>
      <c r="I13" s="10" t="str">
        <f>CheckGlossary($E13, Table2[Factors])</f>
        <v>In Glossary
In Glossary
In Glossary</v>
      </c>
    </row>
    <row r="14" spans="1:9" ht="75" x14ac:dyDescent="0.25">
      <c r="A14" s="18">
        <f t="shared" si="0"/>
        <v>7</v>
      </c>
      <c r="B14" s="19" t="s">
        <v>11</v>
      </c>
      <c r="C14" s="19" t="s">
        <v>37</v>
      </c>
      <c r="D14" s="19" t="s">
        <v>639</v>
      </c>
      <c r="E14" s="20" t="s">
        <v>695</v>
      </c>
      <c r="F14" s="10" t="s">
        <v>696</v>
      </c>
      <c r="G14" s="10" t="s">
        <v>744</v>
      </c>
      <c r="H14" s="9"/>
      <c r="I14" s="10" t="str">
        <f>CheckGlossary($E14, Table2[Factors])</f>
        <v>In Glossary
In Glossary
In Glossary</v>
      </c>
    </row>
    <row r="15" spans="1:9" ht="210" x14ac:dyDescent="0.25">
      <c r="A15" s="18">
        <f t="shared" si="0"/>
        <v>8</v>
      </c>
      <c r="B15" s="19" t="s">
        <v>11</v>
      </c>
      <c r="C15" s="19" t="s">
        <v>38</v>
      </c>
      <c r="D15" s="19" t="s">
        <v>640</v>
      </c>
      <c r="E15" s="20" t="s">
        <v>327</v>
      </c>
      <c r="F15" s="10" t="s">
        <v>568</v>
      </c>
      <c r="G15" s="10" t="s">
        <v>745</v>
      </c>
      <c r="H15" s="9"/>
      <c r="I15" s="10" t="str">
        <f>CheckGlossary($E15, Table2[Factors])</f>
        <v>In Glossary
In Glossary
In Glossary
In Glossary
In Glossary</v>
      </c>
    </row>
    <row r="16" spans="1:9" ht="255" x14ac:dyDescent="0.25">
      <c r="A16" s="18">
        <f t="shared" si="0"/>
        <v>9</v>
      </c>
      <c r="B16" s="19" t="s">
        <v>12</v>
      </c>
      <c r="C16" s="19" t="s">
        <v>33</v>
      </c>
      <c r="D16" s="19" t="s">
        <v>641</v>
      </c>
      <c r="E16" s="20" t="s">
        <v>112</v>
      </c>
      <c r="F16" s="10" t="s">
        <v>569</v>
      </c>
      <c r="G16" s="10" t="s">
        <v>746</v>
      </c>
      <c r="H16" s="9"/>
      <c r="I16" s="10" t="str">
        <f>CheckGlossary($E16, Table2[Factors])</f>
        <v>In Glossary
In Glossary
In Glossary</v>
      </c>
    </row>
    <row r="17" spans="1:9" ht="225" x14ac:dyDescent="0.25">
      <c r="A17" s="18">
        <f t="shared" si="0"/>
        <v>10</v>
      </c>
      <c r="B17" s="19" t="s">
        <v>13</v>
      </c>
      <c r="C17" s="19" t="s">
        <v>34</v>
      </c>
      <c r="D17" s="19" t="s">
        <v>642</v>
      </c>
      <c r="E17" s="20" t="s">
        <v>328</v>
      </c>
      <c r="F17" s="10" t="s">
        <v>570</v>
      </c>
      <c r="G17" s="10" t="s">
        <v>747</v>
      </c>
      <c r="H17" s="9"/>
      <c r="I17" s="10" t="str">
        <f>CheckGlossary($E17, Table2[Factors])</f>
        <v>In Glossary
In Glossary
In Glossary
In Glossary</v>
      </c>
    </row>
    <row r="18" spans="1:9" ht="330" x14ac:dyDescent="0.25">
      <c r="A18" s="18">
        <f t="shared" si="0"/>
        <v>11</v>
      </c>
      <c r="B18" s="19" t="s">
        <v>14</v>
      </c>
      <c r="C18" s="19" t="s">
        <v>15</v>
      </c>
      <c r="D18" s="19" t="s">
        <v>643</v>
      </c>
      <c r="E18" s="20" t="s">
        <v>329</v>
      </c>
      <c r="F18" s="10" t="s">
        <v>571</v>
      </c>
      <c r="G18" s="10" t="s">
        <v>748</v>
      </c>
      <c r="H18" s="9"/>
      <c r="I18" s="10" t="str">
        <f>CheckGlossary($E18, Table2[Factors])</f>
        <v>In Glossary
In Glossary
In Glossary</v>
      </c>
    </row>
    <row r="19" spans="1:9" ht="240" x14ac:dyDescent="0.25">
      <c r="A19" s="18">
        <f t="shared" si="0"/>
        <v>12</v>
      </c>
      <c r="B19" s="19" t="s">
        <v>16</v>
      </c>
      <c r="C19" s="19" t="s">
        <v>25</v>
      </c>
      <c r="D19" s="19" t="s">
        <v>644</v>
      </c>
      <c r="E19" s="20" t="s">
        <v>167</v>
      </c>
      <c r="F19" s="10" t="s">
        <v>398</v>
      </c>
      <c r="G19" s="10" t="s">
        <v>710</v>
      </c>
      <c r="H19" s="9"/>
      <c r="I19" s="10" t="str">
        <f>CheckGlossary($E19, Table2[Factors])</f>
        <v>In Glossary</v>
      </c>
    </row>
    <row r="20" spans="1:9" ht="90" x14ac:dyDescent="0.25">
      <c r="A20" s="18">
        <f t="shared" si="0"/>
        <v>13</v>
      </c>
      <c r="B20" s="19" t="s">
        <v>16</v>
      </c>
      <c r="C20" s="19" t="s">
        <v>35</v>
      </c>
      <c r="D20" s="19" t="s">
        <v>645</v>
      </c>
      <c r="E20" s="20" t="s">
        <v>53</v>
      </c>
      <c r="F20" s="10" t="s">
        <v>572</v>
      </c>
      <c r="G20" s="10" t="s">
        <v>749</v>
      </c>
      <c r="H20" s="8"/>
      <c r="I20" s="10" t="str">
        <f>CheckGlossary($E20, Table2[Factors])</f>
        <v>In Glossary
In Glossary
In Glossary</v>
      </c>
    </row>
    <row r="21" spans="1:9" ht="120" x14ac:dyDescent="0.25">
      <c r="A21" s="18">
        <f t="shared" si="0"/>
        <v>14</v>
      </c>
      <c r="B21" s="19" t="s">
        <v>17</v>
      </c>
      <c r="C21" s="19" t="s">
        <v>36</v>
      </c>
      <c r="D21" s="19" t="s">
        <v>646</v>
      </c>
      <c r="E21" s="20" t="s">
        <v>134</v>
      </c>
      <c r="F21" s="10" t="s">
        <v>573</v>
      </c>
      <c r="G21" s="10" t="s">
        <v>750</v>
      </c>
      <c r="H21" s="8"/>
      <c r="I21" s="10" t="str">
        <f>CheckGlossary($E21, Table2[Factors])</f>
        <v>In Glossary
In Glossary
In Glossary
In Glossary</v>
      </c>
    </row>
    <row r="22" spans="1:9" ht="150" x14ac:dyDescent="0.25">
      <c r="A22" s="18">
        <f t="shared" si="0"/>
        <v>15</v>
      </c>
      <c r="B22" s="19" t="s">
        <v>17</v>
      </c>
      <c r="C22" s="21" t="s">
        <v>26</v>
      </c>
      <c r="D22" s="21" t="s">
        <v>647</v>
      </c>
      <c r="E22" s="20" t="s">
        <v>135</v>
      </c>
      <c r="F22" s="10" t="s">
        <v>574</v>
      </c>
      <c r="G22" s="10" t="s">
        <v>751</v>
      </c>
      <c r="H22" s="8"/>
      <c r="I22" s="10" t="str">
        <f>CheckGlossary($E22, Table2[Factors])</f>
        <v>In Glossary
In Glossary
In Glossary</v>
      </c>
    </row>
    <row r="23" spans="1:9" ht="105" x14ac:dyDescent="0.25">
      <c r="A23" s="18">
        <f t="shared" si="0"/>
        <v>16</v>
      </c>
      <c r="B23" s="19" t="s">
        <v>17</v>
      </c>
      <c r="C23" s="19" t="s">
        <v>18</v>
      </c>
      <c r="D23" s="19" t="s">
        <v>648</v>
      </c>
      <c r="E23" s="20" t="s">
        <v>113</v>
      </c>
      <c r="F23" s="10" t="s">
        <v>575</v>
      </c>
      <c r="G23" s="10" t="s">
        <v>752</v>
      </c>
      <c r="H23" s="8"/>
      <c r="I23" s="10" t="str">
        <f>CheckGlossary($E23, Table2[Factors])</f>
        <v>In Glossary
In Glossary
In Glossary</v>
      </c>
    </row>
    <row r="24" spans="1:9" ht="75" x14ac:dyDescent="0.25">
      <c r="A24" s="18">
        <f t="shared" si="0"/>
        <v>17</v>
      </c>
      <c r="B24" s="19" t="s">
        <v>19</v>
      </c>
      <c r="C24" s="19" t="s">
        <v>20</v>
      </c>
      <c r="D24" s="19" t="s">
        <v>649</v>
      </c>
      <c r="E24" s="20" t="s">
        <v>330</v>
      </c>
      <c r="F24" s="10" t="s">
        <v>576</v>
      </c>
      <c r="G24" s="10" t="s">
        <v>753</v>
      </c>
      <c r="H24" s="8"/>
      <c r="I24" s="10" t="str">
        <f>CheckGlossary($E24, Table2[Factors])</f>
        <v>In Glossary
In Glossary
In Glossary</v>
      </c>
    </row>
    <row r="25" spans="1:9" ht="60" x14ac:dyDescent="0.25">
      <c r="A25" s="18">
        <f t="shared" si="0"/>
        <v>18</v>
      </c>
      <c r="B25" s="19" t="s">
        <v>19</v>
      </c>
      <c r="C25" s="19" t="s">
        <v>27</v>
      </c>
      <c r="D25" s="19" t="s">
        <v>650</v>
      </c>
      <c r="E25" s="20" t="s">
        <v>331</v>
      </c>
      <c r="F25" s="10" t="s">
        <v>577</v>
      </c>
      <c r="G25" s="10" t="s">
        <v>754</v>
      </c>
      <c r="H25" s="8"/>
      <c r="I25" s="10" t="str">
        <f>CheckGlossary($E25, Table2[Factors])</f>
        <v>In Glossary
In Glossary
In Glossary</v>
      </c>
    </row>
    <row r="26" spans="1:9" ht="75" x14ac:dyDescent="0.25">
      <c r="A26" s="18">
        <f t="shared" si="0"/>
        <v>19</v>
      </c>
      <c r="B26" s="19" t="s">
        <v>19</v>
      </c>
      <c r="C26" s="19" t="s">
        <v>28</v>
      </c>
      <c r="D26" s="19" t="s">
        <v>651</v>
      </c>
      <c r="E26" s="20" t="s">
        <v>332</v>
      </c>
      <c r="F26" s="10" t="s">
        <v>578</v>
      </c>
      <c r="G26" s="10" t="s">
        <v>755</v>
      </c>
      <c r="H26" s="8"/>
      <c r="I26" s="10" t="str">
        <f>CheckGlossary($E26, Table2[Factors])</f>
        <v>In Glossary
In Glossary
In Glossary</v>
      </c>
    </row>
    <row r="27" spans="1:9" ht="135" x14ac:dyDescent="0.25">
      <c r="A27" s="18">
        <f t="shared" si="0"/>
        <v>20</v>
      </c>
      <c r="B27" s="19" t="s">
        <v>19</v>
      </c>
      <c r="C27" s="19" t="s">
        <v>29</v>
      </c>
      <c r="D27" s="19" t="s">
        <v>652</v>
      </c>
      <c r="E27" s="22" t="s">
        <v>697</v>
      </c>
      <c r="F27" s="10" t="s">
        <v>700</v>
      </c>
      <c r="G27" s="10" t="s">
        <v>756</v>
      </c>
      <c r="H27" s="8"/>
      <c r="I27" s="10" t="str">
        <f>CheckGlossary($E27, Table2[Factors])</f>
        <v>In Glossary
In Glossary
In Glossary
In Glossary</v>
      </c>
    </row>
    <row r="28" spans="1:9" ht="165" x14ac:dyDescent="0.25">
      <c r="A28" s="18">
        <f t="shared" si="0"/>
        <v>21</v>
      </c>
      <c r="B28" s="19" t="s">
        <v>19</v>
      </c>
      <c r="C28" s="19" t="s">
        <v>39</v>
      </c>
      <c r="D28" s="19" t="s">
        <v>653</v>
      </c>
      <c r="E28" s="20" t="s">
        <v>333</v>
      </c>
      <c r="F28" s="10" t="s">
        <v>579</v>
      </c>
      <c r="G28" s="10" t="s">
        <v>757</v>
      </c>
      <c r="H28" s="8"/>
      <c r="I28" s="10" t="str">
        <f>CheckGlossary($E28, Table2[Factors])</f>
        <v>In Glossary
In Glossary
In Glossary</v>
      </c>
    </row>
    <row r="29" spans="1:9" ht="409.5" x14ac:dyDescent="0.25">
      <c r="A29" s="18">
        <f t="shared" si="0"/>
        <v>22</v>
      </c>
      <c r="B29" s="19" t="s">
        <v>21</v>
      </c>
      <c r="C29" s="19" t="s">
        <v>30</v>
      </c>
      <c r="D29" s="19" t="s">
        <v>654</v>
      </c>
      <c r="E29" s="20" t="s">
        <v>698</v>
      </c>
      <c r="F29" s="10" t="s">
        <v>701</v>
      </c>
      <c r="G29" s="10" t="s">
        <v>758</v>
      </c>
      <c r="H29" s="8"/>
      <c r="I29" s="10" t="str">
        <f>CheckGlossary($E29, Table2[Factors])</f>
        <v>In Glossary
In Glossary
In Glossary
In Glossary
In Glossary</v>
      </c>
    </row>
    <row r="30" spans="1:9" ht="165" x14ac:dyDescent="0.25">
      <c r="A30" s="18">
        <f t="shared" si="0"/>
        <v>23</v>
      </c>
      <c r="B30" s="19" t="s">
        <v>22</v>
      </c>
      <c r="C30" s="19" t="s">
        <v>31</v>
      </c>
      <c r="D30" s="19" t="s">
        <v>655</v>
      </c>
      <c r="E30" s="20" t="s">
        <v>699</v>
      </c>
      <c r="F30" s="10" t="s">
        <v>702</v>
      </c>
      <c r="G30" s="10" t="s">
        <v>759</v>
      </c>
      <c r="H30" s="8"/>
      <c r="I30" s="10" t="str">
        <f>CheckGlossary($E30, Table2[Factors])</f>
        <v>In Glossary
In Glossary
In Glossary
In Glossary</v>
      </c>
    </row>
    <row r="31" spans="1:9" ht="90" x14ac:dyDescent="0.25">
      <c r="A31" s="18">
        <f t="shared" si="0"/>
        <v>24</v>
      </c>
      <c r="B31" s="19" t="s">
        <v>23</v>
      </c>
      <c r="C31" s="19" t="s">
        <v>40</v>
      </c>
      <c r="D31" s="21" t="s">
        <v>656</v>
      </c>
      <c r="E31" s="20" t="s">
        <v>334</v>
      </c>
      <c r="F31" s="10" t="s">
        <v>580</v>
      </c>
      <c r="G31" s="10" t="s">
        <v>760</v>
      </c>
      <c r="H31" s="8"/>
      <c r="I31" s="10" t="str">
        <f>CheckGlossary($E31, Table2[Factors])</f>
        <v>In Glossary
In Glossary
In Glossary</v>
      </c>
    </row>
    <row r="32" spans="1:9" ht="75" customHeight="1" x14ac:dyDescent="0.25">
      <c r="A32" s="18">
        <f t="shared" si="0"/>
        <v>25</v>
      </c>
      <c r="B32" s="19" t="s">
        <v>23</v>
      </c>
      <c r="C32" s="19" t="s">
        <v>41</v>
      </c>
      <c r="D32" s="19" t="s">
        <v>657</v>
      </c>
      <c r="E32" s="20" t="s">
        <v>114</v>
      </c>
      <c r="F32" s="10" t="s">
        <v>581</v>
      </c>
      <c r="G32" s="10" t="s">
        <v>761</v>
      </c>
      <c r="H32" s="8"/>
      <c r="I32" s="10" t="str">
        <f>CheckGlossary($E32, Table2[Factors])</f>
        <v>In Glossary
In Glossary
In Glossary</v>
      </c>
    </row>
    <row r="33" spans="1:9" ht="75" x14ac:dyDescent="0.25">
      <c r="A33" s="18">
        <f t="shared" si="0"/>
        <v>26</v>
      </c>
      <c r="B33" s="19" t="s">
        <v>23</v>
      </c>
      <c r="C33" s="19" t="s">
        <v>42</v>
      </c>
      <c r="D33" s="19" t="s">
        <v>658</v>
      </c>
      <c r="E33" s="20" t="s">
        <v>611</v>
      </c>
      <c r="F33" s="10" t="s">
        <v>612</v>
      </c>
      <c r="G33" s="10" t="s">
        <v>762</v>
      </c>
      <c r="H33" s="8"/>
      <c r="I33" s="10" t="str">
        <f>CheckGlossary($E33, Table2[Factors])</f>
        <v>In Glossary
In Glossary
In Glossary</v>
      </c>
    </row>
    <row r="34" spans="1:9" ht="45" x14ac:dyDescent="0.25">
      <c r="A34" s="18">
        <f t="shared" si="0"/>
        <v>27</v>
      </c>
      <c r="B34" s="19" t="s">
        <v>23</v>
      </c>
      <c r="C34" s="19" t="s">
        <v>43</v>
      </c>
      <c r="D34" s="19" t="s">
        <v>43</v>
      </c>
      <c r="E34" s="20" t="s">
        <v>115</v>
      </c>
      <c r="F34" s="10" t="s">
        <v>582</v>
      </c>
      <c r="G34" s="10" t="s">
        <v>763</v>
      </c>
      <c r="H34" s="8"/>
      <c r="I34" s="10" t="str">
        <f>CheckGlossary($E34, Table2[Factors])</f>
        <v>In Glossary
In Glossary</v>
      </c>
    </row>
    <row r="35" spans="1:9" ht="30" x14ac:dyDescent="0.25">
      <c r="A35" s="18">
        <f t="shared" si="0"/>
        <v>28</v>
      </c>
      <c r="B35" s="19" t="s">
        <v>23</v>
      </c>
      <c r="C35" s="19" t="s">
        <v>44</v>
      </c>
      <c r="D35" s="19" t="s">
        <v>44</v>
      </c>
      <c r="E35" s="20" t="s">
        <v>116</v>
      </c>
      <c r="F35" s="10" t="s">
        <v>583</v>
      </c>
      <c r="G35" s="10" t="s">
        <v>764</v>
      </c>
      <c r="H35" s="8"/>
      <c r="I35" s="10" t="str">
        <f>CheckGlossary($E35, Table2[Factors])</f>
        <v>In Glossary
In Glossary</v>
      </c>
    </row>
    <row r="36" spans="1:9" ht="45" x14ac:dyDescent="0.25">
      <c r="A36" s="18">
        <f t="shared" si="0"/>
        <v>29</v>
      </c>
      <c r="B36" s="19" t="s">
        <v>23</v>
      </c>
      <c r="C36" s="19" t="s">
        <v>45</v>
      </c>
      <c r="D36" s="19" t="s">
        <v>45</v>
      </c>
      <c r="E36" s="20" t="s">
        <v>117</v>
      </c>
      <c r="F36" s="10" t="s">
        <v>584</v>
      </c>
      <c r="G36" s="10" t="s">
        <v>765</v>
      </c>
      <c r="H36" s="8"/>
      <c r="I36" s="10" t="str">
        <f>CheckGlossary($E36, Table2[Factors])</f>
        <v>In Glossary
In Glossary
In Glossary</v>
      </c>
    </row>
    <row r="37" spans="1:9" ht="105" x14ac:dyDescent="0.25">
      <c r="A37" s="18">
        <f t="shared" si="0"/>
        <v>30</v>
      </c>
      <c r="B37" s="19" t="s">
        <v>23</v>
      </c>
      <c r="C37" s="19" t="s">
        <v>46</v>
      </c>
      <c r="D37" s="19" t="s">
        <v>659</v>
      </c>
      <c r="E37" s="20" t="s">
        <v>335</v>
      </c>
      <c r="F37" s="10" t="s">
        <v>585</v>
      </c>
      <c r="G37" s="10" t="s">
        <v>766</v>
      </c>
      <c r="H37" s="8"/>
      <c r="I37" s="10" t="str">
        <f>CheckGlossary($E37, Table2[Factors])</f>
        <v>In Glossary
In Glossary
In Glossary</v>
      </c>
    </row>
    <row r="38" spans="1:9" ht="90" x14ac:dyDescent="0.25">
      <c r="A38" s="18">
        <f t="shared" si="0"/>
        <v>31</v>
      </c>
      <c r="B38" s="19" t="s">
        <v>23</v>
      </c>
      <c r="C38" s="19" t="s">
        <v>47</v>
      </c>
      <c r="D38" s="19" t="s">
        <v>660</v>
      </c>
      <c r="E38" s="20" t="s">
        <v>336</v>
      </c>
      <c r="F38" s="10" t="s">
        <v>586</v>
      </c>
      <c r="G38" s="10" t="s">
        <v>767</v>
      </c>
      <c r="H38" s="8"/>
      <c r="I38" s="10" t="str">
        <f>CheckGlossary($E38, Table2[Factors])</f>
        <v>In Glossary
In Glossary
In Glossary
In Glossary</v>
      </c>
    </row>
    <row r="39" spans="1:9" ht="75" x14ac:dyDescent="0.25">
      <c r="A39" s="18">
        <f t="shared" si="0"/>
        <v>32</v>
      </c>
      <c r="B39" s="19" t="s">
        <v>23</v>
      </c>
      <c r="C39" s="19" t="s">
        <v>48</v>
      </c>
      <c r="D39" s="19" t="s">
        <v>48</v>
      </c>
      <c r="E39" s="20" t="s">
        <v>118</v>
      </c>
      <c r="F39" s="10" t="s">
        <v>587</v>
      </c>
      <c r="G39" s="10" t="s">
        <v>768</v>
      </c>
      <c r="H39" s="8"/>
      <c r="I39" s="10" t="str">
        <f>CheckGlossary($E39, Table2[Factors])</f>
        <v>In Glossary
In Glossary</v>
      </c>
    </row>
    <row r="40" spans="1:9" ht="105" x14ac:dyDescent="0.25">
      <c r="A40" s="18">
        <f t="shared" si="0"/>
        <v>33</v>
      </c>
      <c r="B40" s="19" t="s">
        <v>23</v>
      </c>
      <c r="C40" s="19" t="s">
        <v>49</v>
      </c>
      <c r="D40" s="19" t="s">
        <v>49</v>
      </c>
      <c r="E40" s="20" t="s">
        <v>337</v>
      </c>
      <c r="F40" s="10" t="s">
        <v>588</v>
      </c>
      <c r="G40" s="24" t="s">
        <v>769</v>
      </c>
      <c r="H40" s="8"/>
      <c r="I40" s="10" t="str">
        <f>CheckGlossary($E40, Table2[Factors])</f>
        <v>In Glossary
In Glossary
In Glossary</v>
      </c>
    </row>
    <row r="41" spans="1:9" ht="60" x14ac:dyDescent="0.25">
      <c r="A41" s="18">
        <f t="shared" si="0"/>
        <v>34</v>
      </c>
      <c r="B41" s="19" t="s">
        <v>23</v>
      </c>
      <c r="C41" s="19" t="s">
        <v>50</v>
      </c>
      <c r="D41" s="19" t="s">
        <v>661</v>
      </c>
      <c r="E41" s="20" t="s">
        <v>54</v>
      </c>
      <c r="F41" s="10" t="s">
        <v>589</v>
      </c>
      <c r="G41" s="10" t="s">
        <v>770</v>
      </c>
      <c r="H41" s="8"/>
      <c r="I41" s="10" t="str">
        <f>CheckGlossary($E41, Table2[Factors])</f>
        <v>In Glossary
In Glossary
In Glossary</v>
      </c>
    </row>
    <row r="42" spans="1:9" ht="105" x14ac:dyDescent="0.25">
      <c r="A42" s="18">
        <f t="shared" si="0"/>
        <v>35</v>
      </c>
      <c r="B42" s="19" t="s">
        <v>51</v>
      </c>
      <c r="C42" s="19" t="s">
        <v>52</v>
      </c>
      <c r="D42" s="19" t="s">
        <v>662</v>
      </c>
      <c r="E42" s="20" t="s">
        <v>55</v>
      </c>
      <c r="F42" s="10" t="s">
        <v>590</v>
      </c>
      <c r="G42" s="10" t="s">
        <v>771</v>
      </c>
      <c r="H42" s="8"/>
      <c r="I42" s="10" t="str">
        <f>CheckGlossary($E42, Table2[Factors])</f>
        <v>In Glossary
In Glossary
In Glossary</v>
      </c>
    </row>
    <row r="43" spans="1:9" ht="150" x14ac:dyDescent="0.25">
      <c r="A43" s="18">
        <f t="shared" si="0"/>
        <v>36</v>
      </c>
      <c r="B43" s="19" t="s">
        <v>56</v>
      </c>
      <c r="C43" s="19" t="s">
        <v>57</v>
      </c>
      <c r="D43" s="19" t="s">
        <v>663</v>
      </c>
      <c r="E43" s="20" t="s">
        <v>119</v>
      </c>
      <c r="F43" s="10" t="s">
        <v>591</v>
      </c>
      <c r="G43" s="10" t="s">
        <v>772</v>
      </c>
      <c r="H43" s="8"/>
      <c r="I43" s="10" t="str">
        <f>CheckGlossary($E43, Table2[Factors])</f>
        <v>In Glossary
In Glossary
In Glossary
In Glossary</v>
      </c>
    </row>
    <row r="44" spans="1:9" ht="120" x14ac:dyDescent="0.25">
      <c r="A44" s="18">
        <f t="shared" si="0"/>
        <v>37</v>
      </c>
      <c r="B44" s="19" t="s">
        <v>56</v>
      </c>
      <c r="C44" s="19" t="s">
        <v>58</v>
      </c>
      <c r="D44" s="19" t="s">
        <v>664</v>
      </c>
      <c r="E44" s="20" t="s">
        <v>59</v>
      </c>
      <c r="F44" s="10" t="s">
        <v>592</v>
      </c>
      <c r="G44" s="10" t="s">
        <v>773</v>
      </c>
      <c r="H44" s="8"/>
      <c r="I44" s="10" t="str">
        <f>CheckGlossary($E44, Table2[Factors])</f>
        <v>In Glossary
In Glossary
In Glossary
In Glossary</v>
      </c>
    </row>
    <row r="45" spans="1:9" ht="225" x14ac:dyDescent="0.25">
      <c r="A45" s="18">
        <f t="shared" si="0"/>
        <v>38</v>
      </c>
      <c r="B45" s="19" t="s">
        <v>61</v>
      </c>
      <c r="C45" s="19" t="s">
        <v>60</v>
      </c>
      <c r="D45" s="19" t="s">
        <v>665</v>
      </c>
      <c r="E45" s="20" t="s">
        <v>613</v>
      </c>
      <c r="F45" s="10" t="s">
        <v>614</v>
      </c>
      <c r="G45" s="10" t="s">
        <v>774</v>
      </c>
      <c r="H45" s="8"/>
      <c r="I45" s="10" t="str">
        <f>CheckGlossary($E45, Table2[Factors])</f>
        <v>In Glossary
In Glossary
In Glossary
In Glossary
In Glossary
In Glossary
In Glossary</v>
      </c>
    </row>
    <row r="46" spans="1:9" ht="120" x14ac:dyDescent="0.25">
      <c r="A46" s="18">
        <f t="shared" si="0"/>
        <v>39</v>
      </c>
      <c r="B46" s="19" t="s">
        <v>62</v>
      </c>
      <c r="C46" s="19" t="s">
        <v>63</v>
      </c>
      <c r="D46" s="19" t="s">
        <v>666</v>
      </c>
      <c r="E46" s="20" t="s">
        <v>133</v>
      </c>
      <c r="F46" s="10" t="s">
        <v>593</v>
      </c>
      <c r="G46" s="10" t="s">
        <v>775</v>
      </c>
      <c r="H46" s="8"/>
      <c r="I46" s="10" t="str">
        <f>CheckGlossary($E46, Table2[Factors])</f>
        <v>In Glossary
In Glossary
In Glossary</v>
      </c>
    </row>
    <row r="47" spans="1:9" ht="120" x14ac:dyDescent="0.25">
      <c r="A47" s="18">
        <f t="shared" si="0"/>
        <v>40</v>
      </c>
      <c r="B47" s="19" t="s">
        <v>64</v>
      </c>
      <c r="C47" s="19" t="s">
        <v>65</v>
      </c>
      <c r="D47" s="19" t="s">
        <v>667</v>
      </c>
      <c r="E47" s="20" t="s">
        <v>120</v>
      </c>
      <c r="F47" s="10" t="s">
        <v>594</v>
      </c>
      <c r="G47" s="10" t="s">
        <v>776</v>
      </c>
      <c r="H47" s="8"/>
      <c r="I47" s="10" t="str">
        <f>CheckGlossary($E47, Table2[Factors])</f>
        <v>In Glossary
In Glossary
In Glossary
In Glossary
In Glossary
In Glossary
In Glossary
In Glossary</v>
      </c>
    </row>
    <row r="48" spans="1:9" ht="150" x14ac:dyDescent="0.25">
      <c r="A48" s="18">
        <f t="shared" si="0"/>
        <v>41</v>
      </c>
      <c r="B48" s="19" t="s">
        <v>66</v>
      </c>
      <c r="C48" s="19" t="s">
        <v>67</v>
      </c>
      <c r="D48" s="19" t="s">
        <v>668</v>
      </c>
      <c r="E48" s="20" t="s">
        <v>121</v>
      </c>
      <c r="F48" s="10" t="s">
        <v>595</v>
      </c>
      <c r="G48" s="10" t="s">
        <v>777</v>
      </c>
      <c r="H48" s="8"/>
      <c r="I48" s="10" t="str">
        <f>CheckGlossary($E48, Table2[Factors])</f>
        <v>In Glossary
In Glossary
In Glossary
In Glossary
In Glossary</v>
      </c>
    </row>
    <row r="49" spans="1:9" ht="75" x14ac:dyDescent="0.25">
      <c r="A49" s="18">
        <f t="shared" si="0"/>
        <v>42</v>
      </c>
      <c r="B49" s="19" t="s">
        <v>68</v>
      </c>
      <c r="C49" s="19" t="s">
        <v>69</v>
      </c>
      <c r="D49" s="19" t="s">
        <v>669</v>
      </c>
      <c r="E49" s="20" t="s">
        <v>122</v>
      </c>
      <c r="F49" s="10" t="s">
        <v>596</v>
      </c>
      <c r="G49" s="10" t="s">
        <v>778</v>
      </c>
      <c r="H49" s="8"/>
      <c r="I49" s="10" t="str">
        <f>CheckGlossary($E49, Table2[Factors])</f>
        <v>In Glossary
In Glossary</v>
      </c>
    </row>
    <row r="50" spans="1:9" ht="225" x14ac:dyDescent="0.25">
      <c r="A50" s="18">
        <f t="shared" si="0"/>
        <v>43</v>
      </c>
      <c r="B50" s="19" t="s">
        <v>70</v>
      </c>
      <c r="C50" s="19" t="s">
        <v>71</v>
      </c>
      <c r="D50" s="19" t="s">
        <v>670</v>
      </c>
      <c r="E50" s="20" t="s">
        <v>123</v>
      </c>
      <c r="F50" s="10" t="s">
        <v>597</v>
      </c>
      <c r="G50" s="10" t="s">
        <v>779</v>
      </c>
      <c r="H50" s="8"/>
      <c r="I50" s="10" t="str">
        <f>CheckGlossary($E50, Table2[Factors])</f>
        <v>In Glossary
In Glossary</v>
      </c>
    </row>
    <row r="51" spans="1:9" ht="165" x14ac:dyDescent="0.25">
      <c r="A51" s="18">
        <f t="shared" si="0"/>
        <v>44</v>
      </c>
      <c r="B51" s="19" t="s">
        <v>70</v>
      </c>
      <c r="C51" s="19" t="s">
        <v>72</v>
      </c>
      <c r="D51" s="19" t="s">
        <v>671</v>
      </c>
      <c r="E51" s="20" t="s">
        <v>693</v>
      </c>
      <c r="F51" s="10" t="s">
        <v>703</v>
      </c>
      <c r="G51" s="10" t="s">
        <v>780</v>
      </c>
      <c r="H51" s="8"/>
      <c r="I51" s="10" t="str">
        <f>CheckGlossary($E51, Table2[Factors])</f>
        <v>In Glossary
In Glossary
In Glossary
In Glossary
In Glossary</v>
      </c>
    </row>
    <row r="52" spans="1:9" ht="150" x14ac:dyDescent="0.25">
      <c r="A52" s="18">
        <f t="shared" si="0"/>
        <v>45</v>
      </c>
      <c r="B52" s="19" t="s">
        <v>70</v>
      </c>
      <c r="C52" s="19" t="s">
        <v>694</v>
      </c>
      <c r="D52" s="19" t="s">
        <v>672</v>
      </c>
      <c r="E52" s="20" t="s">
        <v>124</v>
      </c>
      <c r="F52" s="10" t="s">
        <v>598</v>
      </c>
      <c r="G52" s="10" t="s">
        <v>781</v>
      </c>
      <c r="H52" s="8"/>
      <c r="I52" s="10" t="str">
        <f>CheckGlossary($E52, Table2[Factors])</f>
        <v>In Glossary
In Glossary
In Glossary
In Glossary</v>
      </c>
    </row>
    <row r="53" spans="1:9" ht="409.5" x14ac:dyDescent="0.25">
      <c r="A53" s="18">
        <f t="shared" si="0"/>
        <v>46</v>
      </c>
      <c r="B53" s="19" t="s">
        <v>73</v>
      </c>
      <c r="C53" s="19" t="s">
        <v>74</v>
      </c>
      <c r="D53" s="19" t="s">
        <v>704</v>
      </c>
      <c r="E53" s="20" t="s">
        <v>615</v>
      </c>
      <c r="F53" s="10" t="s">
        <v>623</v>
      </c>
      <c r="G53" s="10" t="s">
        <v>782</v>
      </c>
      <c r="H53" s="8"/>
      <c r="I53" s="10" t="str">
        <f>CheckGlossary($E53, Table2[Factors])</f>
        <v>In Glossary
In Glossary
In Glossary
In Glossary
In Glossary
In Glossary
In Glossary
In Glossary
In Glossary</v>
      </c>
    </row>
    <row r="54" spans="1:9" ht="105" x14ac:dyDescent="0.25">
      <c r="A54" s="18">
        <f t="shared" si="0"/>
        <v>47</v>
      </c>
      <c r="B54" s="19" t="s">
        <v>75</v>
      </c>
      <c r="C54" s="19" t="s">
        <v>76</v>
      </c>
      <c r="D54" s="19" t="s">
        <v>705</v>
      </c>
      <c r="E54" s="20" t="s">
        <v>109</v>
      </c>
      <c r="F54" s="10" t="s">
        <v>599</v>
      </c>
      <c r="G54" s="10" t="s">
        <v>783</v>
      </c>
      <c r="H54" s="8"/>
      <c r="I54" s="10" t="str">
        <f>CheckGlossary($E54, Table2[Factors])</f>
        <v>In Glossary
In Glossary
In Glossary</v>
      </c>
    </row>
    <row r="55" spans="1:9" ht="285" x14ac:dyDescent="0.25">
      <c r="A55" s="18">
        <f t="shared" si="0"/>
        <v>48</v>
      </c>
      <c r="B55" s="19" t="s">
        <v>75</v>
      </c>
      <c r="C55" s="19" t="s">
        <v>77</v>
      </c>
      <c r="D55" s="19" t="s">
        <v>673</v>
      </c>
      <c r="E55" s="20" t="s">
        <v>110</v>
      </c>
      <c r="F55" s="10" t="s">
        <v>600</v>
      </c>
      <c r="G55" s="10" t="s">
        <v>784</v>
      </c>
      <c r="H55" s="8"/>
      <c r="I55" s="10" t="str">
        <f>CheckGlossary($E55, Table2[Factors])</f>
        <v>In Glossary
In Glossary
In Glossary
In Glossary</v>
      </c>
    </row>
    <row r="56" spans="1:9" ht="120" x14ac:dyDescent="0.25">
      <c r="A56" s="18">
        <f t="shared" si="0"/>
        <v>49</v>
      </c>
      <c r="B56" s="19" t="s">
        <v>75</v>
      </c>
      <c r="C56" s="19" t="s">
        <v>78</v>
      </c>
      <c r="D56" s="19" t="s">
        <v>674</v>
      </c>
      <c r="E56" s="20" t="s">
        <v>616</v>
      </c>
      <c r="F56" s="10" t="s">
        <v>624</v>
      </c>
      <c r="G56" s="10" t="s">
        <v>785</v>
      </c>
      <c r="H56" s="8"/>
      <c r="I56" s="10" t="str">
        <f>CheckGlossary($E56, Table2[Factors])</f>
        <v>In Glossary
In Glossary
In Glossary
In Glossary
In Glossary
In Glossary</v>
      </c>
    </row>
    <row r="57" spans="1:9" ht="75" x14ac:dyDescent="0.25">
      <c r="A57" s="18">
        <f t="shared" si="0"/>
        <v>50</v>
      </c>
      <c r="B57" s="19" t="s">
        <v>79</v>
      </c>
      <c r="C57" s="19" t="s">
        <v>80</v>
      </c>
      <c r="D57" s="19" t="s">
        <v>675</v>
      </c>
      <c r="E57" s="20" t="s">
        <v>617</v>
      </c>
      <c r="F57" s="10" t="s">
        <v>625</v>
      </c>
      <c r="G57" s="10" t="s">
        <v>786</v>
      </c>
      <c r="H57" s="8"/>
      <c r="I57" s="10" t="str">
        <f>CheckGlossary($E57, Table2[Factors])</f>
        <v>In Glossary
In Glossary
In Glossary
In Glossary
In Glossary</v>
      </c>
    </row>
    <row r="58" spans="1:9" ht="210" x14ac:dyDescent="0.25">
      <c r="A58" s="18">
        <f t="shared" si="0"/>
        <v>51</v>
      </c>
      <c r="B58" s="19" t="s">
        <v>81</v>
      </c>
      <c r="C58" s="19" t="s">
        <v>82</v>
      </c>
      <c r="D58" s="19" t="s">
        <v>676</v>
      </c>
      <c r="E58" s="20" t="s">
        <v>125</v>
      </c>
      <c r="F58" s="10" t="s">
        <v>601</v>
      </c>
      <c r="G58" s="10" t="s">
        <v>787</v>
      </c>
      <c r="H58" s="8"/>
      <c r="I58" s="10" t="str">
        <f>CheckGlossary($E58, Table2[Factors])</f>
        <v>In Glossary
In Glossary
In Glossary
In Glossary
In Glossary</v>
      </c>
    </row>
    <row r="59" spans="1:9" ht="60" x14ac:dyDescent="0.25">
      <c r="A59" s="18">
        <f t="shared" si="0"/>
        <v>52</v>
      </c>
      <c r="B59" s="19" t="s">
        <v>81</v>
      </c>
      <c r="C59" s="19" t="s">
        <v>694</v>
      </c>
      <c r="D59" s="19" t="s">
        <v>677</v>
      </c>
      <c r="E59" s="20" t="s">
        <v>618</v>
      </c>
      <c r="F59" s="10" t="s">
        <v>626</v>
      </c>
      <c r="G59" s="10" t="s">
        <v>788</v>
      </c>
      <c r="H59" s="8"/>
      <c r="I59" s="10" t="str">
        <f>CheckGlossary($E59, Table2[Factors])</f>
        <v>In Glossary
In Glossary
In Glossary
In Glossary</v>
      </c>
    </row>
    <row r="60" spans="1:9" ht="105" x14ac:dyDescent="0.25">
      <c r="A60" s="18">
        <f t="shared" si="0"/>
        <v>53</v>
      </c>
      <c r="B60" s="19" t="s">
        <v>83</v>
      </c>
      <c r="C60" s="19" t="s">
        <v>84</v>
      </c>
      <c r="D60" s="19" t="s">
        <v>678</v>
      </c>
      <c r="E60" s="20" t="s">
        <v>126</v>
      </c>
      <c r="F60" s="10" t="s">
        <v>602</v>
      </c>
      <c r="G60" s="10" t="s">
        <v>789</v>
      </c>
      <c r="H60" s="8"/>
      <c r="I60" s="10" t="str">
        <f>CheckGlossary($E60, Table2[Factors])</f>
        <v>In Glossary
In Glossary</v>
      </c>
    </row>
    <row r="61" spans="1:9" ht="195" x14ac:dyDescent="0.25">
      <c r="A61" s="18">
        <f t="shared" si="0"/>
        <v>54</v>
      </c>
      <c r="B61" s="19" t="s">
        <v>85</v>
      </c>
      <c r="C61" s="19" t="s">
        <v>86</v>
      </c>
      <c r="D61" s="19" t="s">
        <v>679</v>
      </c>
      <c r="E61" s="20" t="s">
        <v>127</v>
      </c>
      <c r="F61" s="10" t="s">
        <v>603</v>
      </c>
      <c r="G61" s="10" t="s">
        <v>790</v>
      </c>
      <c r="H61" s="8"/>
      <c r="I61" s="10" t="str">
        <f>CheckGlossary($E61, Table2[Factors])</f>
        <v>In Glossary
In Glossary
In Glossary</v>
      </c>
    </row>
    <row r="62" spans="1:9" ht="195" x14ac:dyDescent="0.25">
      <c r="A62" s="18">
        <f t="shared" si="0"/>
        <v>55</v>
      </c>
      <c r="B62" s="19" t="s">
        <v>85</v>
      </c>
      <c r="C62" s="19" t="s">
        <v>87</v>
      </c>
      <c r="D62" s="19" t="s">
        <v>680</v>
      </c>
      <c r="E62" s="20" t="s">
        <v>619</v>
      </c>
      <c r="F62" s="10" t="s">
        <v>627</v>
      </c>
      <c r="G62" s="10" t="s">
        <v>791</v>
      </c>
      <c r="H62" s="8"/>
      <c r="I62" s="10" t="str">
        <f>CheckGlossary($E62, Table2[Factors])</f>
        <v>In Glossary
In Glossary
In Glossary
In Glossary</v>
      </c>
    </row>
    <row r="63" spans="1:9" ht="105" x14ac:dyDescent="0.25">
      <c r="A63" s="18">
        <f t="shared" si="0"/>
        <v>56</v>
      </c>
      <c r="B63" s="19" t="s">
        <v>89</v>
      </c>
      <c r="C63" s="19" t="s">
        <v>88</v>
      </c>
      <c r="D63" s="19" t="s">
        <v>681</v>
      </c>
      <c r="E63" s="20" t="s">
        <v>620</v>
      </c>
      <c r="F63" s="10" t="s">
        <v>628</v>
      </c>
      <c r="G63" s="10" t="s">
        <v>792</v>
      </c>
      <c r="H63" s="8"/>
      <c r="I63" s="10" t="str">
        <f>CheckGlossary($E63, Table2[Factors])</f>
        <v>In Glossary
In Glossary
In Glossary</v>
      </c>
    </row>
    <row r="64" spans="1:9" ht="135" x14ac:dyDescent="0.25">
      <c r="A64" s="18">
        <f t="shared" si="0"/>
        <v>57</v>
      </c>
      <c r="B64" s="19" t="s">
        <v>90</v>
      </c>
      <c r="C64" s="19" t="s">
        <v>91</v>
      </c>
      <c r="D64" s="19" t="s">
        <v>682</v>
      </c>
      <c r="E64" s="20" t="s">
        <v>128</v>
      </c>
      <c r="F64" s="10" t="s">
        <v>604</v>
      </c>
      <c r="G64" s="10" t="s">
        <v>793</v>
      </c>
      <c r="H64" s="8"/>
      <c r="I64" s="10" t="str">
        <f>CheckGlossary($E64, Table2[Factors])</f>
        <v>In Glossary
In Glossary
In Glossary</v>
      </c>
    </row>
    <row r="65" spans="1:9" ht="165" x14ac:dyDescent="0.25">
      <c r="A65" s="18">
        <f t="shared" si="0"/>
        <v>58</v>
      </c>
      <c r="B65" s="19" t="s">
        <v>93</v>
      </c>
      <c r="C65" s="19" t="s">
        <v>92</v>
      </c>
      <c r="D65" s="19" t="s">
        <v>683</v>
      </c>
      <c r="E65" s="20" t="s">
        <v>129</v>
      </c>
      <c r="F65" s="10" t="s">
        <v>605</v>
      </c>
      <c r="G65" s="10" t="s">
        <v>794</v>
      </c>
      <c r="H65" s="8"/>
      <c r="I65" s="10" t="str">
        <f>CheckGlossary($E65, Table2[Factors])</f>
        <v>In Glossary
In Glossary
In Glossary
In Glossary</v>
      </c>
    </row>
    <row r="66" spans="1:9" ht="390" x14ac:dyDescent="0.25">
      <c r="A66" s="18">
        <f t="shared" si="0"/>
        <v>59</v>
      </c>
      <c r="B66" s="19" t="s">
        <v>95</v>
      </c>
      <c r="C66" s="19" t="s">
        <v>94</v>
      </c>
      <c r="D66" s="19" t="s">
        <v>684</v>
      </c>
      <c r="E66" s="20" t="s">
        <v>130</v>
      </c>
      <c r="F66" s="10" t="s">
        <v>606</v>
      </c>
      <c r="G66" s="10" t="s">
        <v>795</v>
      </c>
      <c r="H66" s="8"/>
      <c r="I66" s="10" t="str">
        <f>CheckGlossary($E66, Table2[Factors])</f>
        <v>In Glossary
In Glossary
In Glossary</v>
      </c>
    </row>
    <row r="67" spans="1:9" ht="345" x14ac:dyDescent="0.25">
      <c r="A67" s="18">
        <f t="shared" si="0"/>
        <v>60</v>
      </c>
      <c r="B67" s="19" t="s">
        <v>96</v>
      </c>
      <c r="C67" s="19" t="s">
        <v>97</v>
      </c>
      <c r="D67" s="19" t="s">
        <v>685</v>
      </c>
      <c r="E67" s="20" t="s">
        <v>621</v>
      </c>
      <c r="F67" s="10" t="s">
        <v>629</v>
      </c>
      <c r="G67" s="10" t="s">
        <v>796</v>
      </c>
      <c r="H67" s="8"/>
      <c r="I67" s="10" t="str">
        <f>CheckGlossary($E67, Table2[Factors])</f>
        <v>In Glossary
In Glossary
In Glossary</v>
      </c>
    </row>
    <row r="68" spans="1:9" ht="180" x14ac:dyDescent="0.25">
      <c r="A68" s="18">
        <f t="shared" si="0"/>
        <v>61</v>
      </c>
      <c r="B68" s="19" t="s">
        <v>96</v>
      </c>
      <c r="C68" s="19" t="s">
        <v>98</v>
      </c>
      <c r="D68" s="19" t="s">
        <v>686</v>
      </c>
      <c r="E68" s="20" t="s">
        <v>131</v>
      </c>
      <c r="F68" s="10" t="s">
        <v>607</v>
      </c>
      <c r="G68" s="10" t="s">
        <v>797</v>
      </c>
      <c r="H68" s="8"/>
      <c r="I68" s="10" t="str">
        <f>CheckGlossary($E68, Table2[Factors])</f>
        <v>In Glossary
In Glossary
In Glossary</v>
      </c>
    </row>
    <row r="69" spans="1:9" ht="105" x14ac:dyDescent="0.25">
      <c r="A69" s="18">
        <f t="shared" si="0"/>
        <v>62</v>
      </c>
      <c r="B69" s="19" t="s">
        <v>99</v>
      </c>
      <c r="C69" s="19" t="s">
        <v>100</v>
      </c>
      <c r="D69" s="19" t="s">
        <v>687</v>
      </c>
      <c r="E69" s="20" t="s">
        <v>132</v>
      </c>
      <c r="F69" s="10" t="s">
        <v>608</v>
      </c>
      <c r="G69" s="10" t="s">
        <v>798</v>
      </c>
      <c r="H69" s="8"/>
      <c r="I69" s="10" t="str">
        <f>CheckGlossary($E69, Table2[Factors])</f>
        <v>In Glossary
In Glossary
In Glossary
In Glossary</v>
      </c>
    </row>
    <row r="70" spans="1:9" ht="150" x14ac:dyDescent="0.25">
      <c r="A70" s="18">
        <f t="shared" si="0"/>
        <v>63</v>
      </c>
      <c r="B70" s="19" t="s">
        <v>101</v>
      </c>
      <c r="C70" s="19" t="s">
        <v>102</v>
      </c>
      <c r="D70" s="19" t="s">
        <v>688</v>
      </c>
      <c r="E70" s="20" t="s">
        <v>631</v>
      </c>
      <c r="F70" s="10" t="s">
        <v>632</v>
      </c>
      <c r="G70" s="10" t="s">
        <v>799</v>
      </c>
      <c r="H70" s="8"/>
      <c r="I70" s="10" t="str">
        <f>CheckGlossary($E70, Table2[Factors])</f>
        <v>In Glossary
In Glossary
In Glossary
In Glossary
In Glossary
In Glossary
In Glossary</v>
      </c>
    </row>
    <row r="71" spans="1:9" ht="375" x14ac:dyDescent="0.25">
      <c r="A71" s="18">
        <f t="shared" si="0"/>
        <v>64</v>
      </c>
      <c r="B71" s="19" t="s">
        <v>101</v>
      </c>
      <c r="C71" s="19" t="s">
        <v>103</v>
      </c>
      <c r="D71" s="19" t="s">
        <v>689</v>
      </c>
      <c r="E71" s="20" t="s">
        <v>104</v>
      </c>
      <c r="F71" s="10" t="s">
        <v>609</v>
      </c>
      <c r="G71" s="10" t="s">
        <v>800</v>
      </c>
      <c r="H71" s="8"/>
      <c r="I71" s="10" t="str">
        <f>CheckGlossary($E71, Table2[Factors])</f>
        <v>In Glossary
In Glossary
In Glossary</v>
      </c>
    </row>
    <row r="72" spans="1:9" ht="90" x14ac:dyDescent="0.25">
      <c r="A72" s="18">
        <f t="shared" si="0"/>
        <v>65</v>
      </c>
      <c r="B72" s="19" t="s">
        <v>105</v>
      </c>
      <c r="C72" s="19" t="s">
        <v>106</v>
      </c>
      <c r="D72" s="19" t="s">
        <v>690</v>
      </c>
      <c r="E72" s="20" t="s">
        <v>622</v>
      </c>
      <c r="F72" s="10" t="s">
        <v>630</v>
      </c>
      <c r="G72" s="10" t="s">
        <v>801</v>
      </c>
      <c r="H72" s="8"/>
      <c r="I72" s="10" t="str">
        <f>CheckGlossary($E72, Table2[Factors])</f>
        <v>In Glossary
In Glossary
In Glossary</v>
      </c>
    </row>
    <row r="73" spans="1:9" ht="270" x14ac:dyDescent="0.25">
      <c r="A73" s="18">
        <f t="shared" si="0"/>
        <v>66</v>
      </c>
      <c r="B73" s="19" t="s">
        <v>105</v>
      </c>
      <c r="C73" s="19" t="s">
        <v>107</v>
      </c>
      <c r="D73" s="19" t="s">
        <v>691</v>
      </c>
      <c r="E73" s="20" t="s">
        <v>108</v>
      </c>
      <c r="F73" s="10" t="s">
        <v>610</v>
      </c>
      <c r="G73" s="10" t="s">
        <v>802</v>
      </c>
      <c r="H73" s="8"/>
      <c r="I73" s="10" t="str">
        <f>CheckGlossary($E73, Table2[Factors])</f>
        <v>In Glossary
In Glossary
In Glossary</v>
      </c>
    </row>
    <row r="74" spans="1:9" x14ac:dyDescent="0.25">
      <c r="B74" s="1"/>
      <c r="C74" s="1"/>
      <c r="D74" s="1"/>
      <c r="E74" s="1"/>
      <c r="F74" s="1"/>
      <c r="G74" s="1"/>
      <c r="H74" s="4"/>
    </row>
    <row r="75" spans="1:9" x14ac:dyDescent="0.25">
      <c r="B75" s="1"/>
      <c r="C75" s="1"/>
      <c r="D75" s="1"/>
      <c r="E75" s="1"/>
      <c r="F75" s="1"/>
      <c r="G75" s="1"/>
      <c r="H75" s="4"/>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sheetData>
  <mergeCells count="4">
    <mergeCell ref="A5:I5"/>
    <mergeCell ref="C2:F2"/>
    <mergeCell ref="C3:F3"/>
    <mergeCell ref="C1:F1"/>
  </mergeCells>
  <conditionalFormatting sqref="I8:I73">
    <cfRule type="containsText" dxfId="1" priority="1" operator="containsText" text="NOT IN GLOSSARY">
      <formula>NOT(ISERROR(SEARCH("NOT IN GLOSSARY",I8)))</formula>
    </cfRule>
  </conditionalFormatting>
  <dataValidations count="1">
    <dataValidation type="list" allowBlank="1" showInputMessage="1" sqref="E8:E73"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G219"/>
  <sheetViews>
    <sheetView workbookViewId="0">
      <pane ySplit="5" topLeftCell="A6" activePane="bottomLeft" state="frozen"/>
      <selection pane="bottomLeft" activeCell="B31" sqref="B31"/>
    </sheetView>
  </sheetViews>
  <sheetFormatPr defaultRowHeight="15" x14ac:dyDescent="0.25"/>
  <cols>
    <col min="1" max="1" width="46.28515625" customWidth="1"/>
    <col min="2" max="2" width="45.7109375" customWidth="1"/>
    <col min="3" max="3" width="32.140625" customWidth="1"/>
    <col min="4" max="4" width="22.28515625" customWidth="1"/>
    <col min="5" max="5" width="27.140625" customWidth="1"/>
    <col min="6" max="6" width="13.85546875" customWidth="1"/>
    <col min="7" max="7" width="38.42578125" customWidth="1"/>
  </cols>
  <sheetData>
    <row r="2" spans="1:7" ht="42.75" customHeight="1" x14ac:dyDescent="0.25"/>
    <row r="3" spans="1:7" x14ac:dyDescent="0.25">
      <c r="A3" s="39" t="s">
        <v>815</v>
      </c>
      <c r="B3" s="39"/>
      <c r="C3" s="39"/>
    </row>
    <row r="4" spans="1:7" x14ac:dyDescent="0.25">
      <c r="A4" s="31" t="str">
        <f>'Thematic Analysis'!E6</f>
        <v>Concern</v>
      </c>
      <c r="B4" s="31" t="str">
        <f>'Thematic Analysis'!F6</f>
        <v>Possible Solutions</v>
      </c>
      <c r="C4" s="31" t="str">
        <f>'Thematic Analysis'!G6</f>
        <v>Organizational Values</v>
      </c>
      <c r="E4" s="12" t="s">
        <v>808</v>
      </c>
      <c r="G4" s="12" t="s">
        <v>807</v>
      </c>
    </row>
    <row r="5" spans="1:7" ht="30" x14ac:dyDescent="0.25">
      <c r="A5" s="13" t="s">
        <v>804</v>
      </c>
      <c r="B5" s="13" t="s">
        <v>805</v>
      </c>
      <c r="C5" s="13" t="s">
        <v>806</v>
      </c>
      <c r="E5" s="3" t="s">
        <v>809</v>
      </c>
      <c r="G5" s="25" t="s">
        <v>810</v>
      </c>
    </row>
    <row r="6" spans="1:7" x14ac:dyDescent="0.25">
      <c r="A6" s="1" t="s">
        <v>150</v>
      </c>
      <c r="B6" s="1" t="s">
        <v>708</v>
      </c>
      <c r="C6" s="1" t="s">
        <v>379</v>
      </c>
      <c r="E6" s="3"/>
      <c r="G6" s="26" t="s">
        <v>709</v>
      </c>
    </row>
    <row r="7" spans="1:7" x14ac:dyDescent="0.25">
      <c r="A7" s="1" t="s">
        <v>313</v>
      </c>
      <c r="B7" t="s">
        <v>726</v>
      </c>
      <c r="C7" s="1" t="s">
        <v>555</v>
      </c>
      <c r="E7">
        <f>SUBTOTAL(103,Table3[Factors that Need to be added])</f>
        <v>0</v>
      </c>
      <c r="G7" s="26" t="s">
        <v>707</v>
      </c>
    </row>
    <row r="8" spans="1:7" x14ac:dyDescent="0.25">
      <c r="A8" s="1" t="s">
        <v>314</v>
      </c>
      <c r="B8" t="s">
        <v>726</v>
      </c>
      <c r="C8" s="1" t="s">
        <v>556</v>
      </c>
      <c r="G8" s="26" t="s">
        <v>714</v>
      </c>
    </row>
    <row r="9" spans="1:7" x14ac:dyDescent="0.25">
      <c r="A9" s="1" t="s">
        <v>282</v>
      </c>
      <c r="B9" s="1" t="s">
        <v>709</v>
      </c>
      <c r="C9" s="1" t="s">
        <v>525</v>
      </c>
      <c r="G9" s="26" t="s">
        <v>710</v>
      </c>
    </row>
    <row r="10" spans="1:7" x14ac:dyDescent="0.25">
      <c r="A10" s="1" t="s">
        <v>290</v>
      </c>
      <c r="B10" t="s">
        <v>713</v>
      </c>
      <c r="C10" s="1" t="s">
        <v>532</v>
      </c>
      <c r="G10" s="26" t="s">
        <v>708</v>
      </c>
    </row>
    <row r="11" spans="1:7" x14ac:dyDescent="0.25">
      <c r="A11" s="1" t="s">
        <v>146</v>
      </c>
      <c r="B11" s="1" t="s">
        <v>709</v>
      </c>
      <c r="C11" s="1" t="s">
        <v>375</v>
      </c>
      <c r="G11" s="26" t="s">
        <v>726</v>
      </c>
    </row>
    <row r="12" spans="1:7" x14ac:dyDescent="0.25">
      <c r="A12" s="1" t="s">
        <v>291</v>
      </c>
      <c r="B12" t="s">
        <v>709</v>
      </c>
      <c r="C12" s="1" t="s">
        <v>533</v>
      </c>
      <c r="G12" s="26" t="s">
        <v>725</v>
      </c>
    </row>
    <row r="13" spans="1:7" x14ac:dyDescent="0.25">
      <c r="A13" s="1" t="s">
        <v>161</v>
      </c>
      <c r="B13" t="s">
        <v>709</v>
      </c>
      <c r="C13" s="1" t="s">
        <v>390</v>
      </c>
      <c r="G13" s="26" t="s">
        <v>712</v>
      </c>
    </row>
    <row r="14" spans="1:7" x14ac:dyDescent="0.25">
      <c r="A14" t="s">
        <v>244</v>
      </c>
      <c r="B14" t="s">
        <v>709</v>
      </c>
      <c r="C14" t="s">
        <v>485</v>
      </c>
      <c r="G14" s="26" t="s">
        <v>715</v>
      </c>
    </row>
    <row r="15" spans="1:7" x14ac:dyDescent="0.25">
      <c r="A15" t="s">
        <v>225</v>
      </c>
      <c r="B15" t="s">
        <v>709</v>
      </c>
      <c r="C15" t="s">
        <v>461</v>
      </c>
      <c r="G15" s="26" t="s">
        <v>717</v>
      </c>
    </row>
    <row r="16" spans="1:7" x14ac:dyDescent="0.25">
      <c r="A16" t="s">
        <v>223</v>
      </c>
      <c r="B16" t="s">
        <v>706</v>
      </c>
      <c r="C16" t="s">
        <v>390</v>
      </c>
      <c r="G16" s="26" t="s">
        <v>716</v>
      </c>
    </row>
    <row r="17" spans="1:7" x14ac:dyDescent="0.25">
      <c r="A17" s="1" t="s">
        <v>304</v>
      </c>
      <c r="B17" t="s">
        <v>710</v>
      </c>
      <c r="C17" s="1" t="s">
        <v>546</v>
      </c>
      <c r="G17" s="26" t="s">
        <v>713</v>
      </c>
    </row>
    <row r="18" spans="1:7" x14ac:dyDescent="0.25">
      <c r="A18" t="s">
        <v>237</v>
      </c>
      <c r="B18" t="s">
        <v>706</v>
      </c>
      <c r="C18" t="s">
        <v>478</v>
      </c>
      <c r="G18" s="26" t="s">
        <v>724</v>
      </c>
    </row>
    <row r="19" spans="1:7" x14ac:dyDescent="0.25">
      <c r="A19" t="s">
        <v>242</v>
      </c>
      <c r="B19" t="s">
        <v>710</v>
      </c>
      <c r="C19" t="s">
        <v>483</v>
      </c>
      <c r="G19" s="26" t="s">
        <v>721</v>
      </c>
    </row>
    <row r="20" spans="1:7" x14ac:dyDescent="0.25">
      <c r="A20" t="s">
        <v>230</v>
      </c>
      <c r="B20" t="s">
        <v>709</v>
      </c>
      <c r="C20" t="s">
        <v>472</v>
      </c>
      <c r="G20" s="26" t="s">
        <v>706</v>
      </c>
    </row>
    <row r="21" spans="1:7" x14ac:dyDescent="0.25">
      <c r="A21" s="1" t="s">
        <v>279</v>
      </c>
      <c r="B21" s="1" t="s">
        <v>709</v>
      </c>
      <c r="C21" s="1" t="s">
        <v>522</v>
      </c>
      <c r="G21" s="26" t="s">
        <v>722</v>
      </c>
    </row>
    <row r="22" spans="1:7" x14ac:dyDescent="0.25">
      <c r="A22" s="1" t="s">
        <v>276</v>
      </c>
      <c r="B22" s="1" t="s">
        <v>706</v>
      </c>
      <c r="C22" s="1" t="s">
        <v>519</v>
      </c>
      <c r="G22" s="26" t="s">
        <v>711</v>
      </c>
    </row>
    <row r="23" spans="1:7" x14ac:dyDescent="0.25">
      <c r="A23" s="1" t="s">
        <v>267</v>
      </c>
      <c r="B23" t="s">
        <v>709</v>
      </c>
      <c r="C23" s="1" t="s">
        <v>508</v>
      </c>
      <c r="G23" s="26" t="s">
        <v>723</v>
      </c>
    </row>
    <row r="24" spans="1:7" x14ac:dyDescent="0.25">
      <c r="A24" s="1" t="s">
        <v>248</v>
      </c>
      <c r="B24" s="1" t="s">
        <v>709</v>
      </c>
      <c r="C24" s="1" t="s">
        <v>489</v>
      </c>
      <c r="G24" s="26" t="s">
        <v>718</v>
      </c>
    </row>
    <row r="25" spans="1:7" x14ac:dyDescent="0.25">
      <c r="A25" s="1" t="s">
        <v>341</v>
      </c>
      <c r="B25" s="1" t="s">
        <v>714</v>
      </c>
      <c r="C25" s="1" t="s">
        <v>395</v>
      </c>
      <c r="G25" s="26" t="s">
        <v>719</v>
      </c>
    </row>
    <row r="26" spans="1:7" x14ac:dyDescent="0.25">
      <c r="A26" t="s">
        <v>212</v>
      </c>
      <c r="B26" t="s">
        <v>706</v>
      </c>
      <c r="C26" t="s">
        <v>318</v>
      </c>
      <c r="G26" s="26" t="s">
        <v>720</v>
      </c>
    </row>
    <row r="27" spans="1:7" x14ac:dyDescent="0.25">
      <c r="A27" s="1" t="s">
        <v>181</v>
      </c>
      <c r="B27" s="1" t="s">
        <v>714</v>
      </c>
      <c r="C27" s="1" t="s">
        <v>412</v>
      </c>
      <c r="G27" s="26">
        <f>SUBTOTAL(103,Table4[Current Groups])</f>
        <v>21</v>
      </c>
    </row>
    <row r="28" spans="1:7" x14ac:dyDescent="0.25">
      <c r="A28" s="1" t="s">
        <v>301</v>
      </c>
      <c r="B28" s="1" t="s">
        <v>714</v>
      </c>
      <c r="C28" s="1" t="s">
        <v>543</v>
      </c>
    </row>
    <row r="29" spans="1:7" x14ac:dyDescent="0.25">
      <c r="A29" s="1" t="s">
        <v>274</v>
      </c>
      <c r="B29" t="s">
        <v>707</v>
      </c>
      <c r="C29" s="1" t="s">
        <v>517</v>
      </c>
    </row>
    <row r="30" spans="1:7" x14ac:dyDescent="0.25">
      <c r="A30" s="1" t="s">
        <v>288</v>
      </c>
      <c r="B30" t="s">
        <v>707</v>
      </c>
      <c r="C30" s="1" t="s">
        <v>530</v>
      </c>
    </row>
    <row r="31" spans="1:7" x14ac:dyDescent="0.25">
      <c r="A31" s="5" t="s">
        <v>153</v>
      </c>
      <c r="B31" t="s">
        <v>707</v>
      </c>
      <c r="C31" s="1" t="s">
        <v>382</v>
      </c>
    </row>
    <row r="32" spans="1:7" x14ac:dyDescent="0.25">
      <c r="A32" s="1" t="s">
        <v>251</v>
      </c>
      <c r="B32" t="s">
        <v>707</v>
      </c>
      <c r="C32" s="1" t="s">
        <v>492</v>
      </c>
    </row>
    <row r="33" spans="1:3" x14ac:dyDescent="0.25">
      <c r="A33" s="1" t="s">
        <v>281</v>
      </c>
      <c r="B33" t="s">
        <v>707</v>
      </c>
      <c r="C33" s="1" t="s">
        <v>524</v>
      </c>
    </row>
    <row r="34" spans="1:3" x14ac:dyDescent="0.25">
      <c r="A34" s="1" t="s">
        <v>285</v>
      </c>
      <c r="B34" t="s">
        <v>711</v>
      </c>
      <c r="C34" s="1" t="s">
        <v>527</v>
      </c>
    </row>
    <row r="35" spans="1:3" x14ac:dyDescent="0.25">
      <c r="A35" s="1" t="s">
        <v>280</v>
      </c>
      <c r="B35" t="s">
        <v>707</v>
      </c>
      <c r="C35" s="1" t="s">
        <v>523</v>
      </c>
    </row>
    <row r="36" spans="1:3" x14ac:dyDescent="0.25">
      <c r="A36" s="1" t="s">
        <v>188</v>
      </c>
      <c r="B36" t="s">
        <v>711</v>
      </c>
      <c r="C36" s="1" t="s">
        <v>424</v>
      </c>
    </row>
    <row r="37" spans="1:3" x14ac:dyDescent="0.25">
      <c r="A37" s="1" t="s">
        <v>339</v>
      </c>
      <c r="B37" t="s">
        <v>711</v>
      </c>
      <c r="C37" s="1" t="s">
        <v>374</v>
      </c>
    </row>
    <row r="38" spans="1:3" x14ac:dyDescent="0.25">
      <c r="A38" s="1" t="s">
        <v>307</v>
      </c>
      <c r="B38" t="s">
        <v>712</v>
      </c>
      <c r="C38" s="1" t="s">
        <v>549</v>
      </c>
    </row>
    <row r="39" spans="1:3" x14ac:dyDescent="0.25">
      <c r="A39" t="s">
        <v>213</v>
      </c>
      <c r="B39" t="s">
        <v>710</v>
      </c>
      <c r="C39" t="s">
        <v>452</v>
      </c>
    </row>
    <row r="40" spans="1:3" x14ac:dyDescent="0.25">
      <c r="A40" t="s">
        <v>205</v>
      </c>
      <c r="B40" t="s">
        <v>713</v>
      </c>
      <c r="C40" t="s">
        <v>442</v>
      </c>
    </row>
    <row r="41" spans="1:3" x14ac:dyDescent="0.25">
      <c r="A41" t="s">
        <v>238</v>
      </c>
      <c r="B41" t="s">
        <v>714</v>
      </c>
      <c r="C41" t="s">
        <v>479</v>
      </c>
    </row>
    <row r="42" spans="1:3" x14ac:dyDescent="0.25">
      <c r="A42" s="1" t="s">
        <v>149</v>
      </c>
      <c r="B42" t="s">
        <v>714</v>
      </c>
      <c r="C42" s="1" t="s">
        <v>378</v>
      </c>
    </row>
    <row r="43" spans="1:3" x14ac:dyDescent="0.25">
      <c r="A43" t="s">
        <v>226</v>
      </c>
      <c r="B43" t="s">
        <v>711</v>
      </c>
      <c r="C43" t="s">
        <v>462</v>
      </c>
    </row>
    <row r="44" spans="1:3" x14ac:dyDescent="0.25">
      <c r="A44" s="1" t="s">
        <v>151</v>
      </c>
      <c r="B44" t="s">
        <v>711</v>
      </c>
      <c r="C44" s="1" t="s">
        <v>380</v>
      </c>
    </row>
    <row r="45" spans="1:3" x14ac:dyDescent="0.25">
      <c r="A45" s="1" t="s">
        <v>287</v>
      </c>
      <c r="B45" t="s">
        <v>711</v>
      </c>
      <c r="C45" s="1" t="s">
        <v>529</v>
      </c>
    </row>
    <row r="46" spans="1:3" x14ac:dyDescent="0.25">
      <c r="A46" s="1" t="s">
        <v>252</v>
      </c>
      <c r="B46" t="s">
        <v>711</v>
      </c>
      <c r="C46" s="1" t="s">
        <v>493</v>
      </c>
    </row>
    <row r="47" spans="1:3" x14ac:dyDescent="0.25">
      <c r="A47" t="s">
        <v>243</v>
      </c>
      <c r="B47" t="s">
        <v>712</v>
      </c>
      <c r="C47" t="s">
        <v>484</v>
      </c>
    </row>
    <row r="48" spans="1:3" x14ac:dyDescent="0.25">
      <c r="A48" t="s">
        <v>210</v>
      </c>
      <c r="B48" t="s">
        <v>710</v>
      </c>
      <c r="C48" t="s">
        <v>451</v>
      </c>
    </row>
    <row r="49" spans="1:3" x14ac:dyDescent="0.25">
      <c r="A49" t="s">
        <v>236</v>
      </c>
      <c r="B49" t="s">
        <v>710</v>
      </c>
      <c r="C49" t="s">
        <v>477</v>
      </c>
    </row>
    <row r="50" spans="1:3" x14ac:dyDescent="0.25">
      <c r="A50" s="1" t="s">
        <v>175</v>
      </c>
      <c r="B50" t="s">
        <v>707</v>
      </c>
      <c r="C50" s="1" t="s">
        <v>406</v>
      </c>
    </row>
    <row r="51" spans="1:3" x14ac:dyDescent="0.25">
      <c r="A51" t="s">
        <v>216</v>
      </c>
      <c r="B51" t="s">
        <v>710</v>
      </c>
      <c r="C51" t="s">
        <v>455</v>
      </c>
    </row>
    <row r="52" spans="1:3" x14ac:dyDescent="0.25">
      <c r="A52" t="s">
        <v>232</v>
      </c>
      <c r="B52" t="s">
        <v>707</v>
      </c>
      <c r="C52" t="s">
        <v>473</v>
      </c>
    </row>
    <row r="53" spans="1:3" x14ac:dyDescent="0.25">
      <c r="A53" s="1" t="s">
        <v>345</v>
      </c>
      <c r="B53" t="s">
        <v>707</v>
      </c>
      <c r="C53" s="1" t="s">
        <v>419</v>
      </c>
    </row>
    <row r="54" spans="1:3" x14ac:dyDescent="0.25">
      <c r="A54" s="1" t="s">
        <v>302</v>
      </c>
      <c r="B54" t="s">
        <v>714</v>
      </c>
      <c r="C54" s="1" t="s">
        <v>544</v>
      </c>
    </row>
    <row r="55" spans="1:3" x14ac:dyDescent="0.25">
      <c r="A55" s="1" t="s">
        <v>262</v>
      </c>
      <c r="B55" t="s">
        <v>712</v>
      </c>
      <c r="C55" s="1" t="s">
        <v>503</v>
      </c>
    </row>
    <row r="56" spans="1:3" x14ac:dyDescent="0.25">
      <c r="A56" s="1" t="s">
        <v>162</v>
      </c>
      <c r="B56" t="s">
        <v>712</v>
      </c>
      <c r="C56" s="1" t="s">
        <v>391</v>
      </c>
    </row>
    <row r="57" spans="1:3" x14ac:dyDescent="0.25">
      <c r="A57" t="s">
        <v>202</v>
      </c>
      <c r="B57" t="s">
        <v>712</v>
      </c>
      <c r="C57" t="s">
        <v>439</v>
      </c>
    </row>
    <row r="58" spans="1:3" x14ac:dyDescent="0.25">
      <c r="A58" t="s">
        <v>356</v>
      </c>
      <c r="B58" t="s">
        <v>707</v>
      </c>
      <c r="C58" t="s">
        <v>466</v>
      </c>
    </row>
    <row r="59" spans="1:3" x14ac:dyDescent="0.25">
      <c r="A59" t="s">
        <v>195</v>
      </c>
      <c r="B59" t="s">
        <v>708</v>
      </c>
      <c r="C59" t="s">
        <v>432</v>
      </c>
    </row>
    <row r="60" spans="1:3" x14ac:dyDescent="0.25">
      <c r="A60" s="1" t="s">
        <v>317</v>
      </c>
      <c r="B60" s="1" t="s">
        <v>708</v>
      </c>
      <c r="C60" s="1" t="s">
        <v>559</v>
      </c>
    </row>
    <row r="61" spans="1:3" x14ac:dyDescent="0.25">
      <c r="A61" s="1" t="s">
        <v>311</v>
      </c>
      <c r="B61" t="s">
        <v>726</v>
      </c>
      <c r="C61" s="1" t="s">
        <v>553</v>
      </c>
    </row>
    <row r="62" spans="1:3" x14ac:dyDescent="0.25">
      <c r="A62" s="1" t="s">
        <v>324</v>
      </c>
      <c r="B62" s="1" t="s">
        <v>708</v>
      </c>
      <c r="C62" s="1" t="s">
        <v>362</v>
      </c>
    </row>
    <row r="63" spans="1:3" x14ac:dyDescent="0.25">
      <c r="A63" s="1" t="s">
        <v>310</v>
      </c>
      <c r="B63" s="1" t="s">
        <v>708</v>
      </c>
      <c r="C63" s="1" t="s">
        <v>552</v>
      </c>
    </row>
    <row r="64" spans="1:3" x14ac:dyDescent="0.25">
      <c r="A64" s="1" t="s">
        <v>139</v>
      </c>
      <c r="B64" s="1" t="s">
        <v>714</v>
      </c>
      <c r="C64" s="1" t="s">
        <v>366</v>
      </c>
    </row>
    <row r="65" spans="1:3" x14ac:dyDescent="0.25">
      <c r="A65" s="1" t="s">
        <v>186</v>
      </c>
      <c r="B65" t="s">
        <v>706</v>
      </c>
      <c r="C65" s="1" t="s">
        <v>421</v>
      </c>
    </row>
    <row r="66" spans="1:3" x14ac:dyDescent="0.25">
      <c r="A66" t="s">
        <v>219</v>
      </c>
      <c r="B66" s="1" t="s">
        <v>719</v>
      </c>
      <c r="C66" t="s">
        <v>458</v>
      </c>
    </row>
    <row r="67" spans="1:3" x14ac:dyDescent="0.25">
      <c r="A67" s="1" t="s">
        <v>165</v>
      </c>
      <c r="B67" s="1" t="s">
        <v>719</v>
      </c>
      <c r="C67" s="1" t="s">
        <v>397</v>
      </c>
    </row>
    <row r="68" spans="1:3" x14ac:dyDescent="0.25">
      <c r="A68" s="1" t="s">
        <v>265</v>
      </c>
      <c r="B68" t="s">
        <v>707</v>
      </c>
      <c r="C68" s="1" t="s">
        <v>506</v>
      </c>
    </row>
    <row r="69" spans="1:3" x14ac:dyDescent="0.25">
      <c r="A69" s="1" t="s">
        <v>293</v>
      </c>
      <c r="B69" s="1" t="s">
        <v>719</v>
      </c>
      <c r="C69" s="1" t="s">
        <v>535</v>
      </c>
    </row>
    <row r="70" spans="1:3" x14ac:dyDescent="0.25">
      <c r="A70" s="1" t="s">
        <v>292</v>
      </c>
      <c r="B70" s="1" t="s">
        <v>714</v>
      </c>
      <c r="C70" s="1" t="s">
        <v>534</v>
      </c>
    </row>
    <row r="71" spans="1:3" x14ac:dyDescent="0.25">
      <c r="A71" s="1" t="s">
        <v>136</v>
      </c>
      <c r="B71" t="s">
        <v>713</v>
      </c>
      <c r="C71" s="1" t="s">
        <v>316</v>
      </c>
    </row>
    <row r="72" spans="1:3" x14ac:dyDescent="0.25">
      <c r="A72" s="1" t="s">
        <v>309</v>
      </c>
      <c r="B72" t="s">
        <v>706</v>
      </c>
      <c r="C72" s="1" t="s">
        <v>551</v>
      </c>
    </row>
    <row r="73" spans="1:3" x14ac:dyDescent="0.25">
      <c r="A73" s="1" t="s">
        <v>137</v>
      </c>
      <c r="B73" t="s">
        <v>706</v>
      </c>
      <c r="C73" s="1" t="s">
        <v>364</v>
      </c>
    </row>
    <row r="74" spans="1:3" x14ac:dyDescent="0.25">
      <c r="A74" s="1" t="s">
        <v>147</v>
      </c>
      <c r="B74" t="s">
        <v>710</v>
      </c>
      <c r="C74" s="1" t="s">
        <v>376</v>
      </c>
    </row>
    <row r="75" spans="1:3" x14ac:dyDescent="0.25">
      <c r="A75" t="s">
        <v>231</v>
      </c>
      <c r="B75" t="s">
        <v>710</v>
      </c>
      <c r="C75" t="s">
        <v>398</v>
      </c>
    </row>
    <row r="76" spans="1:3" x14ac:dyDescent="0.25">
      <c r="A76" s="1" t="s">
        <v>156</v>
      </c>
      <c r="B76" s="1" t="s">
        <v>721</v>
      </c>
      <c r="C76" s="1" t="s">
        <v>385</v>
      </c>
    </row>
    <row r="77" spans="1:3" x14ac:dyDescent="0.25">
      <c r="A77" s="1" t="s">
        <v>176</v>
      </c>
      <c r="B77" s="1" t="s">
        <v>721</v>
      </c>
      <c r="C77" s="1" t="s">
        <v>407</v>
      </c>
    </row>
    <row r="78" spans="1:3" x14ac:dyDescent="0.25">
      <c r="A78" t="s">
        <v>240</v>
      </c>
      <c r="B78" t="s">
        <v>712</v>
      </c>
      <c r="C78" t="s">
        <v>481</v>
      </c>
    </row>
    <row r="79" spans="1:3" x14ac:dyDescent="0.25">
      <c r="A79" s="1" t="s">
        <v>300</v>
      </c>
      <c r="B79" t="s">
        <v>711</v>
      </c>
      <c r="C79" s="1" t="s">
        <v>542</v>
      </c>
    </row>
    <row r="80" spans="1:3" x14ac:dyDescent="0.25">
      <c r="A80" s="1" t="s">
        <v>167</v>
      </c>
      <c r="B80" s="1" t="s">
        <v>712</v>
      </c>
      <c r="C80" s="1" t="s">
        <v>398</v>
      </c>
    </row>
    <row r="81" spans="1:3" x14ac:dyDescent="0.25">
      <c r="A81" t="s">
        <v>201</v>
      </c>
      <c r="B81" t="s">
        <v>715</v>
      </c>
      <c r="C81" t="s">
        <v>438</v>
      </c>
    </row>
    <row r="82" spans="1:3" x14ac:dyDescent="0.25">
      <c r="A82" s="1" t="s">
        <v>183</v>
      </c>
      <c r="B82" t="s">
        <v>715</v>
      </c>
      <c r="C82" s="1" t="s">
        <v>416</v>
      </c>
    </row>
    <row r="83" spans="1:3" x14ac:dyDescent="0.25">
      <c r="A83" s="1" t="s">
        <v>144</v>
      </c>
      <c r="B83" t="s">
        <v>714</v>
      </c>
      <c r="C83" s="1" t="s">
        <v>372</v>
      </c>
    </row>
    <row r="84" spans="1:3" x14ac:dyDescent="0.25">
      <c r="A84" s="1" t="s">
        <v>184</v>
      </c>
      <c r="B84" t="s">
        <v>714</v>
      </c>
      <c r="C84" s="1" t="s">
        <v>418</v>
      </c>
    </row>
    <row r="85" spans="1:3" x14ac:dyDescent="0.25">
      <c r="A85" t="s">
        <v>354</v>
      </c>
      <c r="B85" t="s">
        <v>714</v>
      </c>
      <c r="C85" t="s">
        <v>464</v>
      </c>
    </row>
    <row r="86" spans="1:3" x14ac:dyDescent="0.25">
      <c r="A86" t="s">
        <v>198</v>
      </c>
      <c r="B86" t="s">
        <v>716</v>
      </c>
      <c r="C86" t="s">
        <v>435</v>
      </c>
    </row>
    <row r="87" spans="1:3" x14ac:dyDescent="0.25">
      <c r="A87" s="1" t="s">
        <v>157</v>
      </c>
      <c r="B87" s="1" t="s">
        <v>710</v>
      </c>
      <c r="C87" s="1" t="s">
        <v>393</v>
      </c>
    </row>
    <row r="88" spans="1:3" x14ac:dyDescent="0.25">
      <c r="A88" t="s">
        <v>221</v>
      </c>
      <c r="B88" t="s">
        <v>710</v>
      </c>
      <c r="C88" t="s">
        <v>458</v>
      </c>
    </row>
    <row r="89" spans="1:3" x14ac:dyDescent="0.25">
      <c r="A89" s="1" t="s">
        <v>284</v>
      </c>
      <c r="B89" s="1" t="s">
        <v>709</v>
      </c>
      <c r="C89" s="1" t="s">
        <v>526</v>
      </c>
    </row>
    <row r="90" spans="1:3" x14ac:dyDescent="0.25">
      <c r="A90" s="1" t="s">
        <v>271</v>
      </c>
      <c r="B90" t="s">
        <v>709</v>
      </c>
      <c r="C90" s="1" t="s">
        <v>513</v>
      </c>
    </row>
    <row r="91" spans="1:3" x14ac:dyDescent="0.25">
      <c r="A91" t="s">
        <v>204</v>
      </c>
      <c r="B91" t="s">
        <v>709</v>
      </c>
      <c r="C91" t="s">
        <v>441</v>
      </c>
    </row>
    <row r="92" spans="1:3" x14ac:dyDescent="0.25">
      <c r="A92" t="s">
        <v>206</v>
      </c>
      <c r="B92" t="s">
        <v>709</v>
      </c>
      <c r="C92" t="s">
        <v>444</v>
      </c>
    </row>
    <row r="93" spans="1:3" x14ac:dyDescent="0.25">
      <c r="A93" s="1" t="s">
        <v>163</v>
      </c>
      <c r="B93" t="s">
        <v>709</v>
      </c>
      <c r="C93" s="1" t="s">
        <v>392</v>
      </c>
    </row>
    <row r="94" spans="1:3" x14ac:dyDescent="0.25">
      <c r="A94" s="1" t="s">
        <v>263</v>
      </c>
      <c r="B94" t="s">
        <v>726</v>
      </c>
      <c r="C94" s="1" t="s">
        <v>504</v>
      </c>
    </row>
    <row r="95" spans="1:3" x14ac:dyDescent="0.25">
      <c r="A95" s="1" t="s">
        <v>255</v>
      </c>
      <c r="B95" t="s">
        <v>717</v>
      </c>
      <c r="C95" s="1" t="s">
        <v>496</v>
      </c>
    </row>
    <row r="96" spans="1:3" x14ac:dyDescent="0.25">
      <c r="A96" s="1" t="s">
        <v>256</v>
      </c>
      <c r="B96" t="s">
        <v>717</v>
      </c>
      <c r="C96" s="1" t="s">
        <v>497</v>
      </c>
    </row>
    <row r="97" spans="1:3" x14ac:dyDescent="0.25">
      <c r="A97" t="s">
        <v>222</v>
      </c>
      <c r="B97" t="s">
        <v>717</v>
      </c>
      <c r="C97" t="s">
        <v>459</v>
      </c>
    </row>
    <row r="98" spans="1:3" x14ac:dyDescent="0.25">
      <c r="A98" s="1" t="s">
        <v>259</v>
      </c>
      <c r="B98" t="s">
        <v>717</v>
      </c>
      <c r="C98" s="1" t="s">
        <v>500</v>
      </c>
    </row>
    <row r="99" spans="1:3" x14ac:dyDescent="0.25">
      <c r="A99" s="1" t="s">
        <v>303</v>
      </c>
      <c r="B99" t="s">
        <v>710</v>
      </c>
      <c r="C99" s="1" t="s">
        <v>545</v>
      </c>
    </row>
    <row r="100" spans="1:3" x14ac:dyDescent="0.25">
      <c r="A100" s="1" t="s">
        <v>264</v>
      </c>
      <c r="B100" t="s">
        <v>710</v>
      </c>
      <c r="C100" s="1" t="s">
        <v>505</v>
      </c>
    </row>
    <row r="101" spans="1:3" x14ac:dyDescent="0.25">
      <c r="A101" s="1" t="s">
        <v>270</v>
      </c>
      <c r="B101" t="s">
        <v>708</v>
      </c>
      <c r="C101" s="1" t="s">
        <v>511</v>
      </c>
    </row>
    <row r="102" spans="1:3" x14ac:dyDescent="0.25">
      <c r="A102" s="1" t="s">
        <v>171</v>
      </c>
      <c r="B102" t="s">
        <v>715</v>
      </c>
      <c r="C102" s="1" t="s">
        <v>402</v>
      </c>
    </row>
    <row r="103" spans="1:3" x14ac:dyDescent="0.25">
      <c r="A103" s="1" t="s">
        <v>249</v>
      </c>
      <c r="B103" t="s">
        <v>708</v>
      </c>
      <c r="C103" s="1" t="s">
        <v>490</v>
      </c>
    </row>
    <row r="104" spans="1:3" x14ac:dyDescent="0.25">
      <c r="A104" s="1" t="s">
        <v>168</v>
      </c>
      <c r="B104" t="s">
        <v>708</v>
      </c>
      <c r="C104" s="1" t="s">
        <v>399</v>
      </c>
    </row>
    <row r="105" spans="1:3" x14ac:dyDescent="0.25">
      <c r="A105" t="s">
        <v>197</v>
      </c>
      <c r="B105" t="s">
        <v>708</v>
      </c>
      <c r="C105" t="s">
        <v>434</v>
      </c>
    </row>
    <row r="106" spans="1:3" x14ac:dyDescent="0.25">
      <c r="A106" t="s">
        <v>192</v>
      </c>
      <c r="B106" t="s">
        <v>708</v>
      </c>
      <c r="C106" t="s">
        <v>428</v>
      </c>
    </row>
    <row r="107" spans="1:3" x14ac:dyDescent="0.25">
      <c r="A107" s="1" t="s">
        <v>258</v>
      </c>
      <c r="B107" s="1" t="s">
        <v>710</v>
      </c>
      <c r="C107" s="1" t="s">
        <v>499</v>
      </c>
    </row>
    <row r="108" spans="1:3" x14ac:dyDescent="0.25">
      <c r="A108" s="1" t="s">
        <v>178</v>
      </c>
      <c r="B108" s="1" t="s">
        <v>708</v>
      </c>
      <c r="C108" s="1" t="s">
        <v>409</v>
      </c>
    </row>
    <row r="109" spans="1:3" x14ac:dyDescent="0.25">
      <c r="A109" s="1" t="s">
        <v>155</v>
      </c>
      <c r="B109" s="1" t="s">
        <v>716</v>
      </c>
      <c r="C109" s="1" t="s">
        <v>384</v>
      </c>
    </row>
    <row r="110" spans="1:3" x14ac:dyDescent="0.25">
      <c r="A110" t="s">
        <v>235</v>
      </c>
      <c r="B110" s="1" t="s">
        <v>716</v>
      </c>
      <c r="C110" t="s">
        <v>476</v>
      </c>
    </row>
    <row r="111" spans="1:3" x14ac:dyDescent="0.25">
      <c r="A111" t="s">
        <v>203</v>
      </c>
      <c r="B111" s="1" t="s">
        <v>719</v>
      </c>
      <c r="C111" t="s">
        <v>440</v>
      </c>
    </row>
    <row r="112" spans="1:3" x14ac:dyDescent="0.25">
      <c r="A112" s="1" t="s">
        <v>295</v>
      </c>
      <c r="B112" s="1" t="s">
        <v>719</v>
      </c>
      <c r="C112" s="1" t="s">
        <v>537</v>
      </c>
    </row>
    <row r="113" spans="1:3" x14ac:dyDescent="0.25">
      <c r="A113" s="1" t="s">
        <v>322</v>
      </c>
      <c r="B113" s="1" t="s">
        <v>719</v>
      </c>
      <c r="C113" s="1" t="s">
        <v>564</v>
      </c>
    </row>
    <row r="114" spans="1:3" x14ac:dyDescent="0.25">
      <c r="A114" s="1" t="s">
        <v>320</v>
      </c>
      <c r="B114" s="1" t="s">
        <v>708</v>
      </c>
      <c r="C114" s="1" t="s">
        <v>562</v>
      </c>
    </row>
    <row r="115" spans="1:3" x14ac:dyDescent="0.25">
      <c r="A115" s="1" t="s">
        <v>343</v>
      </c>
      <c r="B115" s="1" t="s">
        <v>714</v>
      </c>
      <c r="C115" s="1" t="s">
        <v>414</v>
      </c>
    </row>
    <row r="116" spans="1:3" x14ac:dyDescent="0.25">
      <c r="A116" s="1" t="s">
        <v>148</v>
      </c>
      <c r="B116" s="1" t="s">
        <v>719</v>
      </c>
      <c r="C116" s="1" t="s">
        <v>377</v>
      </c>
    </row>
    <row r="117" spans="1:3" x14ac:dyDescent="0.25">
      <c r="A117" s="1" t="s">
        <v>187</v>
      </c>
      <c r="B117" s="1" t="s">
        <v>719</v>
      </c>
      <c r="C117" s="1" t="s">
        <v>422</v>
      </c>
    </row>
    <row r="118" spans="1:3" x14ac:dyDescent="0.25">
      <c r="A118" s="1" t="s">
        <v>315</v>
      </c>
      <c r="B118" s="1" t="s">
        <v>719</v>
      </c>
      <c r="C118" s="1" t="s">
        <v>557</v>
      </c>
    </row>
    <row r="119" spans="1:3" x14ac:dyDescent="0.25">
      <c r="A119" s="1" t="s">
        <v>286</v>
      </c>
      <c r="B119" s="1" t="s">
        <v>714</v>
      </c>
      <c r="C119" s="1" t="s">
        <v>528</v>
      </c>
    </row>
    <row r="120" spans="1:3" x14ac:dyDescent="0.25">
      <c r="A120" s="1" t="s">
        <v>306</v>
      </c>
      <c r="B120" s="1" t="s">
        <v>719</v>
      </c>
      <c r="C120" s="1" t="s">
        <v>548</v>
      </c>
    </row>
    <row r="121" spans="1:3" x14ac:dyDescent="0.25">
      <c r="A121" s="1" t="s">
        <v>308</v>
      </c>
      <c r="B121" s="1" t="s">
        <v>719</v>
      </c>
      <c r="C121" s="1" t="s">
        <v>550</v>
      </c>
    </row>
    <row r="122" spans="1:3" x14ac:dyDescent="0.25">
      <c r="A122" s="1" t="s">
        <v>294</v>
      </c>
      <c r="B122" s="1" t="s">
        <v>719</v>
      </c>
      <c r="C122" s="1" t="s">
        <v>536</v>
      </c>
    </row>
    <row r="123" spans="1:3" x14ac:dyDescent="0.25">
      <c r="A123" s="1" t="s">
        <v>154</v>
      </c>
      <c r="B123" s="1" t="s">
        <v>719</v>
      </c>
      <c r="C123" s="1" t="s">
        <v>383</v>
      </c>
    </row>
    <row r="124" spans="1:3" x14ac:dyDescent="0.25">
      <c r="A124" t="s">
        <v>229</v>
      </c>
      <c r="B124" t="s">
        <v>710</v>
      </c>
      <c r="C124" t="s">
        <v>471</v>
      </c>
    </row>
    <row r="125" spans="1:3" x14ac:dyDescent="0.25">
      <c r="A125" s="1" t="s">
        <v>164</v>
      </c>
      <c r="B125" s="1" t="s">
        <v>712</v>
      </c>
      <c r="C125" s="1" t="s">
        <v>394</v>
      </c>
    </row>
    <row r="126" spans="1:3" x14ac:dyDescent="0.25">
      <c r="A126" s="1" t="s">
        <v>266</v>
      </c>
      <c r="B126" s="1" t="s">
        <v>712</v>
      </c>
      <c r="C126" s="1" t="s">
        <v>507</v>
      </c>
    </row>
    <row r="127" spans="1:3" x14ac:dyDescent="0.25">
      <c r="A127" t="s">
        <v>200</v>
      </c>
      <c r="B127" t="s">
        <v>718</v>
      </c>
      <c r="C127" t="s">
        <v>437</v>
      </c>
    </row>
    <row r="128" spans="1:3" x14ac:dyDescent="0.25">
      <c r="A128" t="s">
        <v>199</v>
      </c>
      <c r="B128" s="1" t="s">
        <v>708</v>
      </c>
      <c r="C128" t="s">
        <v>436</v>
      </c>
    </row>
    <row r="129" spans="1:3" x14ac:dyDescent="0.25">
      <c r="A129" t="s">
        <v>208</v>
      </c>
      <c r="B129" t="s">
        <v>718</v>
      </c>
      <c r="C129" t="s">
        <v>449</v>
      </c>
    </row>
    <row r="130" spans="1:3" x14ac:dyDescent="0.25">
      <c r="A130" s="1" t="s">
        <v>296</v>
      </c>
      <c r="B130" s="1" t="s">
        <v>708</v>
      </c>
      <c r="C130" s="1" t="s">
        <v>538</v>
      </c>
    </row>
    <row r="131" spans="1:3" x14ac:dyDescent="0.25">
      <c r="A131" s="1" t="s">
        <v>273</v>
      </c>
      <c r="B131" s="1" t="s">
        <v>719</v>
      </c>
      <c r="C131" s="1" t="s">
        <v>516</v>
      </c>
    </row>
    <row r="132" spans="1:3" x14ac:dyDescent="0.25">
      <c r="A132" s="1" t="s">
        <v>141</v>
      </c>
      <c r="B132" s="1" t="s">
        <v>712</v>
      </c>
      <c r="C132" s="1" t="s">
        <v>368</v>
      </c>
    </row>
    <row r="133" spans="1:3" x14ac:dyDescent="0.25">
      <c r="A133" s="1" t="s">
        <v>359</v>
      </c>
      <c r="B133" s="1" t="s">
        <v>720</v>
      </c>
      <c r="C133" s="1" t="s">
        <v>512</v>
      </c>
    </row>
    <row r="134" spans="1:3" x14ac:dyDescent="0.25">
      <c r="A134" s="1" t="s">
        <v>174</v>
      </c>
      <c r="B134" s="1" t="s">
        <v>708</v>
      </c>
      <c r="C134" s="1" t="s">
        <v>405</v>
      </c>
    </row>
    <row r="135" spans="1:3" x14ac:dyDescent="0.25">
      <c r="A135" s="1" t="s">
        <v>289</v>
      </c>
      <c r="B135" s="1" t="s">
        <v>720</v>
      </c>
      <c r="C135" s="1" t="s">
        <v>531</v>
      </c>
    </row>
    <row r="136" spans="1:3" x14ac:dyDescent="0.25">
      <c r="A136" s="1" t="s">
        <v>191</v>
      </c>
      <c r="B136" s="1" t="s">
        <v>715</v>
      </c>
      <c r="C136" s="1" t="s">
        <v>427</v>
      </c>
    </row>
    <row r="137" spans="1:3" x14ac:dyDescent="0.25">
      <c r="A137" s="1" t="s">
        <v>305</v>
      </c>
      <c r="B137" s="1" t="s">
        <v>721</v>
      </c>
      <c r="C137" s="1" t="s">
        <v>547</v>
      </c>
    </row>
    <row r="138" spans="1:3" x14ac:dyDescent="0.25">
      <c r="A138" s="1" t="s">
        <v>158</v>
      </c>
      <c r="B138" s="1" t="s">
        <v>713</v>
      </c>
      <c r="C138" s="1" t="s">
        <v>387</v>
      </c>
    </row>
    <row r="139" spans="1:3" x14ac:dyDescent="0.25">
      <c r="A139" s="1" t="s">
        <v>319</v>
      </c>
      <c r="B139" s="1" t="s">
        <v>720</v>
      </c>
      <c r="C139" s="1" t="s">
        <v>561</v>
      </c>
    </row>
    <row r="140" spans="1:3" x14ac:dyDescent="0.25">
      <c r="A140" s="1" t="s">
        <v>253</v>
      </c>
      <c r="B140" s="1" t="s">
        <v>708</v>
      </c>
      <c r="C140" s="1" t="s">
        <v>494</v>
      </c>
    </row>
    <row r="141" spans="1:3" x14ac:dyDescent="0.25">
      <c r="A141" t="s">
        <v>239</v>
      </c>
      <c r="B141" t="s">
        <v>707</v>
      </c>
      <c r="C141" t="s">
        <v>480</v>
      </c>
    </row>
    <row r="142" spans="1:3" x14ac:dyDescent="0.25">
      <c r="A142" t="s">
        <v>218</v>
      </c>
      <c r="B142" t="s">
        <v>713</v>
      </c>
      <c r="C142" t="s">
        <v>457</v>
      </c>
    </row>
    <row r="143" spans="1:3" x14ac:dyDescent="0.25">
      <c r="A143" t="s">
        <v>245</v>
      </c>
      <c r="B143" t="s">
        <v>718</v>
      </c>
      <c r="C143" t="s">
        <v>486</v>
      </c>
    </row>
    <row r="144" spans="1:3" x14ac:dyDescent="0.25">
      <c r="A144" t="s">
        <v>358</v>
      </c>
      <c r="B144" t="s">
        <v>722</v>
      </c>
      <c r="C144" t="s">
        <v>468</v>
      </c>
    </row>
    <row r="145" spans="1:3" x14ac:dyDescent="0.25">
      <c r="A145" s="1" t="s">
        <v>138</v>
      </c>
      <c r="B145" s="1" t="s">
        <v>716</v>
      </c>
      <c r="C145" s="1" t="s">
        <v>365</v>
      </c>
    </row>
    <row r="146" spans="1:3" x14ac:dyDescent="0.25">
      <c r="A146" s="1" t="s">
        <v>145</v>
      </c>
      <c r="B146" s="1" t="s">
        <v>718</v>
      </c>
      <c r="C146" s="1" t="s">
        <v>373</v>
      </c>
    </row>
    <row r="147" spans="1:3" x14ac:dyDescent="0.25">
      <c r="A147" s="1" t="s">
        <v>140</v>
      </c>
      <c r="B147" s="1" t="s">
        <v>720</v>
      </c>
      <c r="C147" s="1" t="s">
        <v>367</v>
      </c>
    </row>
    <row r="148" spans="1:3" x14ac:dyDescent="0.25">
      <c r="A148" s="1" t="s">
        <v>342</v>
      </c>
      <c r="B148" s="1" t="s">
        <v>723</v>
      </c>
      <c r="C148" s="1" t="s">
        <v>413</v>
      </c>
    </row>
    <row r="149" spans="1:3" x14ac:dyDescent="0.25">
      <c r="A149" t="s">
        <v>349</v>
      </c>
      <c r="B149" t="s">
        <v>723</v>
      </c>
      <c r="C149" t="s">
        <v>446</v>
      </c>
    </row>
    <row r="150" spans="1:3" x14ac:dyDescent="0.25">
      <c r="A150" s="1" t="s">
        <v>152</v>
      </c>
      <c r="B150" s="1" t="s">
        <v>723</v>
      </c>
      <c r="C150" s="1" t="s">
        <v>381</v>
      </c>
    </row>
    <row r="151" spans="1:3" x14ac:dyDescent="0.25">
      <c r="A151" s="1" t="s">
        <v>250</v>
      </c>
      <c r="B151" s="1" t="s">
        <v>723</v>
      </c>
      <c r="C151" s="1" t="s">
        <v>491</v>
      </c>
    </row>
    <row r="152" spans="1:3" x14ac:dyDescent="0.25">
      <c r="A152" t="s">
        <v>352</v>
      </c>
      <c r="B152" t="s">
        <v>712</v>
      </c>
      <c r="C152" t="s">
        <v>463</v>
      </c>
    </row>
    <row r="153" spans="1:3" x14ac:dyDescent="0.25">
      <c r="A153" t="s">
        <v>228</v>
      </c>
      <c r="B153" t="s">
        <v>713</v>
      </c>
      <c r="C153" t="s">
        <v>470</v>
      </c>
    </row>
    <row r="154" spans="1:3" x14ac:dyDescent="0.25">
      <c r="A154" t="s">
        <v>246</v>
      </c>
      <c r="B154" t="s">
        <v>713</v>
      </c>
      <c r="C154" t="s">
        <v>487</v>
      </c>
    </row>
    <row r="155" spans="1:3" x14ac:dyDescent="0.25">
      <c r="A155" s="1" t="s">
        <v>318</v>
      </c>
      <c r="B155" s="1" t="s">
        <v>721</v>
      </c>
      <c r="C155" s="1" t="s">
        <v>560</v>
      </c>
    </row>
    <row r="156" spans="1:3" x14ac:dyDescent="0.25">
      <c r="A156" s="1" t="s">
        <v>277</v>
      </c>
      <c r="B156" t="s">
        <v>722</v>
      </c>
      <c r="C156" s="1" t="s">
        <v>520</v>
      </c>
    </row>
    <row r="157" spans="1:3" x14ac:dyDescent="0.25">
      <c r="A157" s="1" t="s">
        <v>344</v>
      </c>
      <c r="B157" t="s">
        <v>722</v>
      </c>
      <c r="C157" s="1" t="s">
        <v>417</v>
      </c>
    </row>
    <row r="158" spans="1:3" x14ac:dyDescent="0.25">
      <c r="A158" t="s">
        <v>214</v>
      </c>
      <c r="B158" t="s">
        <v>722</v>
      </c>
      <c r="C158" t="s">
        <v>453</v>
      </c>
    </row>
    <row r="159" spans="1:3" x14ac:dyDescent="0.25">
      <c r="A159" s="1" t="s">
        <v>170</v>
      </c>
      <c r="B159" s="1" t="s">
        <v>724</v>
      </c>
      <c r="C159" s="1" t="s">
        <v>401</v>
      </c>
    </row>
    <row r="160" spans="1:3" x14ac:dyDescent="0.25">
      <c r="A160" s="1" t="s">
        <v>268</v>
      </c>
      <c r="B160" s="1" t="s">
        <v>714</v>
      </c>
      <c r="C160" s="1" t="s">
        <v>509</v>
      </c>
    </row>
    <row r="161" spans="1:3" x14ac:dyDescent="0.25">
      <c r="A161" s="1" t="s">
        <v>143</v>
      </c>
      <c r="B161" s="1" t="s">
        <v>713</v>
      </c>
      <c r="C161" s="1" t="s">
        <v>370</v>
      </c>
    </row>
    <row r="162" spans="1:3" x14ac:dyDescent="0.25">
      <c r="A162" t="s">
        <v>215</v>
      </c>
      <c r="B162" t="s">
        <v>713</v>
      </c>
      <c r="C162" t="s">
        <v>454</v>
      </c>
    </row>
    <row r="163" spans="1:3" x14ac:dyDescent="0.25">
      <c r="A163" t="s">
        <v>348</v>
      </c>
      <c r="B163" t="s">
        <v>713</v>
      </c>
      <c r="C163" t="s">
        <v>443</v>
      </c>
    </row>
    <row r="164" spans="1:3" x14ac:dyDescent="0.25">
      <c r="A164" t="s">
        <v>241</v>
      </c>
      <c r="B164" t="s">
        <v>713</v>
      </c>
      <c r="C164" t="s">
        <v>482</v>
      </c>
    </row>
    <row r="165" spans="1:3" x14ac:dyDescent="0.25">
      <c r="A165" t="s">
        <v>227</v>
      </c>
      <c r="B165" t="s">
        <v>722</v>
      </c>
      <c r="C165" t="s">
        <v>469</v>
      </c>
    </row>
    <row r="166" spans="1:3" x14ac:dyDescent="0.25">
      <c r="A166" s="1" t="s">
        <v>247</v>
      </c>
      <c r="B166" t="s">
        <v>724</v>
      </c>
      <c r="C166" s="1" t="s">
        <v>488</v>
      </c>
    </row>
    <row r="167" spans="1:3" x14ac:dyDescent="0.25">
      <c r="A167" s="1" t="s">
        <v>254</v>
      </c>
      <c r="B167" s="1" t="s">
        <v>714</v>
      </c>
      <c r="C167" s="1" t="s">
        <v>495</v>
      </c>
    </row>
    <row r="168" spans="1:3" x14ac:dyDescent="0.25">
      <c r="A168" s="1" t="s">
        <v>169</v>
      </c>
      <c r="B168" s="1" t="s">
        <v>706</v>
      </c>
      <c r="C168" s="1" t="s">
        <v>400</v>
      </c>
    </row>
    <row r="169" spans="1:3" x14ac:dyDescent="0.25">
      <c r="A169" s="1" t="s">
        <v>182</v>
      </c>
      <c r="B169" s="1" t="s">
        <v>706</v>
      </c>
      <c r="C169" s="1" t="s">
        <v>415</v>
      </c>
    </row>
    <row r="170" spans="1:3" x14ac:dyDescent="0.25">
      <c r="A170" s="1" t="s">
        <v>297</v>
      </c>
      <c r="B170" s="1" t="s">
        <v>706</v>
      </c>
      <c r="C170" s="1" t="s">
        <v>539</v>
      </c>
    </row>
    <row r="171" spans="1:3" x14ac:dyDescent="0.25">
      <c r="A171" s="1" t="s">
        <v>180</v>
      </c>
      <c r="B171" s="1" t="s">
        <v>706</v>
      </c>
      <c r="C171" s="1" t="s">
        <v>411</v>
      </c>
    </row>
    <row r="172" spans="1:3" x14ac:dyDescent="0.25">
      <c r="A172" s="1" t="s">
        <v>321</v>
      </c>
      <c r="B172" s="1" t="s">
        <v>706</v>
      </c>
      <c r="C172" s="1" t="s">
        <v>563</v>
      </c>
    </row>
    <row r="173" spans="1:3" x14ac:dyDescent="0.25">
      <c r="A173" s="1" t="s">
        <v>190</v>
      </c>
      <c r="B173" s="1" t="s">
        <v>706</v>
      </c>
      <c r="C173" s="1" t="s">
        <v>426</v>
      </c>
    </row>
    <row r="174" spans="1:3" x14ac:dyDescent="0.25">
      <c r="A174" s="1" t="s">
        <v>360</v>
      </c>
      <c r="B174" s="1" t="s">
        <v>724</v>
      </c>
      <c r="C174" s="1" t="s">
        <v>515</v>
      </c>
    </row>
    <row r="175" spans="1:3" x14ac:dyDescent="0.25">
      <c r="A175" s="1" t="s">
        <v>269</v>
      </c>
      <c r="B175" s="1" t="s">
        <v>724</v>
      </c>
      <c r="C175" s="1" t="s">
        <v>510</v>
      </c>
    </row>
    <row r="176" spans="1:3" x14ac:dyDescent="0.25">
      <c r="A176" t="s">
        <v>347</v>
      </c>
      <c r="B176" s="1" t="s">
        <v>708</v>
      </c>
      <c r="C176" t="s">
        <v>363</v>
      </c>
    </row>
    <row r="177" spans="1:3" x14ac:dyDescent="0.25">
      <c r="A177" s="1" t="s">
        <v>166</v>
      </c>
      <c r="B177" t="s">
        <v>722</v>
      </c>
      <c r="C177" s="1" t="s">
        <v>396</v>
      </c>
    </row>
    <row r="178" spans="1:3" x14ac:dyDescent="0.25">
      <c r="A178" t="s">
        <v>207</v>
      </c>
      <c r="B178" s="1" t="s">
        <v>718</v>
      </c>
      <c r="C178" t="s">
        <v>445</v>
      </c>
    </row>
    <row r="179" spans="1:3" x14ac:dyDescent="0.25">
      <c r="A179" s="1" t="s">
        <v>299</v>
      </c>
      <c r="B179" s="1" t="s">
        <v>721</v>
      </c>
      <c r="C179" s="1" t="s">
        <v>541</v>
      </c>
    </row>
    <row r="180" spans="1:3" x14ac:dyDescent="0.25">
      <c r="A180" s="1" t="s">
        <v>260</v>
      </c>
      <c r="B180" t="s">
        <v>726</v>
      </c>
      <c r="C180" s="1" t="s">
        <v>501</v>
      </c>
    </row>
    <row r="181" spans="1:3" x14ac:dyDescent="0.25">
      <c r="A181" t="s">
        <v>346</v>
      </c>
      <c r="B181" s="1" t="s">
        <v>710</v>
      </c>
      <c r="C181" t="s">
        <v>429</v>
      </c>
    </row>
    <row r="182" spans="1:3" x14ac:dyDescent="0.25">
      <c r="A182" t="s">
        <v>217</v>
      </c>
      <c r="B182" t="s">
        <v>722</v>
      </c>
      <c r="C182" t="s">
        <v>456</v>
      </c>
    </row>
    <row r="183" spans="1:3" x14ac:dyDescent="0.25">
      <c r="A183" t="s">
        <v>211</v>
      </c>
      <c r="B183" s="1" t="s">
        <v>721</v>
      </c>
      <c r="C183" t="s">
        <v>274</v>
      </c>
    </row>
    <row r="184" spans="1:3" x14ac:dyDescent="0.25">
      <c r="A184" s="1" t="s">
        <v>298</v>
      </c>
      <c r="B184" t="s">
        <v>725</v>
      </c>
      <c r="C184" s="1" t="s">
        <v>540</v>
      </c>
    </row>
    <row r="185" spans="1:3" x14ac:dyDescent="0.25">
      <c r="A185" t="s">
        <v>350</v>
      </c>
      <c r="B185" s="1" t="s">
        <v>725</v>
      </c>
      <c r="C185" t="s">
        <v>447</v>
      </c>
    </row>
    <row r="186" spans="1:3" x14ac:dyDescent="0.25">
      <c r="A186" s="1" t="s">
        <v>272</v>
      </c>
      <c r="B186" t="s">
        <v>708</v>
      </c>
      <c r="C186" s="1" t="s">
        <v>514</v>
      </c>
    </row>
    <row r="187" spans="1:3" x14ac:dyDescent="0.25">
      <c r="A187" s="1" t="s">
        <v>278</v>
      </c>
      <c r="B187" s="1" t="s">
        <v>712</v>
      </c>
      <c r="C187" s="1" t="s">
        <v>521</v>
      </c>
    </row>
    <row r="188" spans="1:3" x14ac:dyDescent="0.25">
      <c r="A188" t="s">
        <v>194</v>
      </c>
      <c r="B188" s="1" t="s">
        <v>720</v>
      </c>
      <c r="C188" t="s">
        <v>431</v>
      </c>
    </row>
    <row r="189" spans="1:3" x14ac:dyDescent="0.25">
      <c r="A189" s="1" t="s">
        <v>275</v>
      </c>
      <c r="B189" s="1" t="s">
        <v>725</v>
      </c>
      <c r="C189" s="1" t="s">
        <v>518</v>
      </c>
    </row>
    <row r="190" spans="1:3" x14ac:dyDescent="0.25">
      <c r="A190" s="1" t="s">
        <v>323</v>
      </c>
      <c r="B190" s="1" t="s">
        <v>713</v>
      </c>
      <c r="C190" s="1" t="s">
        <v>362</v>
      </c>
    </row>
    <row r="191" spans="1:3" x14ac:dyDescent="0.25">
      <c r="A191" s="1" t="s">
        <v>361</v>
      </c>
      <c r="B191" s="1" t="s">
        <v>708</v>
      </c>
      <c r="C191" s="1" t="s">
        <v>423</v>
      </c>
    </row>
    <row r="192" spans="1:3" x14ac:dyDescent="0.25">
      <c r="A192" s="1" t="s">
        <v>189</v>
      </c>
      <c r="B192" s="1" t="s">
        <v>708</v>
      </c>
      <c r="C192" s="1" t="s">
        <v>425</v>
      </c>
    </row>
    <row r="193" spans="1:3" x14ac:dyDescent="0.25">
      <c r="A193" s="1" t="s">
        <v>283</v>
      </c>
      <c r="B193" s="1" t="s">
        <v>711</v>
      </c>
      <c r="C193" s="1" t="s">
        <v>493</v>
      </c>
    </row>
    <row r="194" spans="1:3" x14ac:dyDescent="0.25">
      <c r="A194" s="1" t="s">
        <v>159</v>
      </c>
      <c r="B194" s="1" t="s">
        <v>725</v>
      </c>
      <c r="C194" s="1" t="s">
        <v>388</v>
      </c>
    </row>
    <row r="195" spans="1:3" x14ac:dyDescent="0.25">
      <c r="A195" t="s">
        <v>355</v>
      </c>
      <c r="B195" s="1" t="s">
        <v>707</v>
      </c>
      <c r="C195" t="s">
        <v>465</v>
      </c>
    </row>
    <row r="196" spans="1:3" x14ac:dyDescent="0.25">
      <c r="A196" s="1" t="s">
        <v>261</v>
      </c>
      <c r="B196" t="s">
        <v>706</v>
      </c>
      <c r="C196" s="1" t="s">
        <v>502</v>
      </c>
    </row>
    <row r="197" spans="1:3" x14ac:dyDescent="0.25">
      <c r="A197" s="1" t="s">
        <v>173</v>
      </c>
      <c r="B197" s="1" t="s">
        <v>710</v>
      </c>
      <c r="C197" s="1" t="s">
        <v>404</v>
      </c>
    </row>
    <row r="198" spans="1:3" x14ac:dyDescent="0.25">
      <c r="A198" t="s">
        <v>224</v>
      </c>
      <c r="B198" s="1" t="s">
        <v>724</v>
      </c>
      <c r="C198" t="s">
        <v>460</v>
      </c>
    </row>
    <row r="199" spans="1:3" x14ac:dyDescent="0.25">
      <c r="A199" s="1" t="s">
        <v>160</v>
      </c>
      <c r="B199" t="s">
        <v>710</v>
      </c>
      <c r="C199" s="1" t="s">
        <v>389</v>
      </c>
    </row>
    <row r="200" spans="1:3" x14ac:dyDescent="0.25">
      <c r="A200" t="s">
        <v>233</v>
      </c>
      <c r="B200" t="s">
        <v>710</v>
      </c>
      <c r="C200" t="s">
        <v>474</v>
      </c>
    </row>
    <row r="201" spans="1:3" x14ac:dyDescent="0.25">
      <c r="A201" s="1" t="s">
        <v>142</v>
      </c>
      <c r="B201" t="s">
        <v>724</v>
      </c>
      <c r="C201" s="1" t="s">
        <v>369</v>
      </c>
    </row>
    <row r="202" spans="1:3" x14ac:dyDescent="0.25">
      <c r="A202" t="s">
        <v>234</v>
      </c>
      <c r="B202" s="1" t="s">
        <v>724</v>
      </c>
      <c r="C202" t="s">
        <v>475</v>
      </c>
    </row>
    <row r="203" spans="1:3" x14ac:dyDescent="0.25">
      <c r="A203" t="s">
        <v>357</v>
      </c>
      <c r="B203" s="1" t="s">
        <v>720</v>
      </c>
      <c r="C203" t="s">
        <v>467</v>
      </c>
    </row>
    <row r="204" spans="1:3" x14ac:dyDescent="0.25">
      <c r="A204" s="1" t="s">
        <v>340</v>
      </c>
      <c r="B204" t="s">
        <v>719</v>
      </c>
      <c r="C204" s="1" t="s">
        <v>386</v>
      </c>
    </row>
    <row r="205" spans="1:3" x14ac:dyDescent="0.25">
      <c r="A205" t="s">
        <v>193</v>
      </c>
      <c r="B205" s="1" t="s">
        <v>715</v>
      </c>
      <c r="C205" t="s">
        <v>430</v>
      </c>
    </row>
    <row r="206" spans="1:3" x14ac:dyDescent="0.25">
      <c r="A206" t="s">
        <v>209</v>
      </c>
      <c r="B206" t="s">
        <v>724</v>
      </c>
      <c r="C206" t="s">
        <v>450</v>
      </c>
    </row>
    <row r="207" spans="1:3" x14ac:dyDescent="0.25">
      <c r="A207" s="1" t="s">
        <v>338</v>
      </c>
      <c r="B207" t="s">
        <v>718</v>
      </c>
      <c r="C207" s="1" t="s">
        <v>371</v>
      </c>
    </row>
    <row r="208" spans="1:3" x14ac:dyDescent="0.25">
      <c r="A208" s="1" t="s">
        <v>172</v>
      </c>
      <c r="B208" s="1" t="s">
        <v>719</v>
      </c>
      <c r="C208" s="1" t="s">
        <v>403</v>
      </c>
    </row>
    <row r="209" spans="1:3" x14ac:dyDescent="0.25">
      <c r="A209" s="1" t="s">
        <v>179</v>
      </c>
      <c r="B209" s="1" t="s">
        <v>713</v>
      </c>
      <c r="C209" s="1" t="s">
        <v>410</v>
      </c>
    </row>
    <row r="210" spans="1:3" x14ac:dyDescent="0.25">
      <c r="A210" s="1" t="s">
        <v>312</v>
      </c>
      <c r="B210" s="1" t="s">
        <v>713</v>
      </c>
      <c r="C210" s="1" t="s">
        <v>554</v>
      </c>
    </row>
    <row r="211" spans="1:3" x14ac:dyDescent="0.25">
      <c r="A211" s="1" t="s">
        <v>316</v>
      </c>
      <c r="B211" s="1" t="s">
        <v>719</v>
      </c>
      <c r="C211" s="1" t="s">
        <v>558</v>
      </c>
    </row>
    <row r="212" spans="1:3" x14ac:dyDescent="0.25">
      <c r="A212" s="1" t="s">
        <v>257</v>
      </c>
      <c r="B212" t="s">
        <v>726</v>
      </c>
      <c r="C212" s="1" t="s">
        <v>498</v>
      </c>
    </row>
    <row r="213" spans="1:3" x14ac:dyDescent="0.25">
      <c r="A213" t="s">
        <v>196</v>
      </c>
      <c r="B213" s="1" t="s">
        <v>718</v>
      </c>
      <c r="C213" t="s">
        <v>433</v>
      </c>
    </row>
    <row r="214" spans="1:3" x14ac:dyDescent="0.25">
      <c r="A214" t="s">
        <v>353</v>
      </c>
      <c r="B214" t="s">
        <v>710</v>
      </c>
      <c r="C214" t="s">
        <v>408</v>
      </c>
    </row>
    <row r="215" spans="1:3" x14ac:dyDescent="0.25">
      <c r="A215" s="1" t="s">
        <v>177</v>
      </c>
      <c r="B215" t="s">
        <v>713</v>
      </c>
      <c r="C215" s="1" t="s">
        <v>408</v>
      </c>
    </row>
    <row r="216" spans="1:3" x14ac:dyDescent="0.25">
      <c r="A216" t="s">
        <v>351</v>
      </c>
      <c r="B216" s="1" t="s">
        <v>721</v>
      </c>
      <c r="C216" t="s">
        <v>448</v>
      </c>
    </row>
    <row r="217" spans="1:3" x14ac:dyDescent="0.25">
      <c r="A217" s="1" t="s">
        <v>185</v>
      </c>
      <c r="B217" s="1" t="s">
        <v>713</v>
      </c>
      <c r="C217" s="1" t="s">
        <v>420</v>
      </c>
    </row>
    <row r="218" spans="1:3" x14ac:dyDescent="0.25">
      <c r="A218" t="s">
        <v>220</v>
      </c>
      <c r="B218" s="1" t="s">
        <v>720</v>
      </c>
      <c r="C218" t="s">
        <v>457</v>
      </c>
    </row>
    <row r="219" spans="1:3" x14ac:dyDescent="0.25">
      <c r="A219" s="30" t="s">
        <v>803</v>
      </c>
      <c r="C219" s="30">
        <f>SUBTOTAL(103,Table2[Sub Groups])</f>
        <v>213</v>
      </c>
    </row>
  </sheetData>
  <mergeCells count="1">
    <mergeCell ref="A3:C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4</xdr:col>
                    <xdr:colOff>76200</xdr:colOff>
                    <xdr:row>1</xdr:row>
                    <xdr:rowOff>95250</xdr:rowOff>
                  </from>
                  <to>
                    <xdr:col>4</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6</xdr:col>
                    <xdr:colOff>400050</xdr:colOff>
                    <xdr:row>1</xdr:row>
                    <xdr:rowOff>47625</xdr:rowOff>
                  </from>
                  <to>
                    <xdr:col>6</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1:F218"/>
  <sheetViews>
    <sheetView workbookViewId="0">
      <pane ySplit="4" topLeftCell="A5" activePane="bottomLeft" state="frozen"/>
      <selection pane="bottomLeft" activeCell="G16" sqref="G16"/>
    </sheetView>
  </sheetViews>
  <sheetFormatPr defaultRowHeight="15" x14ac:dyDescent="0.25"/>
  <cols>
    <col min="1" max="1" width="7.42578125" style="2" bestFit="1" customWidth="1"/>
    <col min="2" max="2" width="34.28515625" bestFit="1" customWidth="1"/>
    <col min="3" max="3" width="51" customWidth="1"/>
    <col min="4" max="4" width="52.140625" customWidth="1"/>
    <col min="6" max="7" width="14.140625" bestFit="1" customWidth="1"/>
  </cols>
  <sheetData>
    <row r="1" spans="1:6" ht="15.75" thickBot="1" x14ac:dyDescent="0.3"/>
    <row r="2" spans="1:6" ht="15.75" thickBot="1" x14ac:dyDescent="0.3">
      <c r="A2" s="45" t="s">
        <v>738</v>
      </c>
      <c r="B2" s="45"/>
      <c r="C2" s="45"/>
      <c r="D2" s="45"/>
      <c r="F2" s="17" t="s">
        <v>734</v>
      </c>
    </row>
    <row r="3" spans="1:6" x14ac:dyDescent="0.25">
      <c r="A3" s="27"/>
      <c r="B3" s="35" t="s">
        <v>727</v>
      </c>
      <c r="C3" s="36" t="s">
        <v>728</v>
      </c>
      <c r="D3" s="37" t="s">
        <v>729</v>
      </c>
    </row>
    <row r="4" spans="1:6" x14ac:dyDescent="0.25">
      <c r="A4" s="2" t="s">
        <v>730</v>
      </c>
      <c r="B4" s="11" t="s">
        <v>818</v>
      </c>
      <c r="C4" s="11" t="s">
        <v>811</v>
      </c>
      <c r="D4" s="11" t="s">
        <v>812</v>
      </c>
    </row>
    <row r="5" spans="1:6" x14ac:dyDescent="0.25">
      <c r="A5" s="2">
        <v>1</v>
      </c>
      <c r="B5" s="1" t="str">
        <f>Glossary!A6</f>
        <v>Access to information</v>
      </c>
      <c r="C5" s="48" t="s">
        <v>819</v>
      </c>
      <c r="D5" s="48" t="s">
        <v>820</v>
      </c>
    </row>
    <row r="6" spans="1:6" x14ac:dyDescent="0.25">
      <c r="A6" s="2">
        <f>A5+1</f>
        <v>2</v>
      </c>
      <c r="B6" s="1" t="str">
        <f>Glossary!A7</f>
        <v>Accuracy of data</v>
      </c>
      <c r="C6" s="48" t="s">
        <v>821</v>
      </c>
      <c r="D6" s="48" t="s">
        <v>822</v>
      </c>
    </row>
    <row r="7" spans="1:6" x14ac:dyDescent="0.25">
      <c r="A7" s="2">
        <f t="shared" ref="A7:A70" si="0">A6+1</f>
        <v>3</v>
      </c>
      <c r="B7" s="1" t="str">
        <f>Glossary!A8</f>
        <v>Accuracy of Reporting</v>
      </c>
      <c r="C7" s="48" t="s">
        <v>823</v>
      </c>
      <c r="D7" s="48" t="s">
        <v>820</v>
      </c>
    </row>
    <row r="8" spans="1:6" x14ac:dyDescent="0.25">
      <c r="A8" s="2">
        <f t="shared" si="0"/>
        <v>4</v>
      </c>
      <c r="B8" s="1" t="str">
        <f>Glossary!A9</f>
        <v>Achieving business priorities</v>
      </c>
      <c r="C8" s="48" t="s">
        <v>824</v>
      </c>
      <c r="D8" s="48" t="s">
        <v>825</v>
      </c>
    </row>
    <row r="9" spans="1:6" x14ac:dyDescent="0.25">
      <c r="A9" s="2">
        <f t="shared" si="0"/>
        <v>5</v>
      </c>
      <c r="B9" s="1" t="str">
        <f>Glossary!A10</f>
        <v>Achieving outcomes</v>
      </c>
      <c r="C9" s="48" t="s">
        <v>826</v>
      </c>
      <c r="D9" s="48" t="s">
        <v>825</v>
      </c>
    </row>
    <row r="10" spans="1:6" x14ac:dyDescent="0.25">
      <c r="A10" s="2">
        <f t="shared" si="0"/>
        <v>6</v>
      </c>
      <c r="B10" s="1" t="str">
        <f>Glossary!A11</f>
        <v>Alignment</v>
      </c>
      <c r="C10" s="48" t="s">
        <v>827</v>
      </c>
      <c r="D10" s="48" t="s">
        <v>825</v>
      </c>
    </row>
    <row r="11" spans="1:6" x14ac:dyDescent="0.25">
      <c r="A11" s="2">
        <f t="shared" si="0"/>
        <v>7</v>
      </c>
      <c r="B11" s="1" t="str">
        <f>Glossary!A12</f>
        <v>Alignment with business benefits</v>
      </c>
      <c r="C11" s="48" t="s">
        <v>828</v>
      </c>
      <c r="D11" s="48" t="s">
        <v>825</v>
      </c>
    </row>
    <row r="12" spans="1:6" x14ac:dyDescent="0.25">
      <c r="A12" s="2">
        <f t="shared" si="0"/>
        <v>8</v>
      </c>
      <c r="B12" s="1" t="str">
        <f>Glossary!A13</f>
        <v>Alignment with initiatives</v>
      </c>
      <c r="C12" s="48" t="s">
        <v>829</v>
      </c>
      <c r="D12" s="48" t="s">
        <v>825</v>
      </c>
    </row>
    <row r="13" spans="1:6" x14ac:dyDescent="0.25">
      <c r="A13" s="2">
        <f t="shared" si="0"/>
        <v>9</v>
      </c>
      <c r="B13" s="1" t="str">
        <f>Glossary!A14</f>
        <v>Alignment with national initiatives</v>
      </c>
      <c r="C13" s="48" t="s">
        <v>830</v>
      </c>
      <c r="D13" s="48" t="s">
        <v>825</v>
      </c>
    </row>
    <row r="14" spans="1:6" x14ac:dyDescent="0.25">
      <c r="A14" s="2">
        <f t="shared" si="0"/>
        <v>10</v>
      </c>
      <c r="B14" s="1" t="str">
        <f>Glossary!A15</f>
        <v>Alignment with reform programs</v>
      </c>
      <c r="C14" s="48" t="s">
        <v>831</v>
      </c>
      <c r="D14" s="48" t="s">
        <v>825</v>
      </c>
    </row>
    <row r="15" spans="1:6" x14ac:dyDescent="0.25">
      <c r="A15" s="2">
        <f t="shared" si="0"/>
        <v>11</v>
      </c>
      <c r="B15" s="1" t="str">
        <f>Glossary!A16</f>
        <v>Alignment with Results and Services Plan</v>
      </c>
      <c r="C15" s="48" t="s">
        <v>832</v>
      </c>
      <c r="D15" s="48" t="s">
        <v>825</v>
      </c>
    </row>
    <row r="16" spans="1:6" x14ac:dyDescent="0.25">
      <c r="A16" s="2">
        <f t="shared" si="0"/>
        <v>12</v>
      </c>
      <c r="B16" s="1" t="str">
        <f>Glossary!A17</f>
        <v>Allocation of resources</v>
      </c>
      <c r="C16" s="48" t="s">
        <v>833</v>
      </c>
      <c r="D16" s="48" t="s">
        <v>825</v>
      </c>
    </row>
    <row r="17" spans="1:4" x14ac:dyDescent="0.25">
      <c r="A17" s="2">
        <f t="shared" si="0"/>
        <v>13</v>
      </c>
      <c r="B17" s="1" t="str">
        <f>Glossary!A18</f>
        <v>Appropriate consumer delivery</v>
      </c>
      <c r="C17" s="48" t="s">
        <v>834</v>
      </c>
      <c r="D17" s="48" t="s">
        <v>820</v>
      </c>
    </row>
    <row r="18" spans="1:4" x14ac:dyDescent="0.25">
      <c r="A18" s="2">
        <f t="shared" si="0"/>
        <v>14</v>
      </c>
      <c r="B18" s="1" t="str">
        <f>Glossary!A19</f>
        <v>Appropriate resource utilization</v>
      </c>
      <c r="C18" s="48" t="s">
        <v>835</v>
      </c>
      <c r="D18" s="48" t="s">
        <v>836</v>
      </c>
    </row>
    <row r="19" spans="1:4" x14ac:dyDescent="0.25">
      <c r="A19" s="2">
        <f t="shared" si="0"/>
        <v>15</v>
      </c>
      <c r="B19" s="1" t="str">
        <f>Glossary!A20</f>
        <v>Availability of services</v>
      </c>
      <c r="C19" s="48" t="s">
        <v>837</v>
      </c>
      <c r="D19" s="48" t="s">
        <v>836</v>
      </c>
    </row>
    <row r="20" spans="1:4" x14ac:dyDescent="0.25">
      <c r="A20" s="2">
        <f t="shared" si="0"/>
        <v>16</v>
      </c>
      <c r="B20" s="1" t="str">
        <f>Glossary!A21</f>
        <v>Benefit to the organization</v>
      </c>
      <c r="C20" s="48" t="s">
        <v>838</v>
      </c>
      <c r="D20" s="48" t="s">
        <v>825</v>
      </c>
    </row>
    <row r="21" spans="1:4" x14ac:dyDescent="0.25">
      <c r="A21" s="2">
        <f t="shared" si="0"/>
        <v>17</v>
      </c>
      <c r="B21" s="1" t="str">
        <f>Glossary!A22</f>
        <v>Benefits realization</v>
      </c>
      <c r="C21" s="48" t="s">
        <v>839</v>
      </c>
      <c r="D21" s="48" t="s">
        <v>825</v>
      </c>
    </row>
    <row r="22" spans="1:4" x14ac:dyDescent="0.25">
      <c r="A22" s="2">
        <f t="shared" si="0"/>
        <v>18</v>
      </c>
      <c r="B22" s="1" t="str">
        <f>Glossary!A23</f>
        <v>Budget negotiation</v>
      </c>
      <c r="C22" s="48" t="s">
        <v>840</v>
      </c>
      <c r="D22" s="48" t="s">
        <v>825</v>
      </c>
    </row>
    <row r="23" spans="1:4" x14ac:dyDescent="0.25">
      <c r="A23" s="2">
        <f t="shared" si="0"/>
        <v>19</v>
      </c>
      <c r="B23" s="1" t="str">
        <f>Glossary!A24</f>
        <v>Business reform</v>
      </c>
      <c r="C23" s="48" t="s">
        <v>841</v>
      </c>
      <c r="D23" s="48" t="s">
        <v>825</v>
      </c>
    </row>
    <row r="24" spans="1:4" x14ac:dyDescent="0.25">
      <c r="A24" s="2">
        <f t="shared" si="0"/>
        <v>20</v>
      </c>
      <c r="B24" s="1" t="str">
        <f>Glossary!A25</f>
        <v>Business strategy</v>
      </c>
      <c r="C24" s="48" t="s">
        <v>827</v>
      </c>
      <c r="D24" s="48" t="s">
        <v>825</v>
      </c>
    </row>
    <row r="25" spans="1:4" x14ac:dyDescent="0.25">
      <c r="A25" s="2">
        <f t="shared" si="0"/>
        <v>21</v>
      </c>
      <c r="B25" s="1" t="str">
        <f>Glossary!A26</f>
        <v>Capacity for large-scale change</v>
      </c>
      <c r="C25" s="48" t="s">
        <v>842</v>
      </c>
      <c r="D25" s="48" t="s">
        <v>825</v>
      </c>
    </row>
    <row r="26" spans="1:4" x14ac:dyDescent="0.25">
      <c r="A26" s="2">
        <f t="shared" si="0"/>
        <v>22</v>
      </c>
      <c r="B26" s="1" t="str">
        <f>Glossary!A27</f>
        <v>Capacity optimization</v>
      </c>
      <c r="C26" s="48" t="s">
        <v>843</v>
      </c>
      <c r="D26" s="48" t="s">
        <v>836</v>
      </c>
    </row>
    <row r="27" spans="1:4" x14ac:dyDescent="0.25">
      <c r="A27" s="2">
        <f t="shared" si="0"/>
        <v>23</v>
      </c>
      <c r="B27" s="1" t="str">
        <f>Glossary!A28</f>
        <v>Change control process</v>
      </c>
      <c r="C27" s="48" t="s">
        <v>157</v>
      </c>
      <c r="D27" s="48" t="s">
        <v>825</v>
      </c>
    </row>
    <row r="28" spans="1:4" x14ac:dyDescent="0.25">
      <c r="A28" s="2">
        <f t="shared" si="0"/>
        <v>24</v>
      </c>
      <c r="B28" s="1" t="str">
        <f>Glossary!A29</f>
        <v>Change management</v>
      </c>
      <c r="C28" s="48" t="s">
        <v>844</v>
      </c>
      <c r="D28" s="48" t="s">
        <v>825</v>
      </c>
    </row>
    <row r="29" spans="1:4" x14ac:dyDescent="0.25">
      <c r="A29" s="2">
        <f t="shared" si="0"/>
        <v>25</v>
      </c>
      <c r="B29" s="1" t="str">
        <f>Glossary!A30</f>
        <v>Classification of applications</v>
      </c>
      <c r="C29" s="48" t="s">
        <v>845</v>
      </c>
      <c r="D29" s="48" t="s">
        <v>820</v>
      </c>
    </row>
    <row r="30" spans="1:4" x14ac:dyDescent="0.25">
      <c r="A30" s="2">
        <f t="shared" si="0"/>
        <v>26</v>
      </c>
      <c r="B30" s="1" t="str">
        <f>Glossary!A31</f>
        <v>Collaboration</v>
      </c>
      <c r="C30" s="48" t="s">
        <v>846</v>
      </c>
      <c r="D30" s="48" t="s">
        <v>825</v>
      </c>
    </row>
    <row r="31" spans="1:4" x14ac:dyDescent="0.25">
      <c r="A31" s="2">
        <f t="shared" si="0"/>
        <v>27</v>
      </c>
      <c r="B31" s="1" t="str">
        <f>Glossary!A32</f>
        <v>Collaboration across jurisdictions</v>
      </c>
      <c r="C31" s="48" t="s">
        <v>847</v>
      </c>
      <c r="D31" s="48" t="s">
        <v>825</v>
      </c>
    </row>
    <row r="32" spans="1:4" x14ac:dyDescent="0.25">
      <c r="A32" s="2">
        <f t="shared" si="0"/>
        <v>28</v>
      </c>
      <c r="B32" s="1" t="str">
        <f>Glossary!A33</f>
        <v>Collaborative framework</v>
      </c>
      <c r="C32" s="48" t="s">
        <v>848</v>
      </c>
      <c r="D32" s="48" t="s">
        <v>825</v>
      </c>
    </row>
    <row r="33" spans="1:4" x14ac:dyDescent="0.25">
      <c r="A33" s="2">
        <f t="shared" si="0"/>
        <v>29</v>
      </c>
      <c r="B33" s="1" t="str">
        <f>Glossary!A34</f>
        <v>Collaborative implementation</v>
      </c>
      <c r="C33" s="48" t="s">
        <v>849</v>
      </c>
      <c r="D33" s="48" t="s">
        <v>825</v>
      </c>
    </row>
    <row r="34" spans="1:4" x14ac:dyDescent="0.25">
      <c r="A34" s="2">
        <f t="shared" si="0"/>
        <v>30</v>
      </c>
      <c r="B34" s="1" t="str">
        <f>Glossary!A35</f>
        <v>Common processes across ICT</v>
      </c>
      <c r="C34" s="48" t="s">
        <v>850</v>
      </c>
      <c r="D34" s="48" t="s">
        <v>820</v>
      </c>
    </row>
    <row r="35" spans="1:4" x14ac:dyDescent="0.25">
      <c r="A35" s="2">
        <f t="shared" si="0"/>
        <v>31</v>
      </c>
      <c r="B35" s="1" t="str">
        <f>Glossary!A36</f>
        <v>Communication</v>
      </c>
      <c r="C35" s="48" t="s">
        <v>816</v>
      </c>
      <c r="D35" s="48" t="s">
        <v>820</v>
      </c>
    </row>
    <row r="36" spans="1:4" x14ac:dyDescent="0.25">
      <c r="A36" s="2">
        <f t="shared" si="0"/>
        <v>32</v>
      </c>
      <c r="B36" s="1" t="str">
        <f>Glossary!A37</f>
        <v>Compatibility</v>
      </c>
      <c r="C36" s="48" t="s">
        <v>851</v>
      </c>
      <c r="D36" s="48" t="s">
        <v>836</v>
      </c>
    </row>
    <row r="37" spans="1:4" x14ac:dyDescent="0.25">
      <c r="A37" s="2">
        <f t="shared" si="0"/>
        <v>33</v>
      </c>
      <c r="B37" s="1" t="str">
        <f>Glossary!A38</f>
        <v>Compatibility between systems</v>
      </c>
      <c r="C37" s="48" t="s">
        <v>852</v>
      </c>
      <c r="D37" s="48" t="s">
        <v>836</v>
      </c>
    </row>
    <row r="38" spans="1:4" x14ac:dyDescent="0.25">
      <c r="A38" s="2">
        <f t="shared" si="0"/>
        <v>34</v>
      </c>
      <c r="B38" s="1" t="str">
        <f>Glossary!A39</f>
        <v>Competing demands for ICT funds</v>
      </c>
      <c r="C38" s="48" t="s">
        <v>853</v>
      </c>
      <c r="D38" s="48" t="s">
        <v>825</v>
      </c>
    </row>
    <row r="39" spans="1:4" x14ac:dyDescent="0.25">
      <c r="A39" s="2">
        <f t="shared" si="0"/>
        <v>35</v>
      </c>
      <c r="B39" s="1" t="str">
        <f>Glossary!A40</f>
        <v>Complex needs problems</v>
      </c>
      <c r="C39" s="48" t="s">
        <v>854</v>
      </c>
      <c r="D39" s="48" t="s">
        <v>820</v>
      </c>
    </row>
    <row r="40" spans="1:4" x14ac:dyDescent="0.25">
      <c r="A40" s="2">
        <f t="shared" si="0"/>
        <v>36</v>
      </c>
      <c r="B40" s="1" t="str">
        <f>Glossary!A41</f>
        <v>Complexity and duplication in service delivery</v>
      </c>
      <c r="C40" s="48" t="s">
        <v>855</v>
      </c>
      <c r="D40" s="48" t="s">
        <v>820</v>
      </c>
    </row>
    <row r="41" spans="1:4" x14ac:dyDescent="0.25">
      <c r="A41" s="2">
        <f t="shared" si="0"/>
        <v>37</v>
      </c>
      <c r="B41" s="1" t="str">
        <f>Glossary!A42</f>
        <v>Compliance</v>
      </c>
      <c r="C41" s="48" t="s">
        <v>856</v>
      </c>
      <c r="D41" s="48" t="s">
        <v>825</v>
      </c>
    </row>
    <row r="42" spans="1:4" x14ac:dyDescent="0.25">
      <c r="A42" s="2">
        <f t="shared" si="0"/>
        <v>38</v>
      </c>
      <c r="B42" s="1" t="str">
        <f>Glossary!A43</f>
        <v>Consideration of whole-of-government strategies</v>
      </c>
      <c r="C42" s="48" t="s">
        <v>857</v>
      </c>
      <c r="D42" s="48" t="s">
        <v>825</v>
      </c>
    </row>
    <row r="43" spans="1:4" x14ac:dyDescent="0.25">
      <c r="A43" s="2">
        <f t="shared" si="0"/>
        <v>39</v>
      </c>
      <c r="B43" s="1" t="str">
        <f>Glossary!A44</f>
        <v>Consistency</v>
      </c>
      <c r="C43" s="48" t="s">
        <v>858</v>
      </c>
      <c r="D43" s="48" t="s">
        <v>820</v>
      </c>
    </row>
    <row r="44" spans="1:4" x14ac:dyDescent="0.25">
      <c r="A44" s="2">
        <f t="shared" si="0"/>
        <v>40</v>
      </c>
      <c r="B44" s="1" t="str">
        <f>Glossary!A45</f>
        <v>Consistency in application development</v>
      </c>
      <c r="C44" s="48" t="s">
        <v>859</v>
      </c>
      <c r="D44" s="48" t="s">
        <v>820</v>
      </c>
    </row>
    <row r="45" spans="1:4" x14ac:dyDescent="0.25">
      <c r="A45" s="2">
        <f t="shared" si="0"/>
        <v>41</v>
      </c>
      <c r="B45" s="1" t="str">
        <f>Glossary!A46</f>
        <v>Consistency in systems approaches</v>
      </c>
      <c r="C45" s="48" t="s">
        <v>860</v>
      </c>
      <c r="D45" s="48" t="s">
        <v>836</v>
      </c>
    </row>
    <row r="46" spans="1:4" x14ac:dyDescent="0.25">
      <c r="A46" s="2">
        <f t="shared" si="0"/>
        <v>42</v>
      </c>
      <c r="B46" s="1" t="str">
        <f>Glossary!A47</f>
        <v>Constraints and opportunities</v>
      </c>
      <c r="C46" s="48" t="s">
        <v>861</v>
      </c>
      <c r="D46" s="48" t="s">
        <v>825</v>
      </c>
    </row>
    <row r="47" spans="1:4" x14ac:dyDescent="0.25">
      <c r="A47" s="2">
        <f t="shared" si="0"/>
        <v>43</v>
      </c>
      <c r="B47" s="1" t="str">
        <f>Glossary!A48</f>
        <v>Constraints in funding</v>
      </c>
      <c r="C47" s="48" t="s">
        <v>862</v>
      </c>
      <c r="D47" s="48" t="s">
        <v>825</v>
      </c>
    </row>
    <row r="48" spans="1:4" x14ac:dyDescent="0.25">
      <c r="A48" s="2">
        <f t="shared" si="0"/>
        <v>44</v>
      </c>
      <c r="B48" s="1" t="str">
        <f>Glossary!A49</f>
        <v>Consumer experience improvement</v>
      </c>
      <c r="C48" s="48" t="s">
        <v>863</v>
      </c>
      <c r="D48" s="48" t="s">
        <v>820</v>
      </c>
    </row>
    <row r="49" spans="1:4" x14ac:dyDescent="0.25">
      <c r="A49" s="2">
        <f t="shared" si="0"/>
        <v>45</v>
      </c>
      <c r="B49" s="1" t="str">
        <f>Glossary!A50</f>
        <v>Consumer support</v>
      </c>
      <c r="C49" s="48" t="s">
        <v>864</v>
      </c>
      <c r="D49" s="48" t="s">
        <v>820</v>
      </c>
    </row>
    <row r="50" spans="1:4" x14ac:dyDescent="0.25">
      <c r="A50" s="2">
        <f t="shared" si="0"/>
        <v>46</v>
      </c>
      <c r="B50" s="1" t="str">
        <f>Glossary!A51</f>
        <v>Convergence of issues</v>
      </c>
      <c r="C50" s="48" t="s">
        <v>865</v>
      </c>
      <c r="D50" s="48" t="s">
        <v>820</v>
      </c>
    </row>
    <row r="51" spans="1:4" x14ac:dyDescent="0.25">
      <c r="A51" s="2">
        <f t="shared" si="0"/>
        <v>47</v>
      </c>
      <c r="B51" s="1" t="str">
        <f>Glossary!A52</f>
        <v>Coordination of care</v>
      </c>
      <c r="C51" s="48" t="s">
        <v>866</v>
      </c>
      <c r="D51" s="48" t="s">
        <v>820</v>
      </c>
    </row>
    <row r="52" spans="1:4" x14ac:dyDescent="0.25">
      <c r="A52" s="2">
        <f t="shared" si="0"/>
        <v>48</v>
      </c>
      <c r="B52" s="1" t="str">
        <f>Glossary!A53</f>
        <v>Core function delivery &amp; Urgent issue resolution</v>
      </c>
      <c r="C52" s="48" t="s">
        <v>867</v>
      </c>
      <c r="D52" s="48" t="s">
        <v>820</v>
      </c>
    </row>
    <row r="53" spans="1:4" x14ac:dyDescent="0.25">
      <c r="A53" s="2">
        <f t="shared" si="0"/>
        <v>49</v>
      </c>
      <c r="B53" s="1" t="str">
        <f>Glossary!A54</f>
        <v>Core functionality vs area-specific needs</v>
      </c>
      <c r="C53" s="48" t="s">
        <v>868</v>
      </c>
      <c r="D53" s="48" t="s">
        <v>820</v>
      </c>
    </row>
    <row r="54" spans="1:4" x14ac:dyDescent="0.25">
      <c r="A54" s="2">
        <f t="shared" si="0"/>
        <v>50</v>
      </c>
      <c r="B54" s="1" t="str">
        <f>Glossary!A55</f>
        <v>Corporate reform program</v>
      </c>
      <c r="C54" s="48" t="s">
        <v>869</v>
      </c>
      <c r="D54" s="48" t="s">
        <v>825</v>
      </c>
    </row>
    <row r="55" spans="1:4" x14ac:dyDescent="0.25">
      <c r="A55" s="2">
        <f t="shared" si="0"/>
        <v>51</v>
      </c>
      <c r="B55" s="1" t="str">
        <f>Glossary!A56</f>
        <v>Cost savings</v>
      </c>
      <c r="C55" s="48" t="s">
        <v>870</v>
      </c>
      <c r="D55" s="48" t="s">
        <v>825</v>
      </c>
    </row>
    <row r="56" spans="1:4" x14ac:dyDescent="0.25">
      <c r="A56" s="2">
        <f t="shared" si="0"/>
        <v>52</v>
      </c>
      <c r="B56" s="1" t="str">
        <f>Glossary!A57</f>
        <v>Costly materials</v>
      </c>
      <c r="C56" s="48" t="s">
        <v>871</v>
      </c>
      <c r="D56" s="48" t="s">
        <v>825</v>
      </c>
    </row>
    <row r="57" spans="1:4" x14ac:dyDescent="0.25">
      <c r="A57" s="2">
        <f t="shared" si="0"/>
        <v>53</v>
      </c>
      <c r="B57" s="1" t="str">
        <f>Glossary!A58</f>
        <v>Costs of services</v>
      </c>
      <c r="C57" s="48" t="s">
        <v>872</v>
      </c>
      <c r="D57" s="48" t="s">
        <v>825</v>
      </c>
    </row>
    <row r="58" spans="1:4" x14ac:dyDescent="0.25">
      <c r="A58" s="2">
        <f t="shared" si="0"/>
        <v>54</v>
      </c>
      <c r="B58" s="1" t="str">
        <f>Glossary!A59</f>
        <v>Critical areas</v>
      </c>
      <c r="C58" s="48" t="s">
        <v>873</v>
      </c>
      <c r="D58" s="48" t="s">
        <v>825</v>
      </c>
    </row>
    <row r="59" spans="1:4" x14ac:dyDescent="0.25">
      <c r="A59" s="2">
        <f t="shared" si="0"/>
        <v>55</v>
      </c>
      <c r="B59" s="1" t="str">
        <f>Glossary!A60</f>
        <v>Data accessibility</v>
      </c>
      <c r="C59" s="48" t="s">
        <v>874</v>
      </c>
      <c r="D59" s="48" t="s">
        <v>822</v>
      </c>
    </row>
    <row r="60" spans="1:4" x14ac:dyDescent="0.25">
      <c r="A60" s="2">
        <f t="shared" si="0"/>
        <v>56</v>
      </c>
      <c r="B60" s="1" t="str">
        <f>Glossary!A61</f>
        <v>Data privacy</v>
      </c>
      <c r="C60" s="48" t="s">
        <v>875</v>
      </c>
      <c r="D60" s="48" t="s">
        <v>822</v>
      </c>
    </row>
    <row r="61" spans="1:4" x14ac:dyDescent="0.25">
      <c r="A61" s="2">
        <f t="shared" si="0"/>
        <v>57</v>
      </c>
      <c r="B61" s="1" t="str">
        <f>Glossary!A62</f>
        <v>Data quality</v>
      </c>
      <c r="C61" s="48" t="s">
        <v>876</v>
      </c>
      <c r="D61" s="48" t="s">
        <v>822</v>
      </c>
    </row>
    <row r="62" spans="1:4" x14ac:dyDescent="0.25">
      <c r="A62" s="2">
        <f t="shared" si="0"/>
        <v>58</v>
      </c>
      <c r="B62" s="1" t="str">
        <f>Glossary!A63</f>
        <v>Data security</v>
      </c>
      <c r="C62" s="48" t="s">
        <v>877</v>
      </c>
      <c r="D62" s="48" t="s">
        <v>836</v>
      </c>
    </row>
    <row r="63" spans="1:4" x14ac:dyDescent="0.25">
      <c r="A63" s="2">
        <f t="shared" si="0"/>
        <v>59</v>
      </c>
      <c r="B63" s="1" t="str">
        <f>Glossary!A64</f>
        <v>Data sharing</v>
      </c>
      <c r="C63" s="48" t="s">
        <v>878</v>
      </c>
      <c r="D63" s="48" t="s">
        <v>822</v>
      </c>
    </row>
    <row r="64" spans="1:4" x14ac:dyDescent="0.25">
      <c r="A64" s="2">
        <f t="shared" si="0"/>
        <v>60</v>
      </c>
      <c r="B64" s="1" t="str">
        <f>Glossary!A65</f>
        <v>Decision support</v>
      </c>
      <c r="C64" s="48" t="s">
        <v>879</v>
      </c>
      <c r="D64" s="48" t="s">
        <v>820</v>
      </c>
    </row>
    <row r="65" spans="1:4" x14ac:dyDescent="0.25">
      <c r="A65" s="2">
        <f t="shared" si="0"/>
        <v>61</v>
      </c>
      <c r="B65" s="1" t="str">
        <f>Glossary!A66</f>
        <v>Demand for services</v>
      </c>
      <c r="C65" s="48" t="s">
        <v>880</v>
      </c>
      <c r="D65" s="48" t="s">
        <v>825</v>
      </c>
    </row>
    <row r="66" spans="1:4" x14ac:dyDescent="0.25">
      <c r="A66" s="2">
        <f t="shared" si="0"/>
        <v>62</v>
      </c>
      <c r="B66" s="1" t="str">
        <f>Glossary!A67</f>
        <v>Dependency</v>
      </c>
      <c r="C66" s="48" t="s">
        <v>881</v>
      </c>
      <c r="D66" s="48" t="s">
        <v>836</v>
      </c>
    </row>
    <row r="67" spans="1:4" x14ac:dyDescent="0.25">
      <c r="A67" s="2">
        <f t="shared" si="0"/>
        <v>63</v>
      </c>
      <c r="B67" s="1" t="str">
        <f>Glossary!A68</f>
        <v>Development of ICT strategy</v>
      </c>
      <c r="C67" s="48" t="s">
        <v>882</v>
      </c>
      <c r="D67" s="48" t="s">
        <v>825</v>
      </c>
    </row>
    <row r="68" spans="1:4" x14ac:dyDescent="0.25">
      <c r="A68" s="2">
        <f t="shared" si="0"/>
        <v>64</v>
      </c>
      <c r="B68" s="1" t="str">
        <f>Glossary!A69</f>
        <v>Development process</v>
      </c>
      <c r="C68" s="48" t="s">
        <v>883</v>
      </c>
      <c r="D68" s="48" t="s">
        <v>820</v>
      </c>
    </row>
    <row r="69" spans="1:4" x14ac:dyDescent="0.25">
      <c r="A69" s="2">
        <f t="shared" si="0"/>
        <v>65</v>
      </c>
      <c r="B69" s="1" t="str">
        <f>Glossary!A70</f>
        <v>Disconnect of strategy and implementation</v>
      </c>
      <c r="C69" s="48" t="s">
        <v>884</v>
      </c>
      <c r="D69" s="48" t="s">
        <v>825</v>
      </c>
    </row>
    <row r="70" spans="1:4" x14ac:dyDescent="0.25">
      <c r="A70" s="2">
        <f t="shared" si="0"/>
        <v>66</v>
      </c>
      <c r="B70" s="1" t="str">
        <f>Glossary!A71</f>
        <v>Disparate systems</v>
      </c>
      <c r="C70" s="48" t="s">
        <v>885</v>
      </c>
      <c r="D70" s="48" t="s">
        <v>836</v>
      </c>
    </row>
    <row r="71" spans="1:4" x14ac:dyDescent="0.25">
      <c r="A71" s="2">
        <f t="shared" ref="A71:A134" si="1">A70+1</f>
        <v>67</v>
      </c>
      <c r="B71" s="1" t="str">
        <f>Glossary!A72</f>
        <v>Disruption to processes</v>
      </c>
      <c r="C71" s="48" t="s">
        <v>886</v>
      </c>
      <c r="D71" s="48" t="s">
        <v>825</v>
      </c>
    </row>
    <row r="72" spans="1:4" x14ac:dyDescent="0.25">
      <c r="A72" s="2">
        <f t="shared" si="1"/>
        <v>68</v>
      </c>
      <c r="B72" s="1" t="str">
        <f>Glossary!A73</f>
        <v>Duplication</v>
      </c>
      <c r="C72" s="48" t="s">
        <v>887</v>
      </c>
      <c r="D72" s="48" t="s">
        <v>820</v>
      </c>
    </row>
    <row r="73" spans="1:4" x14ac:dyDescent="0.25">
      <c r="A73" s="2">
        <f t="shared" si="1"/>
        <v>69</v>
      </c>
      <c r="B73" s="1" t="str">
        <f>Glossary!A74</f>
        <v>Effectiveness</v>
      </c>
      <c r="C73" s="48" t="s">
        <v>888</v>
      </c>
      <c r="D73" s="48" t="s">
        <v>825</v>
      </c>
    </row>
    <row r="74" spans="1:4" x14ac:dyDescent="0.25">
      <c r="A74" s="2">
        <f t="shared" si="1"/>
        <v>70</v>
      </c>
      <c r="B74" s="1" t="str">
        <f>Glossary!A75</f>
        <v>Effectiveness of services</v>
      </c>
      <c r="C74" s="48" t="s">
        <v>889</v>
      </c>
      <c r="D74" s="48" t="s">
        <v>825</v>
      </c>
    </row>
    <row r="75" spans="1:4" x14ac:dyDescent="0.25">
      <c r="A75" s="2">
        <f t="shared" si="1"/>
        <v>71</v>
      </c>
      <c r="B75" s="1" t="str">
        <f>Glossary!A76</f>
        <v>Efficient structures</v>
      </c>
      <c r="C75" s="48" t="s">
        <v>890</v>
      </c>
      <c r="D75" s="48" t="s">
        <v>836</v>
      </c>
    </row>
    <row r="76" spans="1:4" x14ac:dyDescent="0.25">
      <c r="A76" s="2">
        <f t="shared" si="1"/>
        <v>72</v>
      </c>
      <c r="B76" s="1" t="str">
        <f>Glossary!A77</f>
        <v>Employee management</v>
      </c>
      <c r="C76" s="48" t="s">
        <v>891</v>
      </c>
      <c r="D76" s="48" t="s">
        <v>820</v>
      </c>
    </row>
    <row r="77" spans="1:4" x14ac:dyDescent="0.25">
      <c r="A77" s="2">
        <f t="shared" si="1"/>
        <v>73</v>
      </c>
      <c r="B77" s="1" t="str">
        <f>Glossary!A78</f>
        <v>Enhancement of coordination</v>
      </c>
      <c r="C77" s="48" t="s">
        <v>892</v>
      </c>
      <c r="D77" s="48" t="s">
        <v>820</v>
      </c>
    </row>
    <row r="78" spans="1:4" x14ac:dyDescent="0.25">
      <c r="A78" s="2">
        <f t="shared" si="1"/>
        <v>74</v>
      </c>
      <c r="B78" s="1" t="str">
        <f>Glossary!A79</f>
        <v>Equal system participation</v>
      </c>
      <c r="C78" s="48" t="s">
        <v>893</v>
      </c>
      <c r="D78" s="48" t="s">
        <v>820</v>
      </c>
    </row>
    <row r="79" spans="1:4" x14ac:dyDescent="0.25">
      <c r="A79" s="2">
        <f t="shared" si="1"/>
        <v>75</v>
      </c>
      <c r="B79" s="1" t="str">
        <f>Glossary!A80</f>
        <v>Evaluation criteria</v>
      </c>
      <c r="C79" s="48" t="s">
        <v>894</v>
      </c>
      <c r="D79" s="48" t="s">
        <v>825</v>
      </c>
    </row>
    <row r="80" spans="1:4" x14ac:dyDescent="0.25">
      <c r="A80" s="2">
        <f t="shared" si="1"/>
        <v>76</v>
      </c>
      <c r="B80" s="1" t="str">
        <f>Glossary!A81</f>
        <v>Expensive technologies</v>
      </c>
      <c r="C80" s="48" t="s">
        <v>895</v>
      </c>
      <c r="D80" s="48" t="s">
        <v>836</v>
      </c>
    </row>
    <row r="81" spans="1:4" x14ac:dyDescent="0.25">
      <c r="A81" s="2">
        <f t="shared" si="1"/>
        <v>77</v>
      </c>
      <c r="B81" s="1" t="str">
        <f>Glossary!A82</f>
        <v>Financial management</v>
      </c>
      <c r="C81" s="48" t="s">
        <v>896</v>
      </c>
      <c r="D81" s="48" t="s">
        <v>825</v>
      </c>
    </row>
    <row r="82" spans="1:4" x14ac:dyDescent="0.25">
      <c r="A82" s="2">
        <f t="shared" si="1"/>
        <v>78</v>
      </c>
      <c r="B82" s="1" t="str">
        <f>Glossary!A83</f>
        <v>Fragmentation</v>
      </c>
      <c r="C82" s="48" t="s">
        <v>897</v>
      </c>
      <c r="D82" s="48" t="s">
        <v>836</v>
      </c>
    </row>
    <row r="83" spans="1:4" x14ac:dyDescent="0.25">
      <c r="A83" s="2">
        <f t="shared" si="1"/>
        <v>79</v>
      </c>
      <c r="B83" s="1" t="str">
        <f>Glossary!A84</f>
        <v>Funding availability</v>
      </c>
      <c r="C83" s="48" t="s">
        <v>898</v>
      </c>
      <c r="D83" s="48" t="s">
        <v>825</v>
      </c>
    </row>
    <row r="84" spans="1:4" x14ac:dyDescent="0.25">
      <c r="A84" s="2">
        <f t="shared" si="1"/>
        <v>80</v>
      </c>
      <c r="B84" s="1" t="str">
        <f>Glossary!A85</f>
        <v>Future benefits</v>
      </c>
      <c r="C84" s="48" t="s">
        <v>427</v>
      </c>
      <c r="D84" s="48" t="s">
        <v>825</v>
      </c>
    </row>
    <row r="85" spans="1:4" x14ac:dyDescent="0.25">
      <c r="A85" s="2">
        <f t="shared" si="1"/>
        <v>81</v>
      </c>
      <c r="B85" s="1" t="str">
        <f>Glossary!A86</f>
        <v>Future system demand</v>
      </c>
      <c r="C85" s="48" t="s">
        <v>899</v>
      </c>
      <c r="D85" s="48" t="s">
        <v>836</v>
      </c>
    </row>
    <row r="86" spans="1:4" x14ac:dyDescent="0.25">
      <c r="A86" s="2">
        <f t="shared" si="1"/>
        <v>82</v>
      </c>
      <c r="B86" s="1" t="str">
        <f>Glossary!A87</f>
        <v>Governance</v>
      </c>
      <c r="C86" s="48" t="s">
        <v>900</v>
      </c>
      <c r="D86" s="48" t="s">
        <v>825</v>
      </c>
    </row>
    <row r="87" spans="1:4" x14ac:dyDescent="0.25">
      <c r="A87" s="2">
        <f t="shared" si="1"/>
        <v>83</v>
      </c>
      <c r="B87" s="1" t="str">
        <f>Glossary!A88</f>
        <v>Government priorities</v>
      </c>
      <c r="C87" s="48" t="s">
        <v>901</v>
      </c>
      <c r="D87" s="48" t="s">
        <v>825</v>
      </c>
    </row>
    <row r="88" spans="1:4" x14ac:dyDescent="0.25">
      <c r="A88" s="2">
        <f t="shared" si="1"/>
        <v>84</v>
      </c>
      <c r="B88" s="1" t="str">
        <f>Glossary!A89</f>
        <v>Guidelines application</v>
      </c>
      <c r="C88" s="48" t="s">
        <v>902</v>
      </c>
      <c r="D88" s="48" t="s">
        <v>825</v>
      </c>
    </row>
    <row r="89" spans="1:4" x14ac:dyDescent="0.25">
      <c r="A89" s="2">
        <f t="shared" si="1"/>
        <v>85</v>
      </c>
      <c r="B89" s="1" t="str">
        <f>Glossary!A90</f>
        <v>Hardware management</v>
      </c>
      <c r="C89" s="48" t="s">
        <v>903</v>
      </c>
      <c r="D89" s="48" t="s">
        <v>836</v>
      </c>
    </row>
    <row r="90" spans="1:4" x14ac:dyDescent="0.25">
      <c r="A90" s="2">
        <f t="shared" si="1"/>
        <v>86</v>
      </c>
      <c r="B90" s="1" t="str">
        <f>Glossary!A91</f>
        <v>High expectations</v>
      </c>
      <c r="C90" s="48" t="s">
        <v>846</v>
      </c>
      <c r="D90" s="48" t="s">
        <v>825</v>
      </c>
    </row>
    <row r="91" spans="1:4" x14ac:dyDescent="0.25">
      <c r="A91" s="2">
        <f t="shared" si="1"/>
        <v>87</v>
      </c>
      <c r="B91" s="1" t="str">
        <f>Glossary!A92</f>
        <v>High user rates</v>
      </c>
      <c r="C91" s="48" t="s">
        <v>904</v>
      </c>
      <c r="D91" s="48" t="s">
        <v>836</v>
      </c>
    </row>
    <row r="92" spans="1:4" x14ac:dyDescent="0.25">
      <c r="A92" s="2">
        <f t="shared" si="1"/>
        <v>88</v>
      </c>
      <c r="B92" s="1" t="str">
        <f>Glossary!A93</f>
        <v>ICT Alignment</v>
      </c>
      <c r="C92" s="48" t="s">
        <v>905</v>
      </c>
      <c r="D92" s="48" t="s">
        <v>825</v>
      </c>
    </row>
    <row r="93" spans="1:4" x14ac:dyDescent="0.25">
      <c r="A93" s="2">
        <f t="shared" si="1"/>
        <v>89</v>
      </c>
      <c r="B93" s="1" t="str">
        <f>Glossary!A94</f>
        <v>ICT reform program</v>
      </c>
      <c r="C93" s="48" t="s">
        <v>906</v>
      </c>
      <c r="D93" s="48" t="s">
        <v>825</v>
      </c>
    </row>
    <row r="94" spans="1:4" x14ac:dyDescent="0.25">
      <c r="A94" s="2">
        <f t="shared" si="1"/>
        <v>90</v>
      </c>
      <c r="B94" s="1" t="str">
        <f>Glossary!A95</f>
        <v>ICT standards</v>
      </c>
      <c r="C94" s="48" t="s">
        <v>907</v>
      </c>
      <c r="D94" s="48" t="s">
        <v>836</v>
      </c>
    </row>
    <row r="95" spans="1:4" x14ac:dyDescent="0.25">
      <c r="A95" s="2">
        <f t="shared" si="1"/>
        <v>91</v>
      </c>
      <c r="B95" s="1" t="str">
        <f>Glossary!A96</f>
        <v>ICT strategic plan</v>
      </c>
      <c r="C95" s="48" t="s">
        <v>908</v>
      </c>
      <c r="D95" s="48" t="s">
        <v>825</v>
      </c>
    </row>
    <row r="96" spans="1:4" x14ac:dyDescent="0.25">
      <c r="A96" s="2">
        <f t="shared" si="1"/>
        <v>92</v>
      </c>
      <c r="B96" s="1" t="str">
        <f>Glossary!A97</f>
        <v>ICT strategies</v>
      </c>
      <c r="C96" s="48" t="s">
        <v>909</v>
      </c>
      <c r="D96" s="48" t="s">
        <v>825</v>
      </c>
    </row>
    <row r="97" spans="1:4" x14ac:dyDescent="0.25">
      <c r="A97" s="2">
        <f t="shared" si="1"/>
        <v>93</v>
      </c>
      <c r="B97" s="1" t="str">
        <f>Glossary!A98</f>
        <v>Identity management standards</v>
      </c>
      <c r="C97" s="48" t="s">
        <v>910</v>
      </c>
      <c r="D97" s="48" t="s">
        <v>836</v>
      </c>
    </row>
    <row r="98" spans="1:4" x14ac:dyDescent="0.25">
      <c r="A98" s="2">
        <f t="shared" si="1"/>
        <v>94</v>
      </c>
      <c r="B98" s="1" t="str">
        <f>Glossary!A99</f>
        <v>Implementation delays</v>
      </c>
      <c r="C98" s="48" t="s">
        <v>911</v>
      </c>
      <c r="D98" s="48" t="s">
        <v>825</v>
      </c>
    </row>
    <row r="99" spans="1:4" x14ac:dyDescent="0.25">
      <c r="A99" s="2">
        <f t="shared" si="1"/>
        <v>95</v>
      </c>
      <c r="B99" s="1" t="str">
        <f>Glossary!A100</f>
        <v>Implementation of IT solutions</v>
      </c>
      <c r="C99" s="48" t="s">
        <v>912</v>
      </c>
      <c r="D99" s="48" t="s">
        <v>820</v>
      </c>
    </row>
    <row r="100" spans="1:4" x14ac:dyDescent="0.25">
      <c r="A100" s="2">
        <f t="shared" si="1"/>
        <v>96</v>
      </c>
      <c r="B100" s="1" t="str">
        <f>Glossary!A101</f>
        <v>Implementation of system</v>
      </c>
      <c r="C100" s="48" t="s">
        <v>913</v>
      </c>
      <c r="D100" s="48" t="s">
        <v>820</v>
      </c>
    </row>
    <row r="101" spans="1:4" x14ac:dyDescent="0.25">
      <c r="A101" s="2">
        <f t="shared" si="1"/>
        <v>97</v>
      </c>
      <c r="B101" s="1" t="str">
        <f>Glossary!A102</f>
        <v>Implementation timeline</v>
      </c>
      <c r="C101" s="48" t="s">
        <v>914</v>
      </c>
      <c r="D101" s="48" t="s">
        <v>825</v>
      </c>
    </row>
    <row r="102" spans="1:4" x14ac:dyDescent="0.25">
      <c r="A102" s="2">
        <f t="shared" si="1"/>
        <v>98</v>
      </c>
      <c r="B102" s="1" t="str">
        <f>Glossary!A103</f>
        <v>Improvements to Indigenous consumers</v>
      </c>
      <c r="C102" s="48" t="s">
        <v>915</v>
      </c>
      <c r="D102" s="48" t="s">
        <v>820</v>
      </c>
    </row>
    <row r="103" spans="1:4" x14ac:dyDescent="0.25">
      <c r="A103" s="2">
        <f t="shared" si="1"/>
        <v>99</v>
      </c>
      <c r="B103" s="1" t="str">
        <f>Glossary!A104</f>
        <v>Inclusion</v>
      </c>
      <c r="C103" s="48" t="s">
        <v>916</v>
      </c>
      <c r="D103" s="48" t="s">
        <v>825</v>
      </c>
    </row>
    <row r="104" spans="1:4" x14ac:dyDescent="0.25">
      <c r="A104" s="2">
        <f t="shared" si="1"/>
        <v>100</v>
      </c>
      <c r="B104" s="1" t="str">
        <f>Glossary!A105</f>
        <v>Increase database</v>
      </c>
      <c r="C104" s="48" t="s">
        <v>917</v>
      </c>
      <c r="D104" s="48" t="s">
        <v>822</v>
      </c>
    </row>
    <row r="105" spans="1:4" x14ac:dyDescent="0.25">
      <c r="A105" s="2">
        <f t="shared" si="1"/>
        <v>101</v>
      </c>
      <c r="B105" s="1" t="str">
        <f>Glossary!A106</f>
        <v>Increased services demand</v>
      </c>
      <c r="C105" s="48" t="s">
        <v>428</v>
      </c>
      <c r="D105" s="48" t="s">
        <v>836</v>
      </c>
    </row>
    <row r="106" spans="1:4" x14ac:dyDescent="0.25">
      <c r="A106" s="2">
        <f t="shared" si="1"/>
        <v>102</v>
      </c>
      <c r="B106" s="1" t="str">
        <f>Glossary!A107</f>
        <v>Individual Electronic Record</v>
      </c>
      <c r="C106" s="48" t="s">
        <v>918</v>
      </c>
      <c r="D106" s="48" t="s">
        <v>820</v>
      </c>
    </row>
    <row r="107" spans="1:4" x14ac:dyDescent="0.25">
      <c r="A107" s="2">
        <f t="shared" si="1"/>
        <v>103</v>
      </c>
      <c r="B107" s="1" t="str">
        <f>Glossary!A108</f>
        <v>Information accessibility</v>
      </c>
      <c r="C107" s="48" t="s">
        <v>919</v>
      </c>
      <c r="D107" s="48" t="s">
        <v>820</v>
      </c>
    </row>
    <row r="108" spans="1:4" x14ac:dyDescent="0.25">
      <c r="A108" s="2">
        <f t="shared" si="1"/>
        <v>104</v>
      </c>
      <c r="B108" s="1" t="str">
        <f>Glossary!A109</f>
        <v>Information flow</v>
      </c>
      <c r="C108" s="48" t="s">
        <v>920</v>
      </c>
      <c r="D108" s="48" t="s">
        <v>820</v>
      </c>
    </row>
    <row r="109" spans="1:4" x14ac:dyDescent="0.25">
      <c r="A109" s="2">
        <f t="shared" si="1"/>
        <v>105</v>
      </c>
      <c r="B109" s="1" t="str">
        <f>Glossary!A110</f>
        <v>Information flow along consumer journey</v>
      </c>
      <c r="C109" s="48" t="s">
        <v>921</v>
      </c>
      <c r="D109" s="48" t="s">
        <v>820</v>
      </c>
    </row>
    <row r="110" spans="1:4" x14ac:dyDescent="0.25">
      <c r="A110" s="2">
        <f t="shared" si="1"/>
        <v>106</v>
      </c>
      <c r="B110" s="1" t="str">
        <f>Glossary!A111</f>
        <v>Informed consumers</v>
      </c>
      <c r="C110" s="48" t="s">
        <v>922</v>
      </c>
      <c r="D110" s="48" t="s">
        <v>820</v>
      </c>
    </row>
    <row r="111" spans="1:4" x14ac:dyDescent="0.25">
      <c r="A111" s="2">
        <f t="shared" si="1"/>
        <v>107</v>
      </c>
      <c r="B111" s="1" t="str">
        <f>Glossary!A112</f>
        <v>Informed decision-making</v>
      </c>
      <c r="C111" s="48" t="s">
        <v>923</v>
      </c>
      <c r="D111" s="48" t="s">
        <v>820</v>
      </c>
    </row>
    <row r="112" spans="1:4" x14ac:dyDescent="0.25">
      <c r="A112" s="2">
        <f t="shared" si="1"/>
        <v>108</v>
      </c>
      <c r="B112" s="1" t="str">
        <f>Glossary!A113</f>
        <v>Infrastructure coherence</v>
      </c>
      <c r="C112" s="48" t="s">
        <v>924</v>
      </c>
      <c r="D112" s="48" t="s">
        <v>836</v>
      </c>
    </row>
    <row r="113" spans="1:4" x14ac:dyDescent="0.25">
      <c r="A113" s="2">
        <f t="shared" si="1"/>
        <v>109</v>
      </c>
      <c r="B113" s="1" t="str">
        <f>Glossary!A114</f>
        <v>Infrastructure efficiency</v>
      </c>
      <c r="C113" s="48" t="s">
        <v>925</v>
      </c>
      <c r="D113" s="48" t="s">
        <v>836</v>
      </c>
    </row>
    <row r="114" spans="1:4" x14ac:dyDescent="0.25">
      <c r="A114" s="2">
        <f t="shared" si="1"/>
        <v>110</v>
      </c>
      <c r="B114" s="1" t="str">
        <f>Glossary!A115</f>
        <v>Integrated analysis &amp; System outcome indicators</v>
      </c>
      <c r="C114" s="48" t="s">
        <v>926</v>
      </c>
      <c r="D114" s="48" t="s">
        <v>822</v>
      </c>
    </row>
    <row r="115" spans="1:4" x14ac:dyDescent="0.25">
      <c r="A115" s="2">
        <f t="shared" si="1"/>
        <v>111</v>
      </c>
      <c r="B115" s="1" t="str">
        <f>Glossary!A116</f>
        <v>Integration</v>
      </c>
      <c r="C115" s="48" t="s">
        <v>927</v>
      </c>
      <c r="D115" s="48" t="s">
        <v>836</v>
      </c>
    </row>
    <row r="116" spans="1:4" x14ac:dyDescent="0.25">
      <c r="A116" s="2">
        <f t="shared" si="1"/>
        <v>112</v>
      </c>
      <c r="B116" s="1" t="str">
        <f>Glossary!A117</f>
        <v>Integration of core systems</v>
      </c>
      <c r="C116" s="48" t="s">
        <v>928</v>
      </c>
      <c r="D116" s="48" t="s">
        <v>836</v>
      </c>
    </row>
    <row r="117" spans="1:4" x14ac:dyDescent="0.25">
      <c r="A117" s="2">
        <f t="shared" si="1"/>
        <v>113</v>
      </c>
      <c r="B117" s="1" t="str">
        <f>Glossary!A118</f>
        <v>Integration of data</v>
      </c>
      <c r="C117" s="48" t="s">
        <v>929</v>
      </c>
      <c r="D117" s="48" t="s">
        <v>822</v>
      </c>
    </row>
    <row r="118" spans="1:4" x14ac:dyDescent="0.25">
      <c r="A118" s="2">
        <f t="shared" si="1"/>
        <v>114</v>
      </c>
      <c r="B118" s="1" t="str">
        <f>Glossary!A119</f>
        <v>Integration of governance models</v>
      </c>
      <c r="C118" s="48" t="s">
        <v>930</v>
      </c>
      <c r="D118" s="48" t="s">
        <v>825</v>
      </c>
    </row>
    <row r="119" spans="1:4" x14ac:dyDescent="0.25">
      <c r="A119" s="2">
        <f t="shared" si="1"/>
        <v>115</v>
      </c>
      <c r="B119" s="1" t="str">
        <f>Glossary!A120</f>
        <v>Integration of systems</v>
      </c>
      <c r="C119" s="48" t="s">
        <v>931</v>
      </c>
      <c r="D119" s="48" t="s">
        <v>836</v>
      </c>
    </row>
    <row r="120" spans="1:4" x14ac:dyDescent="0.25">
      <c r="A120" s="2">
        <f t="shared" si="1"/>
        <v>116</v>
      </c>
      <c r="B120" s="1" t="str">
        <f>Glossary!A121</f>
        <v>Integration of unified systems</v>
      </c>
      <c r="C120" s="48" t="s">
        <v>932</v>
      </c>
      <c r="D120" s="48" t="s">
        <v>836</v>
      </c>
    </row>
    <row r="121" spans="1:4" x14ac:dyDescent="0.25">
      <c r="A121" s="2">
        <f t="shared" si="1"/>
        <v>117</v>
      </c>
      <c r="B121" s="1" t="str">
        <f>Glossary!A122</f>
        <v>Integration with existing methodology</v>
      </c>
      <c r="C121" s="48" t="s">
        <v>933</v>
      </c>
      <c r="D121" s="48" t="s">
        <v>825</v>
      </c>
    </row>
    <row r="122" spans="1:4" x14ac:dyDescent="0.25">
      <c r="A122" s="2">
        <f t="shared" si="1"/>
        <v>118</v>
      </c>
      <c r="B122" s="1" t="str">
        <f>Glossary!A123</f>
        <v>Interoperability</v>
      </c>
      <c r="C122" s="48" t="s">
        <v>934</v>
      </c>
      <c r="D122" s="48" t="s">
        <v>836</v>
      </c>
    </row>
    <row r="123" spans="1:4" x14ac:dyDescent="0.25">
      <c r="A123" s="2">
        <f t="shared" si="1"/>
        <v>119</v>
      </c>
      <c r="B123" s="1" t="str">
        <f>Glossary!A124</f>
        <v>Interventions for high-risk consumers</v>
      </c>
      <c r="C123" s="48" t="s">
        <v>817</v>
      </c>
      <c r="D123" s="48" t="s">
        <v>820</v>
      </c>
    </row>
    <row r="124" spans="1:4" x14ac:dyDescent="0.25">
      <c r="A124" s="2">
        <f t="shared" si="1"/>
        <v>120</v>
      </c>
      <c r="B124" s="1" t="str">
        <f>Glossary!A125</f>
        <v>Investment plans</v>
      </c>
      <c r="C124" s="48" t="s">
        <v>935</v>
      </c>
      <c r="D124" s="48" t="s">
        <v>825</v>
      </c>
    </row>
    <row r="125" spans="1:4" x14ac:dyDescent="0.25">
      <c r="A125" s="2">
        <f t="shared" si="1"/>
        <v>121</v>
      </c>
      <c r="B125" s="1" t="str">
        <f>Glossary!A126</f>
        <v>Investment priorities</v>
      </c>
      <c r="C125" s="48" t="s">
        <v>936</v>
      </c>
      <c r="D125" s="48" t="s">
        <v>825</v>
      </c>
    </row>
    <row r="126" spans="1:4" x14ac:dyDescent="0.25">
      <c r="A126" s="2">
        <f t="shared" si="1"/>
        <v>122</v>
      </c>
      <c r="B126" s="1" t="str">
        <f>Glossary!A127</f>
        <v>IT system advancement</v>
      </c>
      <c r="C126" s="48" t="s">
        <v>937</v>
      </c>
      <c r="D126" s="48" t="s">
        <v>836</v>
      </c>
    </row>
    <row r="127" spans="1:4" x14ac:dyDescent="0.25">
      <c r="A127" s="2">
        <f t="shared" si="1"/>
        <v>123</v>
      </c>
      <c r="B127" s="1" t="str">
        <f>Glossary!A128</f>
        <v>Knowledge management</v>
      </c>
      <c r="C127" s="48" t="s">
        <v>938</v>
      </c>
      <c r="D127" s="48" t="s">
        <v>820</v>
      </c>
    </row>
    <row r="128" spans="1:4" x14ac:dyDescent="0.25">
      <c r="A128" s="2">
        <f t="shared" si="1"/>
        <v>124</v>
      </c>
      <c r="B128" s="1" t="str">
        <f>Glossary!A129</f>
        <v>Lack of core ICT systems</v>
      </c>
      <c r="C128" s="48" t="s">
        <v>939</v>
      </c>
      <c r="D128" s="48" t="s">
        <v>836</v>
      </c>
    </row>
    <row r="129" spans="1:4" x14ac:dyDescent="0.25">
      <c r="A129" s="2">
        <f t="shared" si="1"/>
        <v>125</v>
      </c>
      <c r="B129" s="1" t="str">
        <f>Glossary!A130</f>
        <v>Large content management</v>
      </c>
      <c r="C129" s="48" t="s">
        <v>940</v>
      </c>
      <c r="D129" s="48" t="s">
        <v>820</v>
      </c>
    </row>
    <row r="130" spans="1:4" x14ac:dyDescent="0.25">
      <c r="A130" s="2">
        <f t="shared" si="1"/>
        <v>126</v>
      </c>
      <c r="B130" s="1" t="str">
        <f>Glossary!A131</f>
        <v>Local implementations</v>
      </c>
      <c r="C130" s="48" t="s">
        <v>941</v>
      </c>
      <c r="D130" s="48" t="s">
        <v>825</v>
      </c>
    </row>
    <row r="131" spans="1:4" x14ac:dyDescent="0.25">
      <c r="A131" s="2">
        <f t="shared" si="1"/>
        <v>127</v>
      </c>
      <c r="B131" s="1" t="str">
        <f>Glossary!A132</f>
        <v>Maintenance costs</v>
      </c>
      <c r="C131" s="48" t="s">
        <v>942</v>
      </c>
      <c r="D131" s="48" t="s">
        <v>825</v>
      </c>
    </row>
    <row r="132" spans="1:4" x14ac:dyDescent="0.25">
      <c r="A132" s="2">
        <f t="shared" si="1"/>
        <v>128</v>
      </c>
      <c r="B132" s="1" t="str">
        <f>Glossary!A133</f>
        <v>Maintenance of systems</v>
      </c>
      <c r="C132" s="48" t="s">
        <v>943</v>
      </c>
      <c r="D132" s="48" t="s">
        <v>836</v>
      </c>
    </row>
    <row r="133" spans="1:4" x14ac:dyDescent="0.25">
      <c r="A133" s="2">
        <f t="shared" si="1"/>
        <v>129</v>
      </c>
      <c r="B133" s="1" t="str">
        <f>Glossary!A134</f>
        <v>Management information</v>
      </c>
      <c r="C133" s="48" t="s">
        <v>944</v>
      </c>
      <c r="D133" s="48" t="s">
        <v>820</v>
      </c>
    </row>
    <row r="134" spans="1:4" x14ac:dyDescent="0.25">
      <c r="A134" s="2">
        <f t="shared" si="1"/>
        <v>130</v>
      </c>
      <c r="B134" s="1" t="str">
        <f>Glossary!A135</f>
        <v>Management of applications</v>
      </c>
      <c r="C134" s="48" t="s">
        <v>945</v>
      </c>
      <c r="D134" s="48" t="s">
        <v>820</v>
      </c>
    </row>
    <row r="135" spans="1:4" x14ac:dyDescent="0.25">
      <c r="A135" s="2">
        <f t="shared" ref="A135:A198" si="2">A134+1</f>
        <v>131</v>
      </c>
      <c r="B135" s="1" t="str">
        <f>Glossary!A136</f>
        <v>Management of future demand</v>
      </c>
      <c r="C135" s="48" t="s">
        <v>946</v>
      </c>
      <c r="D135" s="48" t="s">
        <v>825</v>
      </c>
    </row>
    <row r="136" spans="1:4" x14ac:dyDescent="0.25">
      <c r="A136" s="2">
        <f t="shared" si="2"/>
        <v>132</v>
      </c>
      <c r="B136" s="1" t="str">
        <f>Glossary!A137</f>
        <v>Management of programs</v>
      </c>
      <c r="C136" s="48" t="s">
        <v>900</v>
      </c>
      <c r="D136" s="48" t="s">
        <v>825</v>
      </c>
    </row>
    <row r="137" spans="1:4" x14ac:dyDescent="0.25">
      <c r="A137" s="2">
        <f t="shared" si="2"/>
        <v>133</v>
      </c>
      <c r="B137" s="1" t="str">
        <f>Glossary!A138</f>
        <v>Minimizing impact</v>
      </c>
      <c r="C137" s="48" t="s">
        <v>947</v>
      </c>
      <c r="D137" s="48" t="s">
        <v>825</v>
      </c>
    </row>
    <row r="138" spans="1:4" x14ac:dyDescent="0.25">
      <c r="A138" s="2">
        <f t="shared" si="2"/>
        <v>134</v>
      </c>
      <c r="B138" s="1" t="str">
        <f>Glossary!A139</f>
        <v>Monitoring</v>
      </c>
      <c r="C138" s="48" t="s">
        <v>948</v>
      </c>
      <c r="D138" s="48" t="s">
        <v>820</v>
      </c>
    </row>
    <row r="139" spans="1:4" x14ac:dyDescent="0.25">
      <c r="A139" s="2">
        <f t="shared" si="2"/>
        <v>135</v>
      </c>
      <c r="B139" s="1" t="str">
        <f>Glossary!A140</f>
        <v>National information network</v>
      </c>
      <c r="C139" s="48" t="s">
        <v>949</v>
      </c>
      <c r="D139" s="48" t="s">
        <v>836</v>
      </c>
    </row>
    <row r="140" spans="1:4" x14ac:dyDescent="0.25">
      <c r="A140" s="2">
        <f t="shared" si="2"/>
        <v>136</v>
      </c>
      <c r="B140" s="1" t="str">
        <f>Glossary!A141</f>
        <v>Need for improved collaboration</v>
      </c>
      <c r="C140" s="48" t="s">
        <v>950</v>
      </c>
      <c r="D140" s="48" t="s">
        <v>820</v>
      </c>
    </row>
    <row r="141" spans="1:4" x14ac:dyDescent="0.25">
      <c r="A141" s="2">
        <f t="shared" si="2"/>
        <v>137</v>
      </c>
      <c r="B141" s="1" t="str">
        <f>Glossary!A142</f>
        <v>Need for service delivery change</v>
      </c>
      <c r="C141" s="48" t="s">
        <v>951</v>
      </c>
      <c r="D141" s="48" t="s">
        <v>825</v>
      </c>
    </row>
    <row r="142" spans="1:4" x14ac:dyDescent="0.25">
      <c r="A142" s="2">
        <f t="shared" si="2"/>
        <v>138</v>
      </c>
      <c r="B142" s="1" t="str">
        <f>Glossary!A143</f>
        <v>New directions for IT</v>
      </c>
      <c r="C142" s="48" t="s">
        <v>952</v>
      </c>
      <c r="D142" s="48" t="s">
        <v>825</v>
      </c>
    </row>
    <row r="143" spans="1:4" x14ac:dyDescent="0.25">
      <c r="A143" s="2">
        <f t="shared" si="2"/>
        <v>139</v>
      </c>
      <c r="B143" s="1" t="str">
        <f>Glossary!A144</f>
        <v>New risk potential</v>
      </c>
      <c r="C143" s="48" t="s">
        <v>953</v>
      </c>
      <c r="D143" s="48" t="s">
        <v>825</v>
      </c>
    </row>
    <row r="144" spans="1:4" x14ac:dyDescent="0.25">
      <c r="A144" s="2">
        <f t="shared" si="2"/>
        <v>140</v>
      </c>
      <c r="B144" s="1" t="str">
        <f>Glossary!A145</f>
        <v>Outdated infrastructure</v>
      </c>
      <c r="C144" s="48" t="s">
        <v>954</v>
      </c>
      <c r="D144" s="48" t="s">
        <v>836</v>
      </c>
    </row>
    <row r="145" spans="1:4" x14ac:dyDescent="0.25">
      <c r="A145" s="2">
        <f t="shared" si="2"/>
        <v>141</v>
      </c>
      <c r="B145" s="1" t="str">
        <f>Glossary!A146</f>
        <v>Outdated systems</v>
      </c>
      <c r="C145" s="48" t="s">
        <v>955</v>
      </c>
      <c r="D145" s="48" t="s">
        <v>836</v>
      </c>
    </row>
    <row r="146" spans="1:4" x14ac:dyDescent="0.25">
      <c r="A146" s="2">
        <f t="shared" si="2"/>
        <v>142</v>
      </c>
      <c r="B146" s="1" t="str">
        <f>Glossary!A147</f>
        <v>Performance monitoring</v>
      </c>
      <c r="C146" s="48" t="s">
        <v>956</v>
      </c>
      <c r="D146" s="48" t="s">
        <v>825</v>
      </c>
    </row>
    <row r="147" spans="1:4" x14ac:dyDescent="0.25">
      <c r="A147" s="2">
        <f t="shared" si="2"/>
        <v>143</v>
      </c>
      <c r="B147" s="1" t="str">
        <f>Glossary!A148</f>
        <v>Planning</v>
      </c>
      <c r="C147" s="48" t="s">
        <v>827</v>
      </c>
      <c r="D147" s="48" t="s">
        <v>825</v>
      </c>
    </row>
    <row r="148" spans="1:4" x14ac:dyDescent="0.25">
      <c r="A148" s="2">
        <f t="shared" si="2"/>
        <v>144</v>
      </c>
      <c r="B148" s="1" t="str">
        <f>Glossary!A149</f>
        <v>Policies &amp; Procedures</v>
      </c>
      <c r="C148" s="48" t="s">
        <v>157</v>
      </c>
      <c r="D148" s="48" t="s">
        <v>825</v>
      </c>
    </row>
    <row r="149" spans="1:4" x14ac:dyDescent="0.25">
      <c r="A149" s="2">
        <f t="shared" si="2"/>
        <v>145</v>
      </c>
      <c r="B149" s="1" t="str">
        <f>Glossary!A150</f>
        <v>Predictability</v>
      </c>
      <c r="C149" s="48" t="s">
        <v>957</v>
      </c>
      <c r="D149" s="48" t="s">
        <v>825</v>
      </c>
    </row>
    <row r="150" spans="1:4" x14ac:dyDescent="0.25">
      <c r="A150" s="2">
        <f t="shared" si="2"/>
        <v>146</v>
      </c>
      <c r="B150" s="1" t="str">
        <f>Glossary!A151</f>
        <v>Preventative services</v>
      </c>
      <c r="C150" s="48" t="s">
        <v>958</v>
      </c>
      <c r="D150" s="48" t="s">
        <v>820</v>
      </c>
    </row>
    <row r="151" spans="1:4" x14ac:dyDescent="0.25">
      <c r="A151" s="2">
        <f t="shared" si="2"/>
        <v>147</v>
      </c>
      <c r="B151" s="1" t="str">
        <f>Glossary!A152</f>
        <v>Preventative solutions</v>
      </c>
      <c r="C151" s="48" t="s">
        <v>959</v>
      </c>
      <c r="D151" s="48" t="s">
        <v>820</v>
      </c>
    </row>
    <row r="152" spans="1:4" x14ac:dyDescent="0.25">
      <c r="A152" s="2">
        <f t="shared" si="2"/>
        <v>148</v>
      </c>
      <c r="B152" s="1" t="str">
        <f>Glossary!A153</f>
        <v>Preventing consumer issues</v>
      </c>
      <c r="C152" s="48" t="s">
        <v>960</v>
      </c>
      <c r="D152" s="48" t="s">
        <v>820</v>
      </c>
    </row>
    <row r="153" spans="1:4" x14ac:dyDescent="0.25">
      <c r="A153" s="2">
        <f t="shared" si="2"/>
        <v>149</v>
      </c>
      <c r="B153" s="1" t="str">
        <f>Glossary!A154</f>
        <v>Primary goals of Executive Council</v>
      </c>
      <c r="C153" s="48" t="s">
        <v>961</v>
      </c>
      <c r="D153" s="48" t="s">
        <v>825</v>
      </c>
    </row>
    <row r="154" spans="1:4" x14ac:dyDescent="0.25">
      <c r="A154" s="2">
        <f t="shared" si="2"/>
        <v>150</v>
      </c>
      <c r="B154" s="1" t="str">
        <f>Glossary!A155</f>
        <v>Prioritization</v>
      </c>
      <c r="C154" s="48" t="s">
        <v>962</v>
      </c>
      <c r="D154" s="48" t="s">
        <v>825</v>
      </c>
    </row>
    <row r="155" spans="1:4" x14ac:dyDescent="0.25">
      <c r="A155" s="2">
        <f t="shared" si="2"/>
        <v>151</v>
      </c>
      <c r="B155" s="1" t="str">
        <f>Glossary!A156</f>
        <v>Prioritization of programs and projects</v>
      </c>
      <c r="C155" s="48" t="s">
        <v>963</v>
      </c>
      <c r="D155" s="48" t="s">
        <v>825</v>
      </c>
    </row>
    <row r="156" spans="1:4" x14ac:dyDescent="0.25">
      <c r="A156" s="2">
        <f t="shared" si="2"/>
        <v>152</v>
      </c>
      <c r="B156" s="1" t="str">
        <f>Glossary!A157</f>
        <v>Priority areas &amp; Resource allocation</v>
      </c>
      <c r="C156" s="48" t="s">
        <v>964</v>
      </c>
      <c r="D156" s="48" t="s">
        <v>825</v>
      </c>
    </row>
    <row r="157" spans="1:4" x14ac:dyDescent="0.25">
      <c r="A157" s="2">
        <f t="shared" si="2"/>
        <v>153</v>
      </c>
      <c r="B157" s="1" t="str">
        <f>Glossary!A158</f>
        <v>Priority determination</v>
      </c>
      <c r="C157" s="48" t="s">
        <v>965</v>
      </c>
      <c r="D157" s="48" t="s">
        <v>825</v>
      </c>
    </row>
    <row r="158" spans="1:4" x14ac:dyDescent="0.25">
      <c r="A158" s="2">
        <f t="shared" si="2"/>
        <v>154</v>
      </c>
      <c r="B158" s="1" t="str">
        <f>Glossary!A159</f>
        <v>Procurement</v>
      </c>
      <c r="C158" s="48" t="s">
        <v>966</v>
      </c>
      <c r="D158" s="48" t="s">
        <v>825</v>
      </c>
    </row>
    <row r="159" spans="1:4" x14ac:dyDescent="0.25">
      <c r="A159" s="2">
        <f t="shared" si="2"/>
        <v>155</v>
      </c>
      <c r="B159" s="1" t="str">
        <f>Glossary!A160</f>
        <v>Program delivery</v>
      </c>
      <c r="C159" s="48" t="s">
        <v>967</v>
      </c>
      <c r="D159" s="48" t="s">
        <v>825</v>
      </c>
    </row>
    <row r="160" spans="1:4" x14ac:dyDescent="0.25">
      <c r="A160" s="2">
        <f t="shared" si="2"/>
        <v>156</v>
      </c>
      <c r="B160" s="1" t="str">
        <f>Glossary!A161</f>
        <v>Program effectiveness</v>
      </c>
      <c r="C160" s="48" t="s">
        <v>968</v>
      </c>
      <c r="D160" s="48" t="s">
        <v>825</v>
      </c>
    </row>
    <row r="161" spans="1:4" x14ac:dyDescent="0.25">
      <c r="A161" s="2">
        <f t="shared" si="2"/>
        <v>157</v>
      </c>
      <c r="B161" s="1" t="str">
        <f>Glossary!A162</f>
        <v>Project scheduling complexity</v>
      </c>
      <c r="C161" s="48" t="s">
        <v>969</v>
      </c>
      <c r="D161" s="48" t="s">
        <v>825</v>
      </c>
    </row>
    <row r="162" spans="1:4" x14ac:dyDescent="0.25">
      <c r="A162" s="2">
        <f t="shared" si="2"/>
        <v>158</v>
      </c>
      <c r="B162" s="1" t="str">
        <f>Glossary!A163</f>
        <v>Quality &amp; Safety standards</v>
      </c>
      <c r="C162" s="48" t="s">
        <v>970</v>
      </c>
      <c r="D162" s="48" t="s">
        <v>825</v>
      </c>
    </row>
    <row r="163" spans="1:4" x14ac:dyDescent="0.25">
      <c r="A163" s="2">
        <f t="shared" si="2"/>
        <v>159</v>
      </c>
      <c r="B163" s="1" t="str">
        <f>Glossary!A164</f>
        <v>Quality and safety improvement</v>
      </c>
      <c r="C163" s="48" t="s">
        <v>971</v>
      </c>
      <c r="D163" s="48" t="s">
        <v>825</v>
      </c>
    </row>
    <row r="164" spans="1:4" x14ac:dyDescent="0.25">
      <c r="A164" s="2">
        <f t="shared" si="2"/>
        <v>160</v>
      </c>
      <c r="B164" s="1" t="str">
        <f>Glossary!A165</f>
        <v>Reducing risk factors</v>
      </c>
      <c r="C164" s="48" t="s">
        <v>947</v>
      </c>
      <c r="D164" s="48" t="s">
        <v>820</v>
      </c>
    </row>
    <row r="165" spans="1:4" x14ac:dyDescent="0.25">
      <c r="A165" s="2">
        <f t="shared" si="2"/>
        <v>161</v>
      </c>
      <c r="B165" s="1" t="str">
        <f>Glossary!A166</f>
        <v>Reform agenda</v>
      </c>
      <c r="C165" s="48" t="s">
        <v>972</v>
      </c>
      <c r="D165" s="48" t="s">
        <v>825</v>
      </c>
    </row>
    <row r="166" spans="1:4" x14ac:dyDescent="0.25">
      <c r="A166" s="2">
        <f t="shared" si="2"/>
        <v>162</v>
      </c>
      <c r="B166" s="1" t="str">
        <f>Glossary!A167</f>
        <v>Regulatory frameworks</v>
      </c>
      <c r="C166" s="48" t="s">
        <v>973</v>
      </c>
      <c r="D166" s="48" t="s">
        <v>825</v>
      </c>
    </row>
    <row r="167" spans="1:4" x14ac:dyDescent="0.25">
      <c r="A167" s="2">
        <f t="shared" si="2"/>
        <v>163</v>
      </c>
      <c r="B167" s="1" t="str">
        <f>Glossary!A168</f>
        <v>Replacement</v>
      </c>
      <c r="C167" s="48" t="s">
        <v>974</v>
      </c>
      <c r="D167" s="48" t="s">
        <v>836</v>
      </c>
    </row>
    <row r="168" spans="1:4" x14ac:dyDescent="0.25">
      <c r="A168" s="2">
        <f t="shared" si="2"/>
        <v>164</v>
      </c>
      <c r="B168" s="1" t="str">
        <f>Glossary!A169</f>
        <v>Resource availability</v>
      </c>
      <c r="C168" s="48" t="s">
        <v>975</v>
      </c>
      <c r="D168" s="48" t="s">
        <v>825</v>
      </c>
    </row>
    <row r="169" spans="1:4" x14ac:dyDescent="0.25">
      <c r="A169" s="2">
        <f t="shared" si="2"/>
        <v>165</v>
      </c>
      <c r="B169" s="1" t="str">
        <f>Glossary!A170</f>
        <v>Resource constraints</v>
      </c>
      <c r="C169" s="48" t="s">
        <v>976</v>
      </c>
      <c r="D169" s="48" t="s">
        <v>825</v>
      </c>
    </row>
    <row r="170" spans="1:4" x14ac:dyDescent="0.25">
      <c r="A170" s="2">
        <f t="shared" si="2"/>
        <v>166</v>
      </c>
      <c r="B170" s="1" t="str">
        <f>Glossary!A171</f>
        <v>Resource management</v>
      </c>
      <c r="C170" s="48" t="s">
        <v>977</v>
      </c>
      <c r="D170" s="48" t="s">
        <v>825</v>
      </c>
    </row>
    <row r="171" spans="1:4" x14ac:dyDescent="0.25">
      <c r="A171" s="2">
        <f t="shared" si="2"/>
        <v>167</v>
      </c>
      <c r="B171" s="1" t="str">
        <f>Glossary!A172</f>
        <v>Resource optimization</v>
      </c>
      <c r="C171" s="48" t="s">
        <v>978</v>
      </c>
      <c r="D171" s="48" t="s">
        <v>836</v>
      </c>
    </row>
    <row r="172" spans="1:4" x14ac:dyDescent="0.25">
      <c r="A172" s="2">
        <f t="shared" si="2"/>
        <v>168</v>
      </c>
      <c r="B172" s="1" t="str">
        <f>Glossary!A173</f>
        <v>Resource utilization</v>
      </c>
      <c r="C172" s="48" t="s">
        <v>979</v>
      </c>
      <c r="D172" s="48" t="s">
        <v>825</v>
      </c>
    </row>
    <row r="173" spans="1:4" x14ac:dyDescent="0.25">
      <c r="A173" s="2">
        <f t="shared" si="2"/>
        <v>169</v>
      </c>
      <c r="B173" s="1" t="str">
        <f>Glossary!A174</f>
        <v>Responsibilities of Services</v>
      </c>
      <c r="C173" s="48" t="s">
        <v>980</v>
      </c>
      <c r="D173" s="48" t="s">
        <v>825</v>
      </c>
    </row>
    <row r="174" spans="1:4" x14ac:dyDescent="0.25">
      <c r="A174" s="2">
        <f t="shared" si="2"/>
        <v>170</v>
      </c>
      <c r="B174" s="1" t="str">
        <f>Glossary!A175</f>
        <v>Responsibilities of Support Services</v>
      </c>
      <c r="C174" s="48" t="s">
        <v>981</v>
      </c>
      <c r="D174" s="48" t="s">
        <v>825</v>
      </c>
    </row>
    <row r="175" spans="1:4" x14ac:dyDescent="0.25">
      <c r="A175" s="2">
        <f t="shared" si="2"/>
        <v>171</v>
      </c>
      <c r="B175" s="1" t="str">
        <f>Glossary!A176</f>
        <v>Rising system usage</v>
      </c>
      <c r="C175" s="48" t="s">
        <v>428</v>
      </c>
      <c r="D175" s="48" t="s">
        <v>836</v>
      </c>
    </row>
    <row r="176" spans="1:4" x14ac:dyDescent="0.25">
      <c r="A176" s="2">
        <f t="shared" si="2"/>
        <v>172</v>
      </c>
      <c r="B176" s="1" t="str">
        <f>Glossary!A177</f>
        <v>Risk Identification</v>
      </c>
      <c r="C176" s="48" t="s">
        <v>982</v>
      </c>
      <c r="D176" s="48" t="s">
        <v>825</v>
      </c>
    </row>
    <row r="177" spans="1:4" x14ac:dyDescent="0.25">
      <c r="A177" s="2">
        <f t="shared" si="2"/>
        <v>173</v>
      </c>
      <c r="B177" s="1" t="str">
        <f>Glossary!A178</f>
        <v>Safe working capacity</v>
      </c>
      <c r="C177" s="48" t="s">
        <v>983</v>
      </c>
      <c r="D177" s="48" t="s">
        <v>836</v>
      </c>
    </row>
    <row r="178" spans="1:4" x14ac:dyDescent="0.25">
      <c r="A178" s="2">
        <f t="shared" si="2"/>
        <v>174</v>
      </c>
      <c r="B178" s="1" t="str">
        <f>Glossary!A179</f>
        <v>Scope creep</v>
      </c>
      <c r="C178" s="48" t="s">
        <v>984</v>
      </c>
      <c r="D178" s="48" t="s">
        <v>825</v>
      </c>
    </row>
    <row r="179" spans="1:4" x14ac:dyDescent="0.25">
      <c r="A179" s="2">
        <f t="shared" si="2"/>
        <v>175</v>
      </c>
      <c r="B179" s="1" t="str">
        <f>Glossary!A180</f>
        <v>Secure messaging</v>
      </c>
      <c r="C179" s="48" t="s">
        <v>985</v>
      </c>
      <c r="D179" s="48" t="s">
        <v>820</v>
      </c>
    </row>
    <row r="180" spans="1:4" x14ac:dyDescent="0.25">
      <c r="A180" s="2">
        <f t="shared" si="2"/>
        <v>176</v>
      </c>
      <c r="B180" s="1" t="str">
        <f>Glossary!A181</f>
        <v>Service delivery</v>
      </c>
      <c r="C180" s="48" t="s">
        <v>834</v>
      </c>
      <c r="D180" s="48" t="s">
        <v>820</v>
      </c>
    </row>
    <row r="181" spans="1:4" x14ac:dyDescent="0.25">
      <c r="A181" s="2">
        <f t="shared" si="2"/>
        <v>177</v>
      </c>
      <c r="B181" s="1" t="str">
        <f>Glossary!A182</f>
        <v>Significant risk environment</v>
      </c>
      <c r="C181" s="48" t="s">
        <v>986</v>
      </c>
      <c r="D181" s="48" t="s">
        <v>825</v>
      </c>
    </row>
    <row r="182" spans="1:4" x14ac:dyDescent="0.25">
      <c r="A182" s="2">
        <f t="shared" si="2"/>
        <v>178</v>
      </c>
      <c r="B182" s="1" t="str">
        <f>Glossary!A183</f>
        <v>Skilled project management</v>
      </c>
      <c r="C182" s="48" t="s">
        <v>987</v>
      </c>
      <c r="D182" s="48" t="s">
        <v>825</v>
      </c>
    </row>
    <row r="183" spans="1:4" x14ac:dyDescent="0.25">
      <c r="A183" s="2">
        <f t="shared" si="2"/>
        <v>179</v>
      </c>
      <c r="B183" s="1" t="str">
        <f>Glossary!A184</f>
        <v>Skills / Training</v>
      </c>
      <c r="C183" s="48" t="s">
        <v>988</v>
      </c>
      <c r="D183" s="48" t="s">
        <v>820</v>
      </c>
    </row>
    <row r="184" spans="1:4" x14ac:dyDescent="0.25">
      <c r="A184" s="2">
        <f t="shared" si="2"/>
        <v>180</v>
      </c>
      <c r="B184" s="1" t="str">
        <f>Glossary!A185</f>
        <v>Skills and competence</v>
      </c>
      <c r="C184" s="48" t="s">
        <v>989</v>
      </c>
      <c r="D184" s="48" t="s">
        <v>825</v>
      </c>
    </row>
    <row r="185" spans="1:4" x14ac:dyDescent="0.25">
      <c r="A185" s="2">
        <f t="shared" si="2"/>
        <v>181</v>
      </c>
      <c r="B185" s="1" t="str">
        <f>Glossary!A186</f>
        <v>Software management</v>
      </c>
      <c r="C185" s="48" t="s">
        <v>990</v>
      </c>
      <c r="D185" s="48" t="s">
        <v>820</v>
      </c>
    </row>
    <row r="186" spans="1:4" x14ac:dyDescent="0.25">
      <c r="A186" s="2">
        <f t="shared" si="2"/>
        <v>182</v>
      </c>
      <c r="B186" s="1" t="str">
        <f>Glossary!A187</f>
        <v>Sound investment decisions</v>
      </c>
      <c r="C186" s="48" t="s">
        <v>991</v>
      </c>
      <c r="D186" s="48" t="s">
        <v>825</v>
      </c>
    </row>
    <row r="187" spans="1:4" x14ac:dyDescent="0.25">
      <c r="A187" s="2">
        <f t="shared" si="2"/>
        <v>183</v>
      </c>
      <c r="B187" s="1" t="str">
        <f>Glossary!A188</f>
        <v>Staff shortages</v>
      </c>
      <c r="C187" s="48" t="s">
        <v>992</v>
      </c>
      <c r="D187" s="48" t="s">
        <v>825</v>
      </c>
    </row>
    <row r="188" spans="1:4" x14ac:dyDescent="0.25">
      <c r="A188" s="2">
        <f t="shared" si="2"/>
        <v>184</v>
      </c>
      <c r="B188" s="1" t="str">
        <f>Glossary!A189</f>
        <v>Staff training</v>
      </c>
      <c r="C188" s="48" t="s">
        <v>993</v>
      </c>
      <c r="D188" s="48" t="s">
        <v>825</v>
      </c>
    </row>
    <row r="189" spans="1:4" x14ac:dyDescent="0.25">
      <c r="A189" s="2">
        <f t="shared" si="2"/>
        <v>185</v>
      </c>
      <c r="B189" s="1" t="str">
        <f>Glossary!A190</f>
        <v>Standard adherence</v>
      </c>
      <c r="C189" s="48" t="s">
        <v>994</v>
      </c>
      <c r="D189" s="48" t="s">
        <v>825</v>
      </c>
    </row>
    <row r="190" spans="1:4" x14ac:dyDescent="0.25">
      <c r="A190" s="2">
        <f t="shared" si="2"/>
        <v>186</v>
      </c>
      <c r="B190" s="1" t="str">
        <f>Glossary!A191</f>
        <v>Standardized information</v>
      </c>
      <c r="C190" s="48" t="s">
        <v>995</v>
      </c>
      <c r="D190" s="48" t="s">
        <v>822</v>
      </c>
    </row>
    <row r="191" spans="1:4" x14ac:dyDescent="0.25">
      <c r="A191" s="2">
        <f t="shared" si="2"/>
        <v>187</v>
      </c>
      <c r="B191" s="1" t="str">
        <f>Glossary!A192</f>
        <v>Standardized information access</v>
      </c>
      <c r="C191" s="48" t="s">
        <v>996</v>
      </c>
      <c r="D191" s="48" t="s">
        <v>820</v>
      </c>
    </row>
    <row r="192" spans="1:4" x14ac:dyDescent="0.25">
      <c r="A192" s="2">
        <f t="shared" si="2"/>
        <v>188</v>
      </c>
      <c r="B192" s="1" t="str">
        <f>Glossary!A193</f>
        <v>Standardizing processes across ICT</v>
      </c>
      <c r="C192" s="48" t="s">
        <v>997</v>
      </c>
      <c r="D192" s="48" t="s">
        <v>825</v>
      </c>
    </row>
    <row r="193" spans="1:4" x14ac:dyDescent="0.25">
      <c r="A193" s="2">
        <f t="shared" si="2"/>
        <v>189</v>
      </c>
      <c r="B193" s="1" t="str">
        <f>Glossary!A194</f>
        <v>Streamlined training processes</v>
      </c>
      <c r="C193" s="48" t="s">
        <v>998</v>
      </c>
      <c r="D193" s="48" t="s">
        <v>820</v>
      </c>
    </row>
    <row r="194" spans="1:4" x14ac:dyDescent="0.25">
      <c r="A194" s="2">
        <f t="shared" si="2"/>
        <v>190</v>
      </c>
      <c r="B194" s="1" t="str">
        <f>Glossary!A195</f>
        <v>Strengthening relationships</v>
      </c>
      <c r="C194" s="48" t="s">
        <v>846</v>
      </c>
      <c r="D194" s="48" t="s">
        <v>825</v>
      </c>
    </row>
    <row r="195" spans="1:4" x14ac:dyDescent="0.25">
      <c r="A195" s="2">
        <f t="shared" si="2"/>
        <v>191</v>
      </c>
      <c r="B195" s="1" t="str">
        <f>Glossary!A196</f>
        <v>Supply chain management</v>
      </c>
      <c r="C195" s="48" t="s">
        <v>999</v>
      </c>
      <c r="D195" s="48" t="s">
        <v>820</v>
      </c>
    </row>
    <row r="196" spans="1:4" x14ac:dyDescent="0.25">
      <c r="A196" s="2">
        <f t="shared" si="2"/>
        <v>192</v>
      </c>
      <c r="B196" s="1" t="str">
        <f>Glossary!A197</f>
        <v>Support for Consumers</v>
      </c>
      <c r="C196" s="48" t="s">
        <v>1000</v>
      </c>
      <c r="D196" s="48" t="s">
        <v>820</v>
      </c>
    </row>
    <row r="197" spans="1:4" x14ac:dyDescent="0.25">
      <c r="A197" s="2">
        <f t="shared" si="2"/>
        <v>193</v>
      </c>
      <c r="B197" s="1" t="str">
        <f>Glossary!A198</f>
        <v>Support for strategic programs</v>
      </c>
      <c r="C197" s="48" t="s">
        <v>1001</v>
      </c>
      <c r="D197" s="48" t="s">
        <v>825</v>
      </c>
    </row>
    <row r="198" spans="1:4" x14ac:dyDescent="0.25">
      <c r="A198" s="2">
        <f t="shared" si="2"/>
        <v>194</v>
      </c>
      <c r="B198" s="1" t="str">
        <f>Glossary!A199</f>
        <v>Support for users</v>
      </c>
      <c r="C198" s="48" t="s">
        <v>1002</v>
      </c>
      <c r="D198" s="48" t="s">
        <v>820</v>
      </c>
    </row>
    <row r="199" spans="1:4" x14ac:dyDescent="0.25">
      <c r="A199" s="2">
        <f t="shared" ref="A199:A217" si="3">A198+1</f>
        <v>195</v>
      </c>
      <c r="B199" s="1" t="str">
        <f>Glossary!A200</f>
        <v>Supporting new care models</v>
      </c>
      <c r="C199" s="48" t="s">
        <v>1003</v>
      </c>
      <c r="D199" s="48" t="s">
        <v>825</v>
      </c>
    </row>
    <row r="200" spans="1:4" x14ac:dyDescent="0.25">
      <c r="A200" s="2">
        <f t="shared" si="3"/>
        <v>196</v>
      </c>
      <c r="B200" s="1" t="str">
        <f>Glossary!A201</f>
        <v>Sustainability</v>
      </c>
      <c r="C200" s="48" t="s">
        <v>1004</v>
      </c>
      <c r="D200" s="48" t="s">
        <v>825</v>
      </c>
    </row>
    <row r="201" spans="1:4" x14ac:dyDescent="0.25">
      <c r="A201" s="2">
        <f t="shared" si="3"/>
        <v>197</v>
      </c>
      <c r="B201" s="1" t="str">
        <f>Glossary!A202</f>
        <v>Sustainability of reform</v>
      </c>
      <c r="C201" s="48" t="s">
        <v>1005</v>
      </c>
      <c r="D201" s="48" t="s">
        <v>825</v>
      </c>
    </row>
    <row r="202" spans="1:4" x14ac:dyDescent="0.25">
      <c r="A202" s="2">
        <f t="shared" si="3"/>
        <v>198</v>
      </c>
      <c r="B202" s="1" t="str">
        <f>Glossary!A203</f>
        <v>Sustainable Workforce</v>
      </c>
      <c r="C202" s="48" t="s">
        <v>1006</v>
      </c>
      <c r="D202" s="48" t="s">
        <v>825</v>
      </c>
    </row>
    <row r="203" spans="1:4" x14ac:dyDescent="0.25">
      <c r="A203" s="2">
        <f t="shared" si="3"/>
        <v>199</v>
      </c>
      <c r="B203" s="1" t="str">
        <f>Glossary!A204</f>
        <v>System deployment &amp; Integration</v>
      </c>
      <c r="C203" s="48" t="s">
        <v>1007</v>
      </c>
      <c r="D203" s="48" t="s">
        <v>836</v>
      </c>
    </row>
    <row r="204" spans="1:4" x14ac:dyDescent="0.25">
      <c r="A204" s="2">
        <f t="shared" si="3"/>
        <v>200</v>
      </c>
      <c r="B204" s="1" t="str">
        <f>Glossary!A205</f>
        <v>System projections</v>
      </c>
      <c r="C204" s="48" t="s">
        <v>1008</v>
      </c>
      <c r="D204" s="48" t="s">
        <v>825</v>
      </c>
    </row>
    <row r="205" spans="1:4" x14ac:dyDescent="0.25">
      <c r="A205" s="2">
        <f t="shared" si="3"/>
        <v>201</v>
      </c>
      <c r="B205" s="1" t="str">
        <f>Glossary!A206</f>
        <v>System reform</v>
      </c>
      <c r="C205" s="48" t="s">
        <v>1009</v>
      </c>
      <c r="D205" s="48" t="s">
        <v>825</v>
      </c>
    </row>
    <row r="206" spans="1:4" x14ac:dyDescent="0.25">
      <c r="A206" s="2">
        <f t="shared" si="3"/>
        <v>202</v>
      </c>
      <c r="B206" s="1" t="str">
        <f>Glossary!A207</f>
        <v>System Support</v>
      </c>
      <c r="C206" s="48" t="s">
        <v>1010</v>
      </c>
      <c r="D206" s="48" t="s">
        <v>820</v>
      </c>
    </row>
    <row r="207" spans="1:4" x14ac:dyDescent="0.25">
      <c r="A207" s="2">
        <f t="shared" si="3"/>
        <v>203</v>
      </c>
      <c r="B207" s="1" t="str">
        <f>Glossary!A208</f>
        <v>Systems implementation</v>
      </c>
      <c r="C207" s="48" t="s">
        <v>1011</v>
      </c>
      <c r="D207" s="48" t="s">
        <v>820</v>
      </c>
    </row>
    <row r="208" spans="1:4" x14ac:dyDescent="0.25">
      <c r="A208" s="2">
        <f t="shared" si="3"/>
        <v>204</v>
      </c>
      <c r="B208" s="1" t="str">
        <f>Glossary!A209</f>
        <v>Time efficiency</v>
      </c>
      <c r="C208" s="48" t="s">
        <v>1012</v>
      </c>
      <c r="D208" s="48" t="s">
        <v>820</v>
      </c>
    </row>
    <row r="209" spans="1:4" x14ac:dyDescent="0.25">
      <c r="A209" s="2">
        <f t="shared" si="3"/>
        <v>205</v>
      </c>
      <c r="B209" s="1" t="str">
        <f>Glossary!A210</f>
        <v>Timeliness</v>
      </c>
      <c r="C209" s="48" t="s">
        <v>1013</v>
      </c>
      <c r="D209" s="48" t="s">
        <v>825</v>
      </c>
    </row>
    <row r="210" spans="1:4" x14ac:dyDescent="0.25">
      <c r="A210" s="2">
        <f t="shared" si="3"/>
        <v>206</v>
      </c>
      <c r="B210" s="1" t="str">
        <f>Glossary!A211</f>
        <v>Unified platform</v>
      </c>
      <c r="C210" s="48" t="s">
        <v>1014</v>
      </c>
      <c r="D210" s="48" t="s">
        <v>836</v>
      </c>
    </row>
    <row r="211" spans="1:4" x14ac:dyDescent="0.25">
      <c r="A211" s="2">
        <f t="shared" si="3"/>
        <v>207</v>
      </c>
      <c r="B211" s="1" t="str">
        <f>Glossary!A212</f>
        <v>Unique Identifiers</v>
      </c>
      <c r="C211" s="48" t="s">
        <v>1015</v>
      </c>
      <c r="D211" s="48" t="s">
        <v>822</v>
      </c>
    </row>
    <row r="212" spans="1:4" x14ac:dyDescent="0.25">
      <c r="A212" s="2">
        <f t="shared" si="3"/>
        <v>208</v>
      </c>
      <c r="B212" s="1" t="str">
        <f>Glossary!A213</f>
        <v>User capacity</v>
      </c>
      <c r="C212" s="48" t="s">
        <v>1016</v>
      </c>
      <c r="D212" s="48" t="s">
        <v>836</v>
      </c>
    </row>
    <row r="213" spans="1:4" x14ac:dyDescent="0.25">
      <c r="A213" s="2">
        <f t="shared" si="3"/>
        <v>209</v>
      </c>
      <c r="B213" s="1" t="str">
        <f>Glossary!A214</f>
        <v>User experience</v>
      </c>
      <c r="C213" s="48" t="s">
        <v>863</v>
      </c>
      <c r="D213" s="48" t="s">
        <v>820</v>
      </c>
    </row>
    <row r="214" spans="1:4" x14ac:dyDescent="0.25">
      <c r="A214" s="2">
        <f t="shared" si="3"/>
        <v>210</v>
      </c>
      <c r="B214" s="1" t="str">
        <f>Glossary!A215</f>
        <v>User optimization</v>
      </c>
      <c r="C214" s="48" t="s">
        <v>1017</v>
      </c>
      <c r="D214" s="48" t="s">
        <v>820</v>
      </c>
    </row>
    <row r="215" spans="1:4" x14ac:dyDescent="0.25">
      <c r="A215" s="2">
        <f t="shared" si="3"/>
        <v>211</v>
      </c>
      <c r="B215" s="1" t="str">
        <f>Glossary!A216</f>
        <v>Work scheduling</v>
      </c>
      <c r="C215" s="48" t="s">
        <v>1018</v>
      </c>
      <c r="D215" s="48" t="s">
        <v>820</v>
      </c>
    </row>
    <row r="216" spans="1:4" x14ac:dyDescent="0.25">
      <c r="A216" s="2">
        <f t="shared" si="3"/>
        <v>212</v>
      </c>
      <c r="B216" s="1" t="str">
        <f>Glossary!A217</f>
        <v>Workflow improvement</v>
      </c>
      <c r="C216" s="48" t="s">
        <v>1019</v>
      </c>
      <c r="D216" s="48" t="s">
        <v>820</v>
      </c>
    </row>
    <row r="217" spans="1:4" x14ac:dyDescent="0.25">
      <c r="A217" s="2">
        <f t="shared" si="3"/>
        <v>213</v>
      </c>
      <c r="B217" s="1" t="str">
        <f>Glossary!A218</f>
        <v>Workforce shortages</v>
      </c>
      <c r="C217" s="48" t="s">
        <v>1019</v>
      </c>
      <c r="D217" s="48" t="s">
        <v>820</v>
      </c>
    </row>
    <row r="218" spans="1:4" x14ac:dyDescent="0.25">
      <c r="A218" s="2" t="s">
        <v>803</v>
      </c>
      <c r="B218" s="6"/>
      <c r="C218" s="6"/>
      <c r="D218" s="6">
        <f>SUBTOTAL(103,table5[Sub Catergories])</f>
        <v>213</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70"/>
  <sheetViews>
    <sheetView tabSelected="1" zoomScaleNormal="100" workbookViewId="0">
      <pane ySplit="4" topLeftCell="A5" activePane="bottomLeft" state="frozen"/>
      <selection pane="bottomLeft" activeCell="F5" sqref="F5"/>
    </sheetView>
  </sheetViews>
  <sheetFormatPr defaultRowHeight="15" x14ac:dyDescent="0.25"/>
  <cols>
    <col min="1" max="1" width="11" style="11" customWidth="1"/>
    <col min="2" max="2" width="46.28515625" bestFit="1" customWidth="1"/>
    <col min="3" max="3" width="46.28515625" customWidth="1"/>
    <col min="4" max="4" width="44.85546875" customWidth="1"/>
    <col min="5" max="5" width="38.5703125" customWidth="1"/>
    <col min="6" max="6" width="88.5703125" bestFit="1" customWidth="1"/>
    <col min="7" max="7" width="30.85546875" customWidth="1"/>
  </cols>
  <sheetData>
    <row r="1" spans="1:7" ht="48" customHeight="1" x14ac:dyDescent="0.25"/>
    <row r="2" spans="1:7" x14ac:dyDescent="0.25">
      <c r="A2" s="46" t="s">
        <v>739</v>
      </c>
      <c r="B2" s="47"/>
      <c r="C2" s="47"/>
      <c r="D2" s="47"/>
      <c r="E2" s="47"/>
      <c r="F2" s="47"/>
      <c r="G2" s="47"/>
    </row>
    <row r="3" spans="1:7" x14ac:dyDescent="0.25">
      <c r="A3" s="28"/>
      <c r="B3" s="34" t="str">
        <f>'Thematic Analysis'!E6</f>
        <v>Concern</v>
      </c>
      <c r="C3" s="34" t="s">
        <v>732</v>
      </c>
      <c r="D3" s="34" t="str">
        <f>'Thematic Analysis'!G6</f>
        <v>Organizational Values</v>
      </c>
      <c r="E3" s="35" t="str">
        <f>'Tech Concepts'!C3</f>
        <v>Tech Concept</v>
      </c>
      <c r="F3" s="35" t="str">
        <f>'Tech Concepts'!D3</f>
        <v>Tech Layers</v>
      </c>
      <c r="G3" s="29"/>
    </row>
    <row r="4" spans="1:7" s="11" customFormat="1" x14ac:dyDescent="0.25">
      <c r="A4" s="11" t="s">
        <v>730</v>
      </c>
      <c r="B4" s="38" t="s">
        <v>804</v>
      </c>
      <c r="C4" s="38" t="s">
        <v>805</v>
      </c>
      <c r="D4" s="11" t="s">
        <v>806</v>
      </c>
      <c r="E4" s="11" t="s">
        <v>811</v>
      </c>
      <c r="F4" s="11" t="s">
        <v>812</v>
      </c>
      <c r="G4" s="11" t="s">
        <v>813</v>
      </c>
    </row>
    <row r="5" spans="1:7" s="6" customFormat="1" ht="174" customHeight="1" x14ac:dyDescent="0.25">
      <c r="A5" s="2">
        <v>1</v>
      </c>
      <c r="B5" s="1" t="str">
        <f>'Thematic Analysis'!E8</f>
        <v>Accuracy of Reporting
Duplication</v>
      </c>
      <c r="C5" s="1" t="str">
        <f>'Thematic Analysis'!F8</f>
        <v>Precise reports
Streamlined processes</v>
      </c>
      <c r="D5" s="1" t="str">
        <f>'Thematic Analysis'!G8</f>
        <v>Data Security, Quality and Privacy
Streamlined processes</v>
      </c>
      <c r="E5" s="1" t="s">
        <v>1020</v>
      </c>
      <c r="F5" s="1" t="s">
        <v>1083</v>
      </c>
      <c r="G5" s="1" t="str">
        <f>'Thematic Analysis'!$D8</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6" spans="1:7" s="6" customFormat="1" ht="120" x14ac:dyDescent="0.25">
      <c r="A6" s="2">
        <f t="shared" ref="A6:A37" si="0">A5+1</f>
        <v>2</v>
      </c>
      <c r="B6" s="1" t="str">
        <f>'Thematic Analysis'!E9</f>
        <v>Disparate systems</v>
      </c>
      <c r="C6" s="1" t="str">
        <f>'Thematic Analysis'!F9</f>
        <v>Unified platform</v>
      </c>
      <c r="D6" s="1" t="str">
        <f>'Thematic Analysis'!G9</f>
        <v>Operational Effectiveness and Efficiency</v>
      </c>
      <c r="E6" s="1" t="s">
        <v>885</v>
      </c>
      <c r="F6" s="1" t="s">
        <v>836</v>
      </c>
      <c r="G6" s="1" t="str">
        <f>'Thematic Analysis'!$D9</f>
        <v>Because of all this, it's hard to share patient info and coordinate care properly. Managers struggle to get accurate info on how well the systems are doing. And keeping them running costs a lot of money.</v>
      </c>
    </row>
    <row r="7" spans="1:7" s="6" customFormat="1" ht="150" x14ac:dyDescent="0.25">
      <c r="A7" s="2">
        <f t="shared" si="0"/>
        <v>3</v>
      </c>
      <c r="B7" s="1" t="str">
        <f>'Thematic Analysis'!E10</f>
        <v>Outdated infrastructure</v>
      </c>
      <c r="C7" s="1" t="str">
        <f>'Thematic Analysis'!F10</f>
        <v>Modernization</v>
      </c>
      <c r="D7" s="1" t="str">
        <f>'Thematic Analysis'!G10</f>
        <v>Infrastructure and Hardware Management</v>
      </c>
      <c r="E7" s="1" t="s">
        <v>954</v>
      </c>
      <c r="F7" s="1" t="s">
        <v>836</v>
      </c>
      <c r="G7" s="1" t="str">
        <f>'Thematic Analysis'!$D10</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8" spans="1:7" s="6" customFormat="1" ht="165" x14ac:dyDescent="0.25">
      <c r="A8" s="2">
        <f t="shared" si="0"/>
        <v>4</v>
      </c>
      <c r="B8" s="1" t="str">
        <f>'Thematic Analysis'!E11</f>
        <v>Fragmentation
Outdated systems
Compatibility</v>
      </c>
      <c r="C8" s="1" t="str">
        <f>'Thematic Analysis'!F11</f>
        <v>Centralized management
Upgrades
Standard protocols</v>
      </c>
      <c r="D8" s="1" t="str">
        <f>'Thematic Analysis'!G11</f>
        <v>Compliance and Governance
Upgrades
Standard protocols</v>
      </c>
      <c r="E8" s="1" t="s">
        <v>1021</v>
      </c>
      <c r="F8" s="1" t="s">
        <v>1084</v>
      </c>
      <c r="G8" s="1" t="str">
        <f>'Thematic Analysis'!$D11</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9" spans="1:7" s="6" customFormat="1" ht="105" x14ac:dyDescent="0.25">
      <c r="A9" s="2">
        <f t="shared" si="0"/>
        <v>5</v>
      </c>
      <c r="B9" s="1" t="str">
        <f>'Thematic Analysis'!E12</f>
        <v>Alignment
Effectiveness
Integration
Sustainability
Compliance</v>
      </c>
      <c r="C9" s="1" t="str">
        <f>'Thematic Analysis'!F12</f>
        <v>Strategic fit
Performance review
System unification
Green practices
Regulatory adherence</v>
      </c>
      <c r="D9" s="1" t="str">
        <f>'Thematic Analysis'!G12</f>
        <v>Business Alignment
Performance review
System unification
Green practices
Regulatory adherence</v>
      </c>
      <c r="E9" s="1" t="s">
        <v>1022</v>
      </c>
      <c r="F9" s="1" t="s">
        <v>1085</v>
      </c>
      <c r="G9" s="1" t="str">
        <f>'Thematic Analysis'!$D12</f>
        <v>Clinical Systems Strategy
Corporate Systems Strategy
Business Information Strategy
Sustainable Infrastructure Strategy
Whole of Government ICT Strategic Directions</v>
      </c>
    </row>
    <row r="10" spans="1:7" s="6" customFormat="1" ht="90" x14ac:dyDescent="0.25">
      <c r="A10" s="2">
        <f t="shared" si="0"/>
        <v>6</v>
      </c>
      <c r="B10" s="1" t="str">
        <f>'Thematic Analysis'!E13</f>
        <v>Access to information
Consistency
Predictability</v>
      </c>
      <c r="C10" s="1" t="str">
        <f>'Thematic Analysis'!F13</f>
        <v>User portals
Standard procedures
Forecasting models</v>
      </c>
      <c r="D10" s="1" t="str">
        <f>'Thematic Analysis'!G13</f>
        <v>Data and Information Management
Standard procedures
Forecasting models</v>
      </c>
      <c r="E10" s="1" t="s">
        <v>1023</v>
      </c>
      <c r="F10" s="1" t="s">
        <v>1086</v>
      </c>
      <c r="G10" s="1" t="str">
        <f>'Thematic Analysis'!$D13</f>
        <v>They're making care safer and better by giving clinicians the info they need and setting up systems for consistent, predictable processes across the state.</v>
      </c>
    </row>
    <row r="11" spans="1:7" s="6" customFormat="1" ht="135" x14ac:dyDescent="0.25">
      <c r="A11" s="2">
        <f t="shared" si="0"/>
        <v>7</v>
      </c>
      <c r="B11" s="1" t="str">
        <f>'Thematic Analysis'!E14</f>
        <v>Collaboration
Interoperability
Information flow</v>
      </c>
      <c r="C11" s="1" t="str">
        <f>'Thematic Analysis'!F14</f>
        <v>Teamwork tools
API integration
Data pipelines</v>
      </c>
      <c r="D11" s="1" t="str">
        <f>'Thematic Analysis'!G14</f>
        <v>Collaboration and Communication
API integration
Data pipelines</v>
      </c>
      <c r="E11" s="1" t="s">
        <v>1024</v>
      </c>
      <c r="F11" s="1" t="s">
        <v>1087</v>
      </c>
      <c r="G11" s="1" t="str">
        <f>'Thematic Analysis'!$D14</f>
        <v>They're improving teamwork among health agencies in NSW, as well as with private companies and nationally, so everyone can work together better. This means info flows more smoothly, helping patients and making things more efficient.</v>
      </c>
    </row>
    <row r="12" spans="1:7" s="6" customFormat="1" ht="165" x14ac:dyDescent="0.25">
      <c r="A12" s="2">
        <f t="shared" si="0"/>
        <v>8</v>
      </c>
      <c r="B12" s="1" t="str">
        <f>'Thematic Analysis'!E15</f>
        <v>Efficient structures
System deployment &amp; Integration
Sustainability
Minimizing impact
Streamlined training processes</v>
      </c>
      <c r="C12" s="1" t="str">
        <f>'Thematic Analysis'!F15</f>
        <v>Lean management
Project management
Green practices
Mitigation strategies
E-learning</v>
      </c>
      <c r="D12" s="1" t="str">
        <f>'Thematic Analysis'!G15</f>
        <v>Program and Project Management
Project management
Green practices
Mitigation strategies
E-learning</v>
      </c>
      <c r="E12" s="1" t="s">
        <v>1025</v>
      </c>
      <c r="F12" s="1" t="s">
        <v>1088</v>
      </c>
      <c r="G12" s="1" t="str">
        <f>'Thematic Analysis'!$D15</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3" spans="1:7" s="6" customFormat="1" ht="330" x14ac:dyDescent="0.25">
      <c r="A13" s="2">
        <f t="shared" si="0"/>
        <v>9</v>
      </c>
      <c r="B13" s="1" t="str">
        <f>'Thematic Analysis'!E16</f>
        <v>Support for users
Alignment with initiatives
Cost savings</v>
      </c>
      <c r="C13" s="1" t="str">
        <f>'Thematic Analysis'!F16</f>
        <v>User training
Goal alignment
Expense reduction</v>
      </c>
      <c r="D13" s="1" t="str">
        <f>'Thematic Analysis'!G16</f>
        <v>Consumer Experience and Support
Goal alignment
Expense reduction</v>
      </c>
      <c r="E13" s="1" t="s">
        <v>1026</v>
      </c>
      <c r="F13" s="1" t="s">
        <v>1089</v>
      </c>
      <c r="G13" s="1" t="str">
        <f>'Thematic Analysis'!$D16</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4" spans="1:7" s="6" customFormat="1" ht="210" x14ac:dyDescent="0.25">
      <c r="A14" s="2">
        <f t="shared" si="0"/>
        <v>10</v>
      </c>
      <c r="B14" s="1" t="str">
        <f>'Thematic Analysis'!E17</f>
        <v>ICT Alignment
Governance
Investment plans
Business strategy</v>
      </c>
      <c r="C14" s="1" t="str">
        <f>'Thematic Analysis'!F17</f>
        <v>IT strategy
Policy framework
Capital allocation
Market analysis</v>
      </c>
      <c r="D14" s="1" t="str">
        <f>'Thematic Analysis'!G17</f>
        <v>Business Alignment
Policy framework
Capital allocation
Market analysis</v>
      </c>
      <c r="E14" s="1" t="s">
        <v>1027</v>
      </c>
      <c r="F14" s="1" t="s">
        <v>1090</v>
      </c>
      <c r="G14" s="1" t="str">
        <f>'Thematic Analysis'!$D17</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5" spans="1:7" s="6" customFormat="1" ht="390" x14ac:dyDescent="0.25">
      <c r="A15" s="2">
        <f t="shared" si="0"/>
        <v>11</v>
      </c>
      <c r="B15" s="1" t="str">
        <f>'Thematic Analysis'!E18</f>
        <v>ICT Alignment
Risk Identification
Dependency</v>
      </c>
      <c r="C15" s="1" t="str">
        <f>'Thematic Analysis'!F18</f>
        <v>IT strategy
Risk assessment
Contingency planning</v>
      </c>
      <c r="D15" s="1" t="str">
        <f>'Thematic Analysis'!G18</f>
        <v>Business Alignment
Risk assessment
Contingency planning</v>
      </c>
      <c r="E15" s="1" t="s">
        <v>1028</v>
      </c>
      <c r="F15" s="1" t="s">
        <v>1091</v>
      </c>
      <c r="G15" s="1" t="str">
        <f>'Thematic Analysis'!$D18</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6" spans="1:7" s="6" customFormat="1" ht="255" x14ac:dyDescent="0.25">
      <c r="A16" s="2">
        <f t="shared" si="0"/>
        <v>12</v>
      </c>
      <c r="B16" s="1" t="str">
        <f>'Thematic Analysis'!E19</f>
        <v>Evaluation criteria</v>
      </c>
      <c r="C16" s="1" t="str">
        <f>'Thematic Analysis'!F19</f>
        <v>Performance metrics</v>
      </c>
      <c r="D16" s="1" t="str">
        <f>'Thematic Analysis'!G19</f>
        <v>Consumer Experience and Support</v>
      </c>
      <c r="E16" s="6" t="s">
        <v>894</v>
      </c>
      <c r="F16" s="6" t="s">
        <v>825</v>
      </c>
      <c r="G16" s="1" t="str">
        <f>'Thematic Analysis'!$D19</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7" spans="1:7" s="6" customFormat="1" ht="75" x14ac:dyDescent="0.25">
      <c r="A17" s="2">
        <f t="shared" si="0"/>
        <v>13</v>
      </c>
      <c r="B17" s="1" t="str">
        <f>'Thematic Analysis'!E20</f>
        <v>Inclusion
Replacement
Procurement</v>
      </c>
      <c r="C17" s="1" t="str">
        <f>'Thematic Analysis'!F20</f>
        <v>Diversity programs
System swaps
Vendor management</v>
      </c>
      <c r="D17" s="1" t="str">
        <f>'Thematic Analysis'!G20</f>
        <v>Data and Information Management
System swaps
Vendor management</v>
      </c>
      <c r="E17" s="1" t="s">
        <v>1029</v>
      </c>
      <c r="F17" s="1" t="s">
        <v>1092</v>
      </c>
      <c r="G17" s="1" t="str">
        <f>'Thematic Analysis'!$D20</f>
        <v>They should only add new projects to their investment plan. When it's time to replace old systems, they can handle it through contracts with vendors.</v>
      </c>
    </row>
    <row r="18" spans="1:7" s="6" customFormat="1" ht="165" x14ac:dyDescent="0.25">
      <c r="A18" s="2">
        <f t="shared" si="0"/>
        <v>14</v>
      </c>
      <c r="B18" s="1" t="str">
        <f>'Thematic Analysis'!E21</f>
        <v>Implementation timeline
Systems implementation
Support for Consumers
Management information</v>
      </c>
      <c r="C18" s="1" t="str">
        <f>'Thematic Analysis'!F21</f>
        <v>Schedule adherence
Rollout plan
Customer service
BI systems</v>
      </c>
      <c r="D18" s="1" t="str">
        <f>'Thematic Analysis'!G21</f>
        <v>Future Planning and System Demand
Rollout plan
Customer service
BI systems</v>
      </c>
      <c r="E18" s="1" t="s">
        <v>1030</v>
      </c>
      <c r="F18" s="1" t="s">
        <v>1093</v>
      </c>
      <c r="G18" s="1" t="str">
        <f>'Thematic Analysis'!$D21</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9" spans="1:7" s="6" customFormat="1" ht="165" x14ac:dyDescent="0.25">
      <c r="A19" s="2">
        <f t="shared" si="0"/>
        <v>15</v>
      </c>
      <c r="B19" s="1" t="str">
        <f>'Thematic Analysis'!E22</f>
        <v>Collaboration
Consumer support
Employee management</v>
      </c>
      <c r="C19" s="1" t="str">
        <f>'Thematic Analysis'!F22</f>
        <v>Teamwork tools
Helpdesk
HR systems</v>
      </c>
      <c r="D19" s="1" t="str">
        <f>'Thematic Analysis'!G22</f>
        <v>Collaboration and Communication
Helpdesk
HR systems</v>
      </c>
      <c r="E19" s="1" t="s">
        <v>1031</v>
      </c>
      <c r="F19" s="1" t="s">
        <v>1094</v>
      </c>
      <c r="G19" s="1" t="str">
        <f>'Thematic Analysis'!$D22</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20" spans="1:7" s="6" customFormat="1" ht="165" x14ac:dyDescent="0.25">
      <c r="A20" s="2">
        <f t="shared" si="0"/>
        <v>16</v>
      </c>
      <c r="B20" s="1" t="str">
        <f>'Thematic Analysis'!E23</f>
        <v>User optimization
Information accessibility
Time efficiency</v>
      </c>
      <c r="C20" s="1" t="str">
        <f>'Thematic Analysis'!F23</f>
        <v>UX design
Open data
Time tracking</v>
      </c>
      <c r="D20" s="1" t="str">
        <f>'Thematic Analysis'!G23</f>
        <v>Consumer Experience and Support
Open data
Time tracking</v>
      </c>
      <c r="E20" s="1" t="s">
        <v>1032</v>
      </c>
      <c r="F20" s="1" t="s">
        <v>1095</v>
      </c>
      <c r="G20" s="1" t="str">
        <f>'Thematic Analysis'!$D23</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1" spans="1:7" s="6" customFormat="1" ht="105" x14ac:dyDescent="0.25">
      <c r="A21" s="2">
        <f t="shared" si="0"/>
        <v>17</v>
      </c>
      <c r="B21" s="1" t="str">
        <f>'Thematic Analysis'!E24</f>
        <v>Resource management
Capacity optimization
Planning</v>
      </c>
      <c r="C21" s="1" t="str">
        <f>'Thematic Analysis'!F24</f>
        <v>Asset allocation
Utilization metrics
Roadmap creation</v>
      </c>
      <c r="D21" s="1" t="str">
        <f>'Thematic Analysis'!G24</f>
        <v>Resource Management and Utilization
Utilization metrics
Roadmap creation</v>
      </c>
      <c r="E21" s="1" t="s">
        <v>1033</v>
      </c>
      <c r="F21" s="1" t="s">
        <v>1092</v>
      </c>
      <c r="G21" s="1" t="str">
        <f>'Thematic Analysis'!$D24</f>
        <v>Nursing Unit Manager (NUM) can plan patient care better when they know all the demands and resources. This includes patients from the emergency room, post-surgery, and transfers, as well as available beds and staff skills.</v>
      </c>
    </row>
    <row r="22" spans="1:7" s="6" customFormat="1" ht="105" x14ac:dyDescent="0.25">
      <c r="A22" s="2">
        <f t="shared" si="0"/>
        <v>18</v>
      </c>
      <c r="B22" s="1" t="str">
        <f>'Thematic Analysis'!E25</f>
        <v>Integrated analysis &amp; System outcome indicators
Resource availability
Financial management</v>
      </c>
      <c r="C22" s="1" t="str">
        <f>'Thematic Analysis'!F25</f>
        <v>BI dashboards
Inventory tracking
Accounting software</v>
      </c>
      <c r="D22" s="1" t="str">
        <f>'Thematic Analysis'!G25</f>
        <v>Compliance and Governance
Inventory tracking
Accounting software</v>
      </c>
      <c r="E22" s="1" t="s">
        <v>1034</v>
      </c>
      <c r="F22" s="1" t="s">
        <v>1096</v>
      </c>
      <c r="G22" s="1" t="str">
        <f>'Thematic Analysis'!$D25</f>
        <v>At hospital, area, and department executive levels, having a complete portfolio lets them look at health outcomes, service demand, resources, performance, and finances all together.</v>
      </c>
    </row>
    <row r="23" spans="1:7" s="6" customFormat="1" ht="105" x14ac:dyDescent="0.25">
      <c r="A23" s="2">
        <f t="shared" si="0"/>
        <v>19</v>
      </c>
      <c r="B23" s="1" t="str">
        <f>'Thematic Analysis'!E26</f>
        <v>Priority areas &amp; Resource allocation
Funding availability
Core function delivery &amp; Urgent issue resolution</v>
      </c>
      <c r="C23" s="1" t="str">
        <f>'Thematic Analysis'!F26</f>
        <v>Strategic planning
Budgeting
Crisis management</v>
      </c>
      <c r="D23" s="1" t="str">
        <f>'Thematic Analysis'!G26</f>
        <v>Risk Identification and Management
Budgeting
Crisis management</v>
      </c>
      <c r="E23" s="1" t="s">
        <v>1035</v>
      </c>
      <c r="F23" s="1" t="s">
        <v>1097</v>
      </c>
      <c r="G23" s="1" t="str">
        <f>'Thematic Analysis'!$D26</f>
        <v>The ICT Strategy focuses on key areas and will address them as resources allow. Other initiatives will only be added if they don't affect these core functions or if there's an urgent need.</v>
      </c>
    </row>
    <row r="24" spans="1:7" s="6" customFormat="1" ht="105" x14ac:dyDescent="0.25">
      <c r="A24" s="2">
        <f t="shared" si="0"/>
        <v>20</v>
      </c>
      <c r="B24" s="1" t="str">
        <f>'Thematic Analysis'!E27</f>
        <v>Workflow improvement
Decision support
Resource management
Information accessibility</v>
      </c>
      <c r="C24" s="1" t="str">
        <f>'Thematic Analysis'!F27</f>
        <v>Process optimization
AI tools
Asset allocation
Open data</v>
      </c>
      <c r="D24" s="1" t="str">
        <f>'Thematic Analysis'!G27</f>
        <v>Operational Effectiveness and Efficiency
AI tools
Asset allocation
Open data</v>
      </c>
      <c r="E24" s="1" t="s">
        <v>1036</v>
      </c>
      <c r="F24" s="1" t="s">
        <v>1098</v>
      </c>
      <c r="G24" s="1" t="str">
        <f>'Thematic Analysis'!$D27</f>
        <v>By 2011, clinical departments will have improved systems for workflow, decision-making support, and accessing necessary information. This helps clinicians make better decisions for patients, leading to safer care</v>
      </c>
    </row>
    <row r="25" spans="1:7" s="6" customFormat="1" ht="105" x14ac:dyDescent="0.25">
      <c r="A25" s="2">
        <f t="shared" si="0"/>
        <v>21</v>
      </c>
      <c r="B25" s="1" t="str">
        <f>'Thematic Analysis'!E28</f>
        <v>Integration of core systems
Information accessibility
Resource management</v>
      </c>
      <c r="C25" s="1" t="str">
        <f>'Thematic Analysis'!F28</f>
        <v>Middleware
Open data
Asset allocation</v>
      </c>
      <c r="D25" s="1" t="str">
        <f>'Thematic Analysis'!G28</f>
        <v>System Deployment and Integration
Open data
Asset allocation</v>
      </c>
      <c r="E25" s="1" t="s">
        <v>1037</v>
      </c>
      <c r="F25" s="1" t="s">
        <v>1099</v>
      </c>
      <c r="G25" s="1" t="str">
        <f>'Thematic Analysis'!$D28</f>
        <v>Integrated hospital systems mean information is collected once and available to all, reducing handover issues and improving resource management for smoother patient care.</v>
      </c>
    </row>
    <row r="26" spans="1:7" s="6" customFormat="1" ht="240" x14ac:dyDescent="0.25">
      <c r="A26" s="2">
        <f t="shared" si="0"/>
        <v>22</v>
      </c>
      <c r="B26" s="1" t="str">
        <f>'Thematic Analysis'!E29</f>
        <v>Integration of systems
Information accessibility
Resource management
Standardized information
Collaboration</v>
      </c>
      <c r="C26" s="1" t="str">
        <f>'Thematic Analysis'!F29</f>
        <v>System merger
Open data
Asset allocation
Data governance
Teamwork tools</v>
      </c>
      <c r="D26" s="1" t="str">
        <f>'Thematic Analysis'!G29</f>
        <v>System Deployment and Integration
Open data
Asset allocation
Data governance
Teamwork tools</v>
      </c>
      <c r="E26" s="1" t="s">
        <v>1038</v>
      </c>
      <c r="F26" s="1" t="s">
        <v>1100</v>
      </c>
      <c r="G26" s="1" t="str">
        <f>'Thematic Analysis'!$D29</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7" spans="1:7" s="6" customFormat="1" ht="180" x14ac:dyDescent="0.25">
      <c r="A27" s="2">
        <f t="shared" si="0"/>
        <v>23</v>
      </c>
      <c r="B27" s="1" t="str">
        <f>'Thematic Analysis'!E30</f>
        <v>Systems implementation
Standardized information access
Resource utilization
Management of future demand</v>
      </c>
      <c r="C27" s="1" t="str">
        <f>'Thematic Analysis'!F30</f>
        <v>Rollout plan
Uniform interfaces
Efficient usage
Forecasting</v>
      </c>
      <c r="D27" s="1" t="str">
        <f>'Thematic Analysis'!G30</f>
        <v>System Deployment and Integration
Uniform interfaces
Efficient usage
Forecasting</v>
      </c>
      <c r="E27" s="1" t="s">
        <v>1039</v>
      </c>
      <c r="F27" s="1" t="s">
        <v>1101</v>
      </c>
      <c r="G27" s="1" t="str">
        <f>'Thematic Analysis'!$D30</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8" spans="1:7" s="6" customFormat="1" ht="150" x14ac:dyDescent="0.25">
      <c r="A28" s="2">
        <f t="shared" si="0"/>
        <v>24</v>
      </c>
      <c r="B28" s="1" t="str">
        <f>'Thematic Analysis'!E31</f>
        <v>Increased services demand
Service delivery
System projections</v>
      </c>
      <c r="C28" s="1" t="str">
        <f>'Thematic Analysis'!F31</f>
        <v>Scalability
Operational efficiency
Futureproofing</v>
      </c>
      <c r="D28" s="1" t="str">
        <f>'Thematic Analysis'!G31</f>
        <v>Data and Information Management
Operational efficiency
Futureproofing</v>
      </c>
      <c r="E28" s="1" t="s">
        <v>1040</v>
      </c>
      <c r="F28" s="1" t="s">
        <v>1099</v>
      </c>
      <c r="G28" s="1" t="str">
        <f>'Thematic Analysis'!$D31</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9" spans="1:7" s="6" customFormat="1" ht="60" x14ac:dyDescent="0.25">
      <c r="A29" s="2">
        <f t="shared" si="0"/>
        <v>25</v>
      </c>
      <c r="B29" s="1" t="str">
        <f>'Thematic Analysis'!E32</f>
        <v>Staff shortages
Critical areas
User capacity</v>
      </c>
      <c r="C29" s="1" t="str">
        <f>'Thematic Analysis'!F32</f>
        <v>Recruitment
Focus areas
Data expansion</v>
      </c>
      <c r="D29" s="1" t="str">
        <f>'Thematic Analysis'!G32</f>
        <v>System Maintenance and Support
Focus areas
Data expansion</v>
      </c>
      <c r="E29" s="1" t="s">
        <v>1041</v>
      </c>
      <c r="F29" s="1" t="s">
        <v>1091</v>
      </c>
      <c r="G29" s="1" t="str">
        <f>'Thematic Analysis'!$D32</f>
        <v>Staff shortages in critical areas such as nursing and medicine Hospitals running at maximum capacity</v>
      </c>
    </row>
    <row r="30" spans="1:7" s="6" customFormat="1" ht="120" x14ac:dyDescent="0.25">
      <c r="A30" s="2">
        <f t="shared" si="0"/>
        <v>26</v>
      </c>
      <c r="B30" s="1" t="str">
        <f>'Thematic Analysis'!E33</f>
        <v>Increase database
Rising system usage
Future system demand</v>
      </c>
      <c r="C30" s="1" t="str">
        <f>'Thematic Analysis'!F33</f>
        <v>Load balancing
Capacity planning
Knowledge base</v>
      </c>
      <c r="D30" s="1" t="str">
        <f>'Thematic Analysis'!G33</f>
        <v>Data and Information Management
Capacity planning
Knowledge base</v>
      </c>
      <c r="E30" s="1" t="s">
        <v>1042</v>
      </c>
      <c r="F30" s="1" t="s">
        <v>1102</v>
      </c>
      <c r="G30" s="1" t="str">
        <f>'Thematic Analysis'!$D33</f>
        <v>The rate of chronic diseases like heart disease, lung disease, diabetes, and cancer is rising. Obesity is becoming more common among young people, and our increasingly globalized society raises the risk of pandemics.</v>
      </c>
    </row>
    <row r="31" spans="1:7" s="6" customFormat="1" ht="60" x14ac:dyDescent="0.25">
      <c r="A31" s="2">
        <f t="shared" si="0"/>
        <v>27</v>
      </c>
      <c r="B31" s="1" t="str">
        <f>'Thematic Analysis'!E34</f>
        <v>Knowledge management
IT system advancement</v>
      </c>
      <c r="C31" s="1" t="str">
        <f>'Thematic Analysis'!F34</f>
        <v>Technological innovation
Cost-benefit analysis</v>
      </c>
      <c r="D31" s="1" t="str">
        <f>'Thematic Analysis'!G34</f>
        <v>Data and Information Management
Cost-benefit analysis</v>
      </c>
      <c r="E31" s="1" t="s">
        <v>1043</v>
      </c>
      <c r="F31" s="1" t="s">
        <v>1103</v>
      </c>
      <c r="G31" s="1" t="str">
        <f>'Thematic Analysis'!$D34</f>
        <v>An increasing body of medical knowledge that staff cannot manage and
use without advanced IT systems</v>
      </c>
    </row>
    <row r="32" spans="1:7" s="6" customFormat="1" ht="60" x14ac:dyDescent="0.25">
      <c r="A32" s="2">
        <f t="shared" si="0"/>
        <v>28</v>
      </c>
      <c r="B32" s="1" t="str">
        <f>'Thematic Analysis'!E35</f>
        <v>Expensive technologies
Costly materials</v>
      </c>
      <c r="C32" s="1" t="str">
        <f>'Thematic Analysis'!F35</f>
        <v>Cost control
Education</v>
      </c>
      <c r="D32" s="1" t="str">
        <f>'Thematic Analysis'!G35</f>
        <v>Future Planning and System Demand
Education</v>
      </c>
      <c r="E32" s="1" t="s">
        <v>1044</v>
      </c>
      <c r="F32" s="1" t="s">
        <v>1104</v>
      </c>
      <c r="G32" s="1" t="str">
        <f>'Thematic Analysis'!$D35</f>
        <v>Health services are increasingly challenged by more expensive medical technologies and pharmaceuticals</v>
      </c>
    </row>
    <row r="33" spans="1:7" s="6" customFormat="1" ht="60" x14ac:dyDescent="0.25">
      <c r="A33" s="2">
        <f t="shared" si="0"/>
        <v>29</v>
      </c>
      <c r="B33" s="1" t="str">
        <f>'Thematic Analysis'!E36</f>
        <v>Informed consumers
High expectations
Complex needs problems</v>
      </c>
      <c r="C33" s="1" t="str">
        <f>'Thematic Analysis'!F36</f>
        <v>Customer satisfaction
Problem-solving
Compliance audits</v>
      </c>
      <c r="D33" s="1" t="str">
        <f>'Thematic Analysis'!G36</f>
        <v>System Deployment and Integration
Problem-solving
Compliance audits</v>
      </c>
      <c r="E33" s="1" t="s">
        <v>1045</v>
      </c>
      <c r="F33" s="1" t="s">
        <v>1105</v>
      </c>
      <c r="G33" s="1" t="str">
        <f>'Thematic Analysis'!$D36</f>
        <v>Consumers are becoming more informed, have higher expectations and more complex problems</v>
      </c>
    </row>
    <row r="34" spans="1:7" s="6" customFormat="1" ht="165" x14ac:dyDescent="0.25">
      <c r="A34" s="2">
        <f t="shared" si="0"/>
        <v>30</v>
      </c>
      <c r="B34" s="1" t="str">
        <f>'Thematic Analysis'!E37</f>
        <v>Quality &amp; Safety standards
High user rates
Safe working capacity</v>
      </c>
      <c r="C34" s="1" t="str">
        <f>'Thematic Analysis'!F37</f>
        <v>Load testing
Occupational safety
SOPs</v>
      </c>
      <c r="D34" s="1" t="str">
        <f>'Thematic Analysis'!G37</f>
        <v>Operational Effectiveness and Efficiency
Occupational safety
SOPs</v>
      </c>
      <c r="E34" s="1" t="s">
        <v>1046</v>
      </c>
      <c r="F34" s="1" t="s">
        <v>1106</v>
      </c>
      <c r="G34" s="1" t="str">
        <f>'Thematic Analysis'!$D37</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5" spans="1:7" s="6" customFormat="1" ht="105" x14ac:dyDescent="0.25">
      <c r="A35" s="2">
        <f t="shared" si="0"/>
        <v>31</v>
      </c>
      <c r="B35" s="1" t="str">
        <f>'Thematic Analysis'!E38</f>
        <v>Communication
Policies &amp; Procedures
Skills and competence
Work scheduling</v>
      </c>
      <c r="C35" s="1" t="str">
        <f>'Thematic Analysis'!F38</f>
        <v>Collaboration tools
Training programs
Roster management
System investment</v>
      </c>
      <c r="D35" s="1" t="str">
        <f>'Thematic Analysis'!G38</f>
        <v>Standardization and Streamlining Processes
Training programs
Roster management
System investment</v>
      </c>
      <c r="E35" s="1" t="s">
        <v>1047</v>
      </c>
      <c r="F35" s="1" t="s">
        <v>1107</v>
      </c>
      <c r="G35" s="1" t="str">
        <f>'Thematic Analysis'!$D38</f>
        <v>The key factors that cause these adverse events are:
_x0001_ Communication
_x0001_ Policies and procedures
_x0001_ Knowledge, skills and competence issues
_x0001_ Work scheduling</v>
      </c>
    </row>
    <row r="36" spans="1:7" s="6" customFormat="1" ht="105" x14ac:dyDescent="0.25">
      <c r="A36" s="2">
        <f t="shared" si="0"/>
        <v>32</v>
      </c>
      <c r="B36" s="1" t="str">
        <f>'Thematic Analysis'!E39</f>
        <v>Lack of core ICT systems
System reform</v>
      </c>
      <c r="C36" s="1" t="str">
        <f>'Thematic Analysis'!F39</f>
        <v>Overhaul
Budget reallocation</v>
      </c>
      <c r="D36" s="1" t="str">
        <f>'Thematic Analysis'!G39</f>
        <v>System and Technology Improvement
Budget reallocation</v>
      </c>
      <c r="E36" s="1" t="s">
        <v>1048</v>
      </c>
      <c r="F36" s="1" t="s">
        <v>1104</v>
      </c>
      <c r="G36" s="1" t="str">
        <f>'Thematic Analysis'!$D39</f>
        <v>Clinical ICT is becoming an increasingly important enabler of health
system reform, yet the core systems to underpin reform are not
currently in place.</v>
      </c>
    </row>
    <row r="37" spans="1:7" s="6" customFormat="1" ht="150" x14ac:dyDescent="0.25">
      <c r="A37" s="2">
        <f t="shared" si="0"/>
        <v>33</v>
      </c>
      <c r="B37" s="1" t="str">
        <f>'Thematic Analysis'!E40</f>
        <v>Constraints in funding
Skilled project management
Capacity for large-scale change</v>
      </c>
      <c r="C37" s="1" t="str">
        <f>'Thematic Analysis'!F40</f>
        <v>PMP certification
Change management
Prioritization</v>
      </c>
      <c r="D37" s="1" t="str">
        <f>'Thematic Analysis'!G40</f>
        <v>Consumer Experience and Support
Change management
Prioritization</v>
      </c>
      <c r="E37" s="1" t="s">
        <v>1049</v>
      </c>
      <c r="F37" s="1" t="s">
        <v>1108</v>
      </c>
      <c r="G37" s="1" t="str">
        <f>'Thematic Analysis'!$D40</f>
        <v>Constraints in capital and recurrent funding, skilled project
management and implementation resources and capacity of the health
systems to accommodate large scale change all restrict the potential
speed of implementation of core systems.</v>
      </c>
    </row>
    <row r="38" spans="1:7" s="6" customFormat="1" ht="105" x14ac:dyDescent="0.25">
      <c r="A38" s="2">
        <f t="shared" ref="A38:A70" si="1">A37+1</f>
        <v>34</v>
      </c>
      <c r="B38" s="1" t="str">
        <f>'Thematic Analysis'!E41</f>
        <v>Competing demands for ICT funds
Priority determination
Project scheduling complexity</v>
      </c>
      <c r="C38" s="1" t="str">
        <f>'Thematic Analysis'!F41</f>
        <v>Value assessment
Gantt charts
Problem clustering</v>
      </c>
      <c r="D38" s="1" t="str">
        <f>'Thematic Analysis'!G41</f>
        <v>Consumer Experience and Support
Gantt charts
Problem clustering</v>
      </c>
      <c r="E38" s="1" t="s">
        <v>1050</v>
      </c>
      <c r="F38" s="1" t="s">
        <v>1108</v>
      </c>
      <c r="G38" s="1" t="str">
        <f>'Thematic Analysis'!$D41</f>
        <v>There are many competing demands for ICT funds. Deciding which projects to prioritize and schedule is complex and needs ongoing review to ensure funds are allocated where they will be most beneficial.</v>
      </c>
    </row>
    <row r="39" spans="1:7" s="6" customFormat="1" ht="105" x14ac:dyDescent="0.25">
      <c r="A39" s="2">
        <f t="shared" si="1"/>
        <v>35</v>
      </c>
      <c r="B39" s="1" t="str">
        <f>'Thematic Analysis'!E42</f>
        <v>Convergence of issues
Significant risk environment
Need for service delivery change</v>
      </c>
      <c r="C39" s="1" t="str">
        <f>'Thematic Analysis'!F42</f>
        <v>Risk mitigation
Transformation
Talent acquisition</v>
      </c>
      <c r="D39" s="1" t="str">
        <f>'Thematic Analysis'!G42</f>
        <v>Consumer Experience and Support
Transformation
Talent acquisition</v>
      </c>
      <c r="E39" s="1" t="s">
        <v>1051</v>
      </c>
      <c r="F39" s="1" t="s">
        <v>1089</v>
      </c>
      <c r="G39" s="1" t="str">
        <f>'Thematic Analysis'!$D42</f>
        <v>NSW Health needs to change how it delivers services to meet these challenges. They've started a big reform program and need the right IT solutions to support staff and make these changes last</v>
      </c>
    </row>
    <row r="40" spans="1:7" s="6" customFormat="1" ht="135" x14ac:dyDescent="0.25">
      <c r="A40" s="2">
        <f t="shared" si="1"/>
        <v>36</v>
      </c>
      <c r="B40" s="1" t="str">
        <f>'Thematic Analysis'!E43</f>
        <v>Demand for services
Workforce shortages
Government priorities
ICT strategies</v>
      </c>
      <c r="C40" s="1" t="str">
        <f>'Thematic Analysis'!F43</f>
        <v>Policy alignment
Talent acquisition
Policy alignment
IT roadmaps</v>
      </c>
      <c r="D40" s="1" t="str">
        <f>'Thematic Analysis'!G43</f>
        <v>System Deployment and Integration
Talent acquisition
Policy alignment
IT roadmaps</v>
      </c>
      <c r="E40" s="1" t="s">
        <v>1052</v>
      </c>
      <c r="F40" s="1" t="s">
        <v>1109</v>
      </c>
      <c r="G40" s="1" t="str">
        <f>'Thematic Analysis'!$D43</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1" spans="1:7" s="6" customFormat="1" ht="135" x14ac:dyDescent="0.25">
      <c r="A41" s="2">
        <f t="shared" si="1"/>
        <v>37</v>
      </c>
      <c r="B41" s="1" t="str">
        <f>'Thematic Analysis'!E44</f>
        <v>Alignment with Results and Services Plan
Support for strategic programs
Alignment with reform programs
Consideration of whole-of-government strategies</v>
      </c>
      <c r="C41" s="1" t="str">
        <f>'Thematic Analysis'!F44</f>
        <v>Goal alignment
Strategic backing
Change alignment
Holistic approach</v>
      </c>
      <c r="D41" s="1" t="str">
        <f>'Thematic Analysis'!G44</f>
        <v>Business Alignment
Strategic backing
Change alignment
Holistic approach</v>
      </c>
      <c r="E41" s="1" t="s">
        <v>1053</v>
      </c>
      <c r="F41" s="1" t="s">
        <v>1090</v>
      </c>
      <c r="G41" s="1" t="str">
        <f>'Thematic Analysis'!$D44</f>
        <v>The Results and Services Plan guides everything in NSW Health. There are other plans helping out too. The ICT Strategic Plan is one of them, making sure it works well with the main plan. They also look at what the whole government and the country are doing.</v>
      </c>
    </row>
    <row r="42" spans="1:7" s="6" customFormat="1" ht="345" x14ac:dyDescent="0.25">
      <c r="A42" s="2">
        <f t="shared" si="1"/>
        <v>38</v>
      </c>
      <c r="B42" s="1" t="str">
        <f>'Thematic Analysis'!E45</f>
        <v>Preventative solutions
User experience
Future benefits
Strengthening relationships
Costs of services
Sustainable Workforce
New risk potential</v>
      </c>
      <c r="C42" s="1" t="str">
        <f>'Thematic Analysis'!F45</f>
        <v>Proactive measures
UX design
Long-term planning
Stakeholder engagement
Expense management
HR planning
Risk forecasting</v>
      </c>
      <c r="D42" s="1" t="str">
        <f>'Thematic Analysis'!G45</f>
        <v>Financial Management and Budgeting
UX design
Long-term planning
Stakeholder engagement
Expense management
HR planning
Risk forecasting</v>
      </c>
      <c r="E42" s="1" t="s">
        <v>1054</v>
      </c>
      <c r="F42" s="1" t="s">
        <v>1110</v>
      </c>
      <c r="G42" s="1" t="str">
        <f>'Thematic Analysis'!$D45</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3" spans="1:7" s="6" customFormat="1" ht="150" x14ac:dyDescent="0.25">
      <c r="A43" s="2">
        <f t="shared" si="1"/>
        <v>39</v>
      </c>
      <c r="B43" s="1" t="str">
        <f>'Thematic Analysis'!E46</f>
        <v>Reducing risk factors
Preventing consumer issues
Interventions for high-risk consumers</v>
      </c>
      <c r="C43" s="1" t="str">
        <f>'Thematic Analysis'!F46</f>
        <v>Preventive measures
Customer care
Targeted support</v>
      </c>
      <c r="D43" s="1" t="str">
        <f>'Thematic Analysis'!G46</f>
        <v>Risk Identification and Management
Customer care
Targeted support</v>
      </c>
      <c r="E43" s="1" t="s">
        <v>1055</v>
      </c>
      <c r="F43" s="1" t="s">
        <v>1095</v>
      </c>
      <c r="G43" s="1" t="str">
        <f>'Thematic Analysis'!$D46</f>
        <v>NSW Health wants to prevent sickness and promote good health habits. They're focusing on getting more people vaccinated and helping those at risk for diseases like diabetes. ICT can help by sending alerts about things like missed vaccinations or overdue check-ups</v>
      </c>
    </row>
    <row r="44" spans="1:7" s="6" customFormat="1" ht="150" x14ac:dyDescent="0.25">
      <c r="A44" s="2">
        <f t="shared" si="1"/>
        <v>40</v>
      </c>
      <c r="B44" s="1" t="str">
        <f>'Thematic Analysis'!E47</f>
        <v>Availability of services
Effectiveness of services
Coordination of care
Supporting new care models
Sustainability of reform
Information flow along consumer journey
Consumer experience improvement
Appropriate consumer delivery</v>
      </c>
      <c r="C44" s="1" t="str">
        <f>'Thematic Analysis'!F47</f>
        <v>Service uptime
Performance metrics
Integrated care
Innovative healthcare
Continuous improvement
Data mapping
UX enhancement
Tailored services</v>
      </c>
      <c r="D44" s="1" t="str">
        <f>'Thematic Analysis'!G47</f>
        <v>Business Alignment
Performance metrics
Integrated care
Innovative healthcare
Continuous improvement
Data mapping
UX enhancement
Tailored services</v>
      </c>
      <c r="E44" s="1" t="s">
        <v>1056</v>
      </c>
      <c r="F44" s="1" t="s">
        <v>1111</v>
      </c>
      <c r="G44" s="1" t="str">
        <f>'Thematic Analysis'!$D47</f>
        <v>NSW Health wants to make sure everyone gets the care they need, when they need it. They're using tech to support new ways of caring for people and making sure changes stick. Better info during your care journey means a better experience and getting the right care.</v>
      </c>
    </row>
    <row r="45" spans="1:7" s="6" customFormat="1" ht="120" x14ac:dyDescent="0.25">
      <c r="A45" s="2">
        <f t="shared" si="1"/>
        <v>41</v>
      </c>
      <c r="B45" s="1" t="str">
        <f>'Thematic Analysis'!E48</f>
        <v>Complexity and duplication in service delivery
Need for improved collaboration
Enhancement of coordination
Quality and safety improvement
Appropriate resource utilization</v>
      </c>
      <c r="C45" s="1" t="str">
        <f>'Thematic Analysis'!F48</f>
        <v>Process simplification
Teamwork enhancement
Integrated systems
Quality assurance
Optimal allocation</v>
      </c>
      <c r="D45" s="1" t="str">
        <f>'Thematic Analysis'!G48</f>
        <v>Compliance and Governance
Teamwork enhancement
Integrated systems
Quality assurance
Optimal allocation</v>
      </c>
      <c r="E45" s="1" t="s">
        <v>1057</v>
      </c>
      <c r="F45" s="1" t="s">
        <v>1112</v>
      </c>
      <c r="G45" s="1" t="str">
        <f>'Thematic Analysis'!$D48</f>
        <v>NSW Health aims to improve healthcare by working better together. They're using tech to help everyone collaborate and use resources wisely. That means better tools for healthcare workers and making sure everyone gets great care.</v>
      </c>
    </row>
    <row r="46" spans="1:7" s="6" customFormat="1" ht="90" x14ac:dyDescent="0.25">
      <c r="A46" s="2">
        <f t="shared" si="1"/>
        <v>42</v>
      </c>
      <c r="B46" s="1" t="str">
        <f>'Thematic Analysis'!E49</f>
        <v>Constraints and opportunities
Alignment with national initiatives</v>
      </c>
      <c r="C46" s="1" t="str">
        <f>'Thematic Analysis'!F49</f>
        <v>SWOT analysis
Policy coherence</v>
      </c>
      <c r="D46" s="1" t="str">
        <f>'Thematic Analysis'!G49</f>
        <v>Financial Management and Budgeting
Policy coherence</v>
      </c>
      <c r="E46" s="1" t="s">
        <v>1058</v>
      </c>
      <c r="F46" s="1" t="s">
        <v>1113</v>
      </c>
      <c r="G46" s="1" t="str">
        <f>'Thematic Analysis'!$D49</f>
        <v>The NSW Government's IT setup influences NSW Health's ICT plan. They aim to make sure NSW initiatives match up with and sometimes even help shape national and statewide plans</v>
      </c>
    </row>
    <row r="47" spans="1:7" s="6" customFormat="1" ht="240" x14ac:dyDescent="0.25">
      <c r="A47" s="2">
        <f t="shared" si="1"/>
        <v>43</v>
      </c>
      <c r="B47" s="1" t="str">
        <f>'Thematic Analysis'!E50</f>
        <v>New directions for IT
Primary goals of Executive Council</v>
      </c>
      <c r="C47" s="1" t="str">
        <f>'Thematic Analysis'!F50</f>
        <v>Tech trends
Leadership vision</v>
      </c>
      <c r="D47" s="1" t="str">
        <f>'Thematic Analysis'!G50</f>
        <v>System and Technology Improvement
Leadership vision</v>
      </c>
      <c r="E47" s="1" t="s">
        <v>1059</v>
      </c>
      <c r="F47" s="1" t="s">
        <v>1113</v>
      </c>
      <c r="G47" s="1" t="str">
        <f>'Thematic Analysis'!$D50</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8" spans="1:7" s="6" customFormat="1" ht="180" x14ac:dyDescent="0.25">
      <c r="A48" s="2">
        <f t="shared" si="1"/>
        <v>44</v>
      </c>
      <c r="B48" s="1" t="str">
        <f>'Thematic Analysis'!E51</f>
        <v>Government priorities
Reform agenda
Business reform
Improvements to Indigenous consumers
Preventative services</v>
      </c>
      <c r="C48" s="1" t="str">
        <f>'Thematic Analysis'!F51</f>
        <v>Policy alignment
Change strategy
Organizational change
Inclusive services
Early intervention</v>
      </c>
      <c r="D48" s="1" t="str">
        <f>'Thematic Analysis'!G51</f>
        <v>System Deployment and Integration
Change strategy
Organizational change
Inclusive services
Early intervention</v>
      </c>
      <c r="E48" s="1" t="s">
        <v>1060</v>
      </c>
      <c r="F48" s="1" t="s">
        <v>1114</v>
      </c>
      <c r="G48" s="1" t="str">
        <f>'Thematic Analysis'!$D51</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9" spans="1:7" s="6" customFormat="1" ht="255" x14ac:dyDescent="0.25">
      <c r="A49" s="2">
        <f t="shared" si="1"/>
        <v>45</v>
      </c>
      <c r="B49" s="1" t="str">
        <f>'Thematic Analysis'!E52</f>
        <v>Collaboration across jurisdictions
Consistency in systems approaches
National information network
Regulatory frameworks</v>
      </c>
      <c r="C49" s="1" t="str">
        <f>'Thematic Analysis'!F52</f>
        <v>Cross-border teamwork
Uniform methods
Centralized data
Legal compliance</v>
      </c>
      <c r="D49" s="1" t="str">
        <f>'Thematic Analysis'!G52</f>
        <v>Collaboration and Communication
Uniform methods
Centralized data
Legal compliance</v>
      </c>
      <c r="E49" s="1" t="s">
        <v>1061</v>
      </c>
      <c r="F49" s="1" t="s">
        <v>1115</v>
      </c>
      <c r="G49" s="1" t="str">
        <f>'Thematic Analysis'!$D52</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50" spans="1:7" s="6" customFormat="1" ht="210" x14ac:dyDescent="0.25">
      <c r="A50" s="2">
        <f t="shared" si="1"/>
        <v>46</v>
      </c>
      <c r="B50" s="1" t="str">
        <f>'Thematic Analysis'!E53</f>
        <v>ICT standards
ICT strategic plan
Interoperability
Standardized information
Unique Identifiers
Individual Electronic Record
Identity management standards
Secure messaging
Supply chain management</v>
      </c>
      <c r="C50" s="1" t="str">
        <f>'Thematic Analysis'!F53</f>
        <v>Protocol adherence
IT blueprint
API integration
Data governance
Identity codes
Personal data
Security protocols
Encrypted communication
Logistics control</v>
      </c>
      <c r="D50" s="1" t="str">
        <f>'Thematic Analysis'!G53</f>
        <v>Implementation Challenges and Delays
IT blueprint
API integration
Data governance
Identity codes
Personal data
Security protocols
Encrypted communication
Logistics control</v>
      </c>
      <c r="E50" s="1" t="s">
        <v>1062</v>
      </c>
      <c r="F50" s="1" t="s">
        <v>1116</v>
      </c>
      <c r="G50" s="1" t="str">
        <f>'Thematic Analysis'!$D53</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1" spans="1:7" s="6" customFormat="1" ht="120" x14ac:dyDescent="0.25">
      <c r="A51" s="2">
        <f t="shared" si="1"/>
        <v>47</v>
      </c>
      <c r="B51" s="1" t="str">
        <f>'Thematic Analysis'!E54</f>
        <v>Corporate reform program
ICT reform program
Implementation of IT solutions</v>
      </c>
      <c r="C51" s="1" t="str">
        <f>'Thematic Analysis'!F54</f>
        <v>Business transformation
IT overhaul
Tech deployment</v>
      </c>
      <c r="D51" s="1" t="str">
        <f>'Thematic Analysis'!G54</f>
        <v>Financial Management and Budgeting
IT overhaul
Tech deployment</v>
      </c>
      <c r="E51" s="1" t="s">
        <v>1063</v>
      </c>
      <c r="F51" s="1" t="s">
        <v>1097</v>
      </c>
      <c r="G51" s="1" t="str">
        <f>'Thematic Analysis'!$D54</f>
        <v>To tackle challenges and prepare for the future, NSW Health is changing how it delivers services. Implementing IT solutions to support staff and integrate business processes is key for sustainable service delivery changes.</v>
      </c>
    </row>
    <row r="52" spans="1:7" s="6" customFormat="1" ht="195" x14ac:dyDescent="0.25">
      <c r="A52" s="2">
        <f t="shared" si="1"/>
        <v>48</v>
      </c>
      <c r="B52" s="1" t="str">
        <f>'Thematic Analysis'!E55</f>
        <v>Development of ICT strategy
Investment priorities
Budget negotiation
Program delivery</v>
      </c>
      <c r="C52" s="1" t="str">
        <f>'Thematic Analysis'!F55</f>
        <v>IT planning
Capital focus
Financial planning
Execution</v>
      </c>
      <c r="D52" s="1" t="str">
        <f>'Thematic Analysis'!G55</f>
        <v>Collaboration and Communication
Capital focus
Financial planning
Execution</v>
      </c>
      <c r="E52" s="1" t="s">
        <v>1064</v>
      </c>
      <c r="F52" s="1" t="s">
        <v>1090</v>
      </c>
      <c r="G52" s="1" t="str">
        <f>'Thematic Analysis'!$D55</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3" spans="1:7" s="6" customFormat="1" ht="120" x14ac:dyDescent="0.25">
      <c r="A53" s="2">
        <f t="shared" si="1"/>
        <v>49</v>
      </c>
      <c r="B53" s="1" t="str">
        <f>'Thematic Analysis'!E56</f>
        <v>Responsibilities of Support Services
Implementation of system
Maintenance of systems
Support for Consumers
Hardware management
Software management</v>
      </c>
      <c r="C53" s="1" t="str">
        <f>'Thematic Analysis'!F56</f>
        <v>Service scope
System rollout
Upkeep
Customer service
Device control
Application administration</v>
      </c>
      <c r="D53" s="1" t="str">
        <f>'Thematic Analysis'!G56</f>
        <v>Policy and Organizational Reform
System rollout
Upkeep
Customer service
Device control
Application administration</v>
      </c>
      <c r="E53" s="1" t="s">
        <v>1065</v>
      </c>
      <c r="F53" s="1" t="s">
        <v>1117</v>
      </c>
      <c r="G53" s="1" t="str">
        <f>'Thematic Analysis'!$D56</f>
        <v>Health Support Services sets up and maintains key computer systems for healthcare. They give specific IT help to Area Health Services as defined by the law. This includes managing computers, software, and helping with setting up systems.</v>
      </c>
    </row>
    <row r="54" spans="1:7" s="6" customFormat="1" ht="105" x14ac:dyDescent="0.25">
      <c r="A54" s="2">
        <f t="shared" si="1"/>
        <v>50</v>
      </c>
      <c r="B54" s="1" t="str">
        <f>'Thematic Analysis'!E57</f>
        <v>Responsibilities of Services
Local implementations
Change management
Staff training
Benefits realization</v>
      </c>
      <c r="C54" s="1" t="str">
        <f>'Thematic Analysis'!F57</f>
        <v>Service tasks
Regional rollout
Transition planning
Employee development
Outcome tracking</v>
      </c>
      <c r="D54" s="1" t="str">
        <f>'Thematic Analysis'!G57</f>
        <v>Policy and Organizational Reform
Regional rollout
Transition planning
Employee development
Outcome tracking</v>
      </c>
      <c r="E54" s="1" t="s">
        <v>1066</v>
      </c>
      <c r="F54" s="1" t="s">
        <v>1118</v>
      </c>
      <c r="G54" s="1" t="str">
        <f>'Thematic Analysis'!$D57</f>
        <v>Area Health Services are responsible for the management of local
implementations, change management and training of staff and benefits
realisation.</v>
      </c>
    </row>
    <row r="55" spans="1:7" s="6" customFormat="1" ht="105" x14ac:dyDescent="0.25">
      <c r="A55" s="2">
        <f t="shared" si="1"/>
        <v>51</v>
      </c>
      <c r="B55" s="1" t="str">
        <f>'Thematic Analysis'!E58</f>
        <v>Prioritization of programs and projects
Sound investment decisions
Benefit to the organization
Common processes across ICT
Collaborative framework</v>
      </c>
      <c r="C55" s="1" t="str">
        <f>'Thematic Analysis'!F58</f>
        <v>Strategic focus
ROI analysis
Value creation
Standardization
Team structure</v>
      </c>
      <c r="D55" s="1" t="str">
        <f>'Thematic Analysis'!G58</f>
        <v>Risk Identification and Management
ROI analysis
Value creation
Standardization
Team structure</v>
      </c>
      <c r="E55" s="1" t="s">
        <v>1067</v>
      </c>
      <c r="F55" s="1" t="s">
        <v>1119</v>
      </c>
      <c r="G55" s="1" t="str">
        <f>'Thematic Analysis'!$D58</f>
        <v>They pick the most important projects and invest wisely for the health system. We work together on ICT stuff and have clear rules. This helps us decide what to build and how to run things</v>
      </c>
    </row>
    <row r="56" spans="1:7" s="6" customFormat="1" ht="105" x14ac:dyDescent="0.25">
      <c r="A56" s="2">
        <f t="shared" si="1"/>
        <v>52</v>
      </c>
      <c r="B56" s="1" t="str">
        <f>'Thematic Analysis'!E59</f>
        <v>Evaluation criteria
Prioritization
Monitoring
Achieving business priorities</v>
      </c>
      <c r="C56" s="1" t="str">
        <f>'Thematic Analysis'!F59</f>
        <v>Performance metrics
Task ranking
Supervision
Goal fulfillment</v>
      </c>
      <c r="D56" s="1" t="str">
        <f>'Thematic Analysis'!G59</f>
        <v>Consumer Experience and Support
Task ranking
Supervision
Goal fulfillment</v>
      </c>
      <c r="E56" s="1" t="s">
        <v>1068</v>
      </c>
      <c r="F56" s="1" t="s">
        <v>1120</v>
      </c>
      <c r="G56" s="1" t="str">
        <f>'Thematic Analysis'!$D59</f>
        <v>NSW Health uses a coordinated approach to manage ICT projects. This helps us evaluate, prioritize, select, and monitor programs and projects. We adjust as needed to meet our business goals.</v>
      </c>
    </row>
    <row r="57" spans="1:7" s="6" customFormat="1" ht="60" x14ac:dyDescent="0.25">
      <c r="A57" s="2">
        <f t="shared" si="1"/>
        <v>53</v>
      </c>
      <c r="B57" s="1" t="str">
        <f>'Thematic Analysis'!E60</f>
        <v>Standardizing processes across ICT
Guidelines application</v>
      </c>
      <c r="C57" s="1" t="str">
        <f>'Thematic Analysis'!F60</f>
        <v>Uniform methods
Best practices</v>
      </c>
      <c r="D57" s="1" t="str">
        <f>'Thematic Analysis'!G60</f>
        <v>Standardization and Streamlining Processes
Best practices</v>
      </c>
      <c r="E57" s="1" t="s">
        <v>1069</v>
      </c>
      <c r="F57" s="1" t="s">
        <v>1113</v>
      </c>
      <c r="G57" s="1" t="str">
        <f>'Thematic Analysis'!$D60</f>
        <v>They have set ways of doing things that support our ICT plan. These cover every step of a project's life.</v>
      </c>
    </row>
    <row r="58" spans="1:7" s="6" customFormat="1" ht="135" x14ac:dyDescent="0.25">
      <c r="A58" s="2">
        <f t="shared" si="1"/>
        <v>54</v>
      </c>
      <c r="B58" s="1" t="str">
        <f>'Thematic Analysis'!E61</f>
        <v>Collaborative implementation
Integration of governance models
Consistency in application development</v>
      </c>
      <c r="C58" s="1" t="str">
        <f>'Thematic Analysis'!F61</f>
        <v>Joint execution
Unified policies
Standard coding</v>
      </c>
      <c r="D58" s="1" t="str">
        <f>'Thematic Analysis'!G61</f>
        <v>Standardization and Streamlining Processes
Unified policies
Standard coding</v>
      </c>
      <c r="E58" s="1" t="s">
        <v>1070</v>
      </c>
      <c r="F58" s="1" t="s">
        <v>1097</v>
      </c>
      <c r="G58" s="1" t="str">
        <f>'Thematic Analysis'!$D61</f>
        <v>To make the strategy work, NSW Health collaborates with the Department of Health, Area Health Services, Health Technology, and third-party providers, using shared decision-making processes and building core applications at the state level</v>
      </c>
    </row>
    <row r="59" spans="1:7" s="6" customFormat="1" ht="150" x14ac:dyDescent="0.25">
      <c r="A59" s="2">
        <f t="shared" si="1"/>
        <v>55</v>
      </c>
      <c r="B59" s="1" t="str">
        <f>'Thematic Analysis'!E62</f>
        <v>Classification of applications
Management of applications
Resource management
Achieving outcomes</v>
      </c>
      <c r="C59" s="1" t="str">
        <f>'Thematic Analysis'!F62</f>
        <v>App taxonomy
App lifecycle
Asset allocation
Results tracking</v>
      </c>
      <c r="D59" s="1" t="str">
        <f>'Thematic Analysis'!G62</f>
        <v>Collaboration and Communication
App lifecycle
Asset allocation
Results tracking</v>
      </c>
      <c r="E59" s="1" t="s">
        <v>1071</v>
      </c>
      <c r="F59" s="1" t="s">
        <v>1101</v>
      </c>
      <c r="G59" s="1" t="str">
        <f>'Thematic Analysis'!$D62</f>
        <v>Applications and projects are categorized as core, common, or divergent, influencing their prioritization, funding, and management, with core ones managed by the Department, common ones collaboratively, and divergent ones allowing for innovative solutions to local needs.</v>
      </c>
    </row>
    <row r="60" spans="1:7" s="6" customFormat="1" ht="150" x14ac:dyDescent="0.25">
      <c r="A60" s="2">
        <f t="shared" si="1"/>
        <v>56</v>
      </c>
      <c r="B60" s="1" t="str">
        <f>'Thematic Analysis'!E63</f>
        <v>Alignment with business benefits
Risk Identification
Disconnect of strategy and implementation</v>
      </c>
      <c r="C60" s="1" t="str">
        <f>'Thematic Analysis'!F63</f>
        <v>Strategic alignment
Risk assessment
Execution gap</v>
      </c>
      <c r="D60" s="1" t="str">
        <f>'Thematic Analysis'!G63</f>
        <v>Business Alignment
Risk assessment
Execution gap</v>
      </c>
      <c r="E60" s="1" t="s">
        <v>1072</v>
      </c>
      <c r="F60" s="1" t="s">
        <v>1108</v>
      </c>
      <c r="G60" s="1" t="str">
        <f>'Thematic Analysis'!$D63</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1" spans="1:7" s="6" customFormat="1" ht="150" x14ac:dyDescent="0.25">
      <c r="A61" s="2">
        <f t="shared" si="1"/>
        <v>57</v>
      </c>
      <c r="B61" s="1" t="str">
        <f>'Thematic Analysis'!E64</f>
        <v>Development process
Integration with existing methodology
Informed decision-making</v>
      </c>
      <c r="C61" s="1" t="str">
        <f>'Thematic Analysis'!F64</f>
        <v>Workflow
Seamless adoption
Data-driven choices</v>
      </c>
      <c r="D61" s="1" t="str">
        <f>'Thematic Analysis'!G64</f>
        <v>System Deployment and Integration
Seamless adoption
Data-driven choices</v>
      </c>
      <c r="E61" s="1" t="s">
        <v>1073</v>
      </c>
      <c r="F61" s="1" t="s">
        <v>1105</v>
      </c>
      <c r="G61" s="1" t="str">
        <f>'Thematic Analysis'!$D64</f>
        <v>In the Content Development phase, they design and build a prototype, then review it with clinicians. We use a method called Fast Track, which makes the process quicker. The prototype helps clinicians understand the application better and decide if it works for them</v>
      </c>
    </row>
    <row r="62" spans="1:7" s="6" customFormat="1" ht="240" x14ac:dyDescent="0.25">
      <c r="A62" s="2">
        <f t="shared" si="1"/>
        <v>58</v>
      </c>
      <c r="B62" s="1" t="str">
        <f>'Thematic Analysis'!E65</f>
        <v>Large content management
Resource constraints
Skills / Training
Scope creep</v>
      </c>
      <c r="C62" s="1" t="str">
        <f>'Thematic Analysis'!F65</f>
        <v>CMS
Limited resources
Competence building
Project control</v>
      </c>
      <c r="D62" s="1" t="str">
        <f>'Thematic Analysis'!G65</f>
        <v>Data and Information Management
Limited resources
Competence building
Project control</v>
      </c>
      <c r="E62" s="1" t="s">
        <v>1074</v>
      </c>
      <c r="F62" s="1" t="s">
        <v>1121</v>
      </c>
      <c r="G62" s="1" t="str">
        <f>'Thematic Analysis'!$D65</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3" spans="1:7" s="6" customFormat="1" ht="165" x14ac:dyDescent="0.25">
      <c r="A63" s="2">
        <f t="shared" si="1"/>
        <v>59</v>
      </c>
      <c r="B63" s="1" t="str">
        <f>'Thematic Analysis'!E66</f>
        <v>Equal system participation
Change control process
Core functionality vs area-specific needs</v>
      </c>
      <c r="C63" s="1" t="str">
        <f>'Thematic Analysis'!F66</f>
        <v>Inclusive access
Process governance
Customization</v>
      </c>
      <c r="D63" s="1" t="str">
        <f>'Thematic Analysis'!G66</f>
        <v>Standardization and Streamlining Processes
Process governance
Customization</v>
      </c>
      <c r="E63" s="1" t="s">
        <v>1075</v>
      </c>
      <c r="F63" s="1" t="s">
        <v>1105</v>
      </c>
      <c r="G63" s="1" t="str">
        <f>'Thematic Analysis'!$D66</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4" spans="1:7" s="6" customFormat="1" ht="165" x14ac:dyDescent="0.25">
      <c r="A64" s="2">
        <f t="shared" si="1"/>
        <v>60</v>
      </c>
      <c r="B64" s="1" t="str">
        <f>'Thematic Analysis'!E67</f>
        <v>Alignment
Implementation delays
Allocation of resources</v>
      </c>
      <c r="C64" s="1" t="str">
        <f>'Thematic Analysis'!F67</f>
        <v>Strategic fit
Time management
Resource planning</v>
      </c>
      <c r="D64" s="1" t="str">
        <f>'Thematic Analysis'!G67</f>
        <v>Business Alignment
Time management
Resource planning</v>
      </c>
      <c r="E64" s="1" t="s">
        <v>1076</v>
      </c>
      <c r="F64" s="1" t="s">
        <v>1108</v>
      </c>
      <c r="G64" s="1" t="str">
        <f>'Thematic Analysis'!$D67</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5" spans="1:7" s="6" customFormat="1" ht="165" x14ac:dyDescent="0.25">
      <c r="A65" s="2">
        <f t="shared" si="1"/>
        <v>61</v>
      </c>
      <c r="B65" s="1" t="str">
        <f>'Thematic Analysis'!E68</f>
        <v>Management of programs
Integration of systems
Compatibility between systems</v>
      </c>
      <c r="C65" s="1" t="str">
        <f>'Thematic Analysis'!F68</f>
        <v>Program oversight
System merger
System harmony</v>
      </c>
      <c r="D65" s="1" t="str">
        <f>'Thematic Analysis'!G68</f>
        <v>Program and Project Management
System merger
System harmony</v>
      </c>
      <c r="E65" s="1" t="s">
        <v>1077</v>
      </c>
      <c r="F65" s="1" t="s">
        <v>1106</v>
      </c>
      <c r="G65" s="1" t="str">
        <f>'Thematic Analysis'!$D68</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6" spans="1:7" s="6" customFormat="1" ht="135" x14ac:dyDescent="0.25">
      <c r="A66" s="2">
        <f t="shared" si="1"/>
        <v>62</v>
      </c>
      <c r="B66" s="1" t="str">
        <f>'Thematic Analysis'!E69</f>
        <v>Integration of unified systems
Disruption to processes
Data security
Data privacy</v>
      </c>
      <c r="C66" s="1" t="str">
        <f>'Thematic Analysis'!F69</f>
        <v>Single platform
Smooth transitions
Protection
Confidentiality</v>
      </c>
      <c r="D66" s="1" t="str">
        <f>'Thematic Analysis'!G69</f>
        <v>System Deployment and Integration
Smooth transitions
Protection
Confidentiality</v>
      </c>
      <c r="E66" s="1" t="s">
        <v>1078</v>
      </c>
      <c r="F66" s="1" t="s">
        <v>1122</v>
      </c>
      <c r="G66" s="1" t="str">
        <f>'Thematic Analysis'!$D69</f>
        <v>The Corporate Systems Strategy sets up essential systems to support the Corporate Shared Services reform program, cutting duplication and costs in administrative tasks to redirect funds to frontline care, with the Corporate Systems program as its backbone.</v>
      </c>
    </row>
    <row r="67" spans="1:7" s="6" customFormat="1" ht="180" x14ac:dyDescent="0.25">
      <c r="A67" s="2">
        <f t="shared" si="1"/>
        <v>63</v>
      </c>
      <c r="B67" s="1" t="str">
        <f>'Thematic Analysis'!E70</f>
        <v>Timeliness
Accuracy of data
Accuracy of Reporting
Integration of data
Unified platform
Data accessibility
Data privacy</v>
      </c>
      <c r="C67" s="1" t="str">
        <f>'Thematic Analysis'!F70</f>
        <v>Punctuality
Data integrity
Precise reports
Data fusion
Single interface
Easy access
Confidentiality</v>
      </c>
      <c r="D67" s="1" t="str">
        <f>'Thematic Analysis'!G70</f>
        <v>Operational Effectiveness and Efficiency
Data integrity
Precise reports
Data fusion
Single interface
Easy access
Confidentiality</v>
      </c>
      <c r="E67" s="1" t="s">
        <v>1079</v>
      </c>
      <c r="F67" s="1" t="s">
        <v>1123</v>
      </c>
      <c r="G67" s="1" t="str">
        <f>'Thematic Analysis'!$D70</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8" spans="1:7" s="6" customFormat="1" ht="150" x14ac:dyDescent="0.25">
      <c r="A68" s="2">
        <f t="shared" si="1"/>
        <v>64</v>
      </c>
      <c r="B68" s="1" t="str">
        <f>'Thematic Analysis'!E71</f>
        <v>Prioritization
Alignment
Monitoring</v>
      </c>
      <c r="C68" s="1" t="str">
        <f>'Thematic Analysis'!F71</f>
        <v>Task ranking
Strategic fit
Supervision</v>
      </c>
      <c r="D68" s="1" t="str">
        <f>'Thematic Analysis'!G71</f>
        <v>Program and Project Management
Strategic fit
Supervision</v>
      </c>
      <c r="E68" s="1" t="s">
        <v>1080</v>
      </c>
      <c r="F68" s="1" t="s">
        <v>1097</v>
      </c>
      <c r="G68" s="1" t="str">
        <f>'Thematic Analysis'!$D71</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9" spans="1:7" s="6" customFormat="1" ht="120" x14ac:dyDescent="0.25">
      <c r="A69" s="2">
        <f t="shared" si="1"/>
        <v>65</v>
      </c>
      <c r="B69" s="1" t="str">
        <f>'Thematic Analysis'!E72</f>
        <v>Infrastructure efficiency
Standardized information
Resource optimization</v>
      </c>
      <c r="C69" s="1" t="str">
        <f>'Thematic Analysis'!F72</f>
        <v>Optimal systems
Data governance
Best use</v>
      </c>
      <c r="D69" s="1" t="str">
        <f>'Thematic Analysis'!G72</f>
        <v>Data and Information Management
Data governance
Best use</v>
      </c>
      <c r="E69" s="1" t="s">
        <v>1081</v>
      </c>
      <c r="F69" s="1" t="s">
        <v>1124</v>
      </c>
      <c r="G69" s="1" t="str">
        <f>'Thematic Analysis'!$D72</f>
        <v>The Sustainable Infrastructure program aims to streamline technical infrastructure, establish and uphold standards and architecture for statewide ICT initiatives, and ensure maximum benefit from ICT investments.</v>
      </c>
    </row>
    <row r="70" spans="1:7" s="6" customFormat="1" ht="105" x14ac:dyDescent="0.25">
      <c r="A70" s="2">
        <f t="shared" si="1"/>
        <v>66</v>
      </c>
      <c r="B70" s="1" t="str">
        <f>'Thematic Analysis'!E73</f>
        <v>Infrastructure coherence
Standard adherence
Data quality</v>
      </c>
      <c r="C70" s="1" t="str">
        <f>'Thematic Analysis'!F73</f>
        <v>Protocol compliance
High standards
High standards</v>
      </c>
      <c r="D70" s="1" t="str">
        <f>'Thematic Analysis'!G73</f>
        <v>System Deployment and Integration
High standards
High standards</v>
      </c>
      <c r="E70" s="1" t="s">
        <v>1082</v>
      </c>
      <c r="F70" s="1" t="s">
        <v>1125</v>
      </c>
      <c r="G70" s="1" t="str">
        <f>'Thematic Analysis'!$D73</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Catergories</vt:lpstr>
      <vt:lpstr>Concerns_List</vt:lpstr>
      <vt:lpstr>Factors</vt:lpstr>
      <vt:lpstr>Groups</vt:lpstr>
      <vt:lpstr>Search_Factors</vt:lpstr>
      <vt:lpstr>Sub_catergories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2025-06-20T01:08:53Z</dcterms:modified>
</cp:coreProperties>
</file>