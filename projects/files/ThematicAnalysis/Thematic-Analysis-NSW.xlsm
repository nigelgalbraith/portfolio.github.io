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D:\Documents\GitHub\nigelgalbraith.github.io\projects\files\ThematicAnalysis\"/>
    </mc:Choice>
  </mc:AlternateContent>
  <xr:revisionPtr revIDLastSave="0" documentId="13_ncr:1_{8D69B62C-58E3-469B-A098-BED8F11868ED}" xr6:coauthVersionLast="47" xr6:coauthVersionMax="47" xr10:uidLastSave="{00000000-0000-0000-0000-000000000000}"/>
  <bookViews>
    <workbookView xWindow="-120" yWindow="-120" windowWidth="29040" windowHeight="15840" activeTab="1" xr2:uid="{00000000-000D-0000-FFFF-FFFF00000000}"/>
  </bookViews>
  <sheets>
    <sheet name="Thematic Analysis" sheetId="1" r:id="rId1"/>
    <sheet name="Glossary" sheetId="2" r:id="rId2"/>
    <sheet name="Tech Concepts" sheetId="8" r:id="rId3"/>
    <sheet name="Tool Data" sheetId="9" r:id="rId4"/>
  </sheets>
  <functionGroups builtInGroupCount="19"/>
  <definedNames>
    <definedName name="Concept">Table6[Tech Concepts]</definedName>
    <definedName name="Concerns_List">Table2[Concerns]</definedName>
    <definedName name="Factors">'Thematic Analysis'!$E$7:$E$72</definedName>
    <definedName name="Groups">'Thematic Analysis'!$F$7:$F$72</definedName>
    <definedName name="Solution_Layers">Table6[Tech Layers]</definedName>
    <definedName name="Solutions">Table6[Possible Solution]</definedName>
    <definedName name="Sub_Group">'Thematic Analysis'!$G$7:$G$72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9" l="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5" i="9"/>
  <c r="A6" i="8"/>
  <c r="A7" i="8"/>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5" i="8"/>
  <c r="A8" i="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I31" i="1"/>
  <c r="I65" i="1"/>
  <c r="I33" i="1"/>
  <c r="I50" i="1"/>
  <c r="I35" i="1"/>
  <c r="I52" i="1"/>
  <c r="I53" i="1"/>
  <c r="I38" i="1"/>
  <c r="I59" i="1"/>
  <c r="I39" i="1"/>
  <c r="I8" i="1"/>
  <c r="I41" i="1"/>
  <c r="I58" i="1"/>
  <c r="I43" i="1"/>
  <c r="I60" i="1"/>
  <c r="I61" i="1"/>
  <c r="I66" i="1"/>
  <c r="I47" i="1"/>
  <c r="I16" i="1"/>
  <c r="I46" i="1"/>
  <c r="I55" i="1"/>
  <c r="I48" i="1"/>
  <c r="I10" i="1"/>
  <c r="I27" i="1"/>
  <c r="I12" i="1"/>
  <c r="I13" i="1"/>
  <c r="I40" i="1"/>
  <c r="I54" i="1"/>
  <c r="I62" i="1"/>
  <c r="I14" i="1"/>
  <c r="I63" i="1"/>
  <c r="I72" i="1"/>
  <c r="I18" i="1"/>
  <c r="I51" i="1"/>
  <c r="I20" i="1"/>
  <c r="I21" i="1"/>
  <c r="I64" i="1"/>
  <c r="I70" i="1"/>
  <c r="I69" i="1"/>
  <c r="I71" i="1"/>
  <c r="I9" i="1"/>
  <c r="I26" i="1"/>
  <c r="I67" i="1"/>
  <c r="I28" i="1"/>
  <c r="I29" i="1"/>
  <c r="I57" i="1"/>
  <c r="I68" i="1"/>
  <c r="I15" i="1"/>
  <c r="I32" i="1"/>
  <c r="I17" i="1"/>
  <c r="I34" i="1"/>
  <c r="I11" i="1"/>
  <c r="I36" i="1"/>
  <c r="I37" i="1"/>
  <c r="I24" i="1"/>
  <c r="I23" i="1"/>
  <c r="I56" i="1"/>
  <c r="I25" i="1"/>
  <c r="I42" i="1"/>
  <c r="I19" i="1"/>
  <c r="I44" i="1"/>
  <c r="I45" i="1"/>
  <c r="I22" i="1"/>
  <c r="I30" i="1"/>
  <c r="I49" i="1"/>
  <c r="I7" i="1"/>
  <c r="I73" i="1" l="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A6" i="2" l="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alcChain>
</file>

<file path=xl/sharedStrings.xml><?xml version="1.0" encoding="utf-8"?>
<sst xmlns="http://schemas.openxmlformats.org/spreadsheetml/2006/main" count="1842" uniqueCount="1329">
  <si>
    <t>Thematic analysis and coding template</t>
  </si>
  <si>
    <t>What are you looking for? What is your discovery question/purpose</t>
  </si>
  <si>
    <t>Notes/Additional</t>
  </si>
  <si>
    <t>Page 6</t>
  </si>
  <si>
    <t>Page 8</t>
  </si>
  <si>
    <t>Concerns</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</si>
  <si>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</si>
  <si>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</si>
  <si>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</si>
  <si>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</si>
  <si>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</si>
  <si>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</si>
  <si>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</si>
  <si>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</si>
  <si>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</si>
  <si>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</si>
  <si>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</si>
  <si>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</si>
  <si>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</si>
  <si>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</si>
  <si>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</si>
  <si>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</si>
  <si>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</si>
  <si>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</si>
  <si>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</si>
  <si>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</si>
  <si>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</si>
  <si>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</si>
  <si>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</si>
  <si>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</si>
  <si>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</si>
  <si>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</si>
  <si>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</si>
  <si>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</si>
  <si>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</si>
  <si>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</si>
  <si>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</si>
  <si>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</si>
  <si>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</si>
  <si>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</si>
  <si>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</si>
  <si>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</si>
  <si>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</si>
  <si>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</si>
  <si>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</si>
  <si>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</si>
  <si>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</si>
  <si>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</si>
  <si>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</si>
  <si>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</si>
  <si>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</si>
  <si>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</si>
  <si>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</si>
  <si>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</si>
  <si>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</si>
  <si>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</si>
  <si>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</si>
  <si>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</si>
  <si>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</si>
  <si>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</si>
  <si>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</si>
  <si>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</si>
  <si>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</si>
  <si>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</si>
  <si>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</si>
  <si>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</si>
  <si>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</si>
  <si>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</si>
  <si>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</si>
  <si>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</si>
  <si>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</si>
  <si>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</si>
  <si>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</si>
  <si>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</si>
  <si>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</si>
  <si>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</si>
  <si>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</si>
  <si>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</si>
  <si>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</si>
  <si>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</si>
  <si>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</si>
  <si>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</si>
  <si>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</si>
  <si>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</si>
  <si>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</si>
  <si>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</si>
  <si>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</si>
  <si>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</si>
  <si>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</si>
  <si>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</si>
  <si>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</si>
  <si>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</si>
  <si>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</si>
  <si>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</si>
  <si>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</si>
  <si>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</si>
  <si>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</si>
  <si>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</si>
  <si>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</si>
  <si>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</si>
  <si>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</si>
  <si>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</si>
  <si>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</si>
  <si>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</si>
  <si>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</si>
  <si>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</si>
  <si>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</si>
  <si>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</si>
  <si>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</si>
  <si>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</si>
  <si>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</si>
  <si>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</si>
  <si>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</si>
  <si>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</si>
  <si>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</si>
  <si>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</si>
  <si>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</si>
  <si>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</si>
  <si>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</si>
  <si>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</si>
  <si>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</si>
  <si>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</si>
  <si>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</si>
  <si>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</si>
  <si>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</si>
  <si>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</si>
  <si>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</si>
  <si>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</si>
  <si>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</si>
  <si>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</si>
  <si>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</si>
  <si>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</si>
  <si>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</si>
  <si>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</si>
  <si>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</si>
  <si>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</si>
  <si>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</si>
  <si>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</si>
  <si>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</si>
  <si>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</si>
  <si>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</si>
  <si>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</si>
  <si>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</si>
  <si>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</si>
  <si>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</si>
  <si>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</si>
  <si>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</si>
  <si>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</si>
  <si>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</si>
  <si>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</si>
  <si>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</si>
  <si>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</si>
  <si>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</si>
  <si>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</si>
  <si>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</si>
  <si>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</si>
  <si>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</si>
  <si>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</si>
  <si>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</si>
  <si>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</si>
  <si>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</si>
  <si>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</si>
  <si>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</si>
  <si>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</si>
  <si>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</si>
  <si>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</si>
  <si>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</si>
  <si>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</si>
  <si>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</si>
  <si>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</si>
  <si>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</si>
  <si>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</si>
  <si>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</si>
  <si>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</si>
  <si>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</si>
  <si>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</si>
  <si>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</si>
  <si>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</si>
  <si>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</si>
  <si>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</si>
  <si>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</si>
  <si>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</si>
  <si>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</si>
  <si>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</si>
  <si>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</si>
  <si>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</si>
  <si>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</si>
  <si>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</si>
  <si>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</si>
  <si>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</si>
  <si>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</si>
  <si>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</si>
  <si>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</si>
  <si>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</si>
  <si>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</si>
  <si>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</si>
  <si>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</si>
  <si>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</si>
  <si>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</si>
  <si>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</si>
  <si>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</si>
  <si>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</si>
  <si>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</si>
  <si>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</si>
  <si>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</si>
  <si>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</si>
  <si>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</si>
  <si>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</si>
  <si>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</si>
  <si>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</si>
  <si>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</si>
  <si>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</si>
  <si>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</si>
  <si>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</si>
  <si>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</si>
  <si>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</si>
  <si>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</si>
  <si>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</si>
  <si>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</si>
  <si>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</si>
  <si>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</si>
  <si>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</si>
  <si>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</si>
  <si>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</si>
  <si>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</si>
  <si>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</si>
  <si>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</si>
  <si>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</si>
  <si>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</si>
  <si>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</si>
  <si>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</si>
  <si>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</si>
  <si>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</si>
  <si>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</si>
  <si>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</si>
  <si>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</si>
  <si>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</si>
  <si>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</si>
  <si>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</si>
  <si>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</si>
  <si>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</si>
  <si>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</si>
  <si>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</si>
  <si>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</si>
  <si>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</si>
  <si>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</si>
  <si>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</si>
  <si>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</si>
  <si>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</si>
  <si>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</si>
  <si>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</si>
  <si>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</si>
  <si>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</si>
  <si>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</si>
  <si>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</si>
  <si>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</si>
  <si>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</si>
  <si>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</si>
  <si>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</si>
  <si>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</si>
  <si>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</si>
  <si>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</si>
  <si>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</si>
  <si>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</si>
  <si>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</si>
  <si>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</si>
  <si>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</si>
  <si>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</si>
  <si>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</si>
  <si>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</si>
  <si>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</si>
  <si>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</si>
  <si>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</si>
  <si>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</si>
  <si>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</si>
  <si>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</si>
  <si>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</si>
  <si>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</si>
  <si>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</si>
  <si>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</si>
  <si>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</si>
  <si>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</si>
  <si>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</si>
  <si>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</si>
  <si>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</si>
  <si>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</si>
  <si>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</si>
  <si>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</si>
  <si>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</si>
  <si>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</si>
  <si>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</si>
  <si>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</si>
  <si>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</si>
  <si>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</si>
  <si>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</si>
  <si>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</si>
  <si>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</si>
  <si>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</si>
  <si>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</si>
  <si>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</si>
  <si>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</si>
  <si>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</si>
  <si>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</si>
  <si>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</si>
  <si>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</si>
  <si>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</si>
  <si>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</si>
  <si>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</si>
  <si>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</si>
  <si>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</si>
  <si>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</si>
  <si>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</si>
  <si>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</si>
  <si>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</si>
  <si>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</si>
  <si>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</si>
  <si>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</si>
  <si>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</si>
  <si>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</si>
  <si>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</si>
  <si>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</si>
  <si>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</si>
  <si>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</si>
  <si>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</si>
  <si>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</si>
  <si>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</si>
  <si>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</si>
  <si>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</si>
  <si>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</si>
  <si>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</si>
  <si>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</si>
  <si>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</si>
  <si>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</si>
  <si>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</si>
  <si>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</si>
  <si>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</si>
  <si>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</si>
  <si>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</si>
  <si>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</si>
  <si>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</si>
  <si>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</si>
  <si>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</si>
  <si>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</si>
  <si>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</si>
  <si>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</si>
  <si>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</si>
  <si>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</si>
  <si>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</si>
  <si>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</si>
  <si>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</si>
  <si>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</si>
  <si>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</si>
  <si>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</si>
  <si>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</si>
  <si>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</si>
  <si>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</si>
  <si>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</si>
  <si>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</si>
  <si>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</si>
  <si>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</si>
  <si>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</si>
  <si>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</si>
  <si>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</si>
  <si>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</si>
  <si>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</si>
  <si>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</si>
  <si>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</si>
  <si>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</si>
  <si>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</si>
  <si>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</si>
  <si>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</si>
  <si>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</si>
  <si>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</si>
  <si>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</si>
  <si>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</si>
  <si>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</si>
  <si>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</si>
  <si>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</si>
  <si>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</si>
  <si>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</si>
  <si>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</si>
  <si>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</si>
  <si>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</si>
  <si>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</si>
  <si>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</si>
  <si>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</si>
  <si>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</si>
  <si>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</si>
  <si>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</si>
  <si>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</si>
  <si>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</si>
  <si>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</si>
  <si>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</si>
  <si>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</si>
  <si>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</si>
  <si>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</si>
  <si>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</si>
  <si>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</si>
  <si>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</si>
  <si>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</si>
  <si>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</si>
  <si>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</si>
  <si>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</si>
  <si>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</si>
  <si>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</si>
  <si>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</si>
  <si>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</si>
  <si>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</si>
  <si>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</si>
  <si>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</si>
  <si>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</si>
  <si>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</si>
  <si>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</si>
  <si>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</si>
  <si>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</si>
  <si>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</si>
  <si>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</si>
  <si>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</si>
  <si>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</si>
  <si>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</si>
  <si>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</si>
  <si>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</si>
  <si>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</si>
  <si>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</si>
  <si>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</si>
  <si>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</si>
  <si>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</si>
  <si>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</si>
  <si>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</si>
  <si>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</si>
  <si>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</si>
  <si>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</si>
  <si>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</si>
  <si>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</si>
  <si>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</si>
  <si>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</si>
  <si>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</si>
  <si>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</si>
  <si>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</si>
  <si>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</si>
  <si>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</si>
  <si>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</si>
  <si>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</si>
  <si>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</si>
  <si>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</si>
  <si>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</si>
  <si>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</si>
  <si>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</si>
  <si>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</si>
  <si>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</si>
  <si>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</si>
  <si>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</si>
  <si>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</si>
  <si>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</si>
  <si>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</si>
  <si>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</si>
  <si>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</si>
  <si>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</si>
  <si>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</si>
  <si>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</si>
  <si>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</si>
  <si>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</si>
  <si>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</si>
  <si>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</si>
  <si>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</si>
  <si>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</si>
  <si>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</si>
  <si>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</si>
  <si>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</si>
  <si>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</si>
  <si>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</si>
  <si>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</si>
  <si>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</si>
  <si>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</si>
  <si>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</si>
  <si>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</si>
  <si>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</si>
  <si>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</si>
  <si>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</si>
  <si>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</si>
  <si>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</si>
  <si>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</si>
  <si>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</si>
  <si>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</si>
  <si>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</si>
  <si>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</si>
  <si>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</si>
  <si>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</si>
  <si>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</si>
  <si>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</si>
  <si>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</si>
  <si>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</si>
  <si>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</si>
  <si>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</si>
  <si>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</si>
  <si>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</si>
  <si>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</si>
  <si>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</si>
  <si>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</si>
  <si>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</si>
  <si>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</si>
  <si>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</si>
  <si>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</si>
  <si>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</si>
  <si>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</si>
  <si>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</si>
  <si>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</si>
  <si>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</si>
  <si>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</si>
  <si>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</si>
  <si>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</si>
  <si>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</si>
  <si>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</si>
  <si>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</si>
  <si>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</si>
  <si>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</si>
  <si>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</si>
  <si>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</si>
  <si>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</si>
  <si>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</si>
  <si>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</si>
  <si>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</si>
  <si>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</si>
  <si>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</si>
  <si>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</si>
  <si>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</si>
  <si>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</si>
  <si>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</si>
  <si>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</si>
  <si>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</si>
  <si>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</si>
  <si>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</si>
  <si>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</si>
  <si>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</si>
  <si>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</si>
  <si>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</si>
  <si>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</si>
  <si>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</si>
  <si>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</si>
  <si>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</si>
  <si>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</si>
  <si>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</si>
  <si>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</si>
  <si>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</si>
  <si>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</si>
  <si>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</si>
  <si>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</si>
  <si>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</si>
  <si>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</si>
  <si>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</si>
  <si>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</si>
  <si>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</si>
  <si>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</si>
  <si>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</si>
  <si>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</si>
  <si>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</si>
  <si>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</si>
  <si>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</si>
  <si>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</si>
  <si>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</si>
  <si>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</si>
  <si>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</si>
  <si>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</si>
  <si>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</si>
  <si>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</si>
  <si>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</si>
  <si>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</si>
  <si>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</si>
  <si>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</si>
  <si>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</si>
  <si>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</si>
  <si>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</si>
  <si>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</si>
  <si>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</si>
  <si>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</si>
  <si>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</si>
  <si>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</si>
  <si>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</si>
  <si>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</si>
  <si>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</si>
  <si>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</si>
  <si>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</si>
  <si>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</si>
  <si>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</si>
  <si>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</si>
  <si>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</si>
  <si>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</si>
  <si>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</si>
  <si>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</si>
  <si>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</si>
  <si>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</si>
  <si>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</si>
  <si>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</si>
  <si>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</si>
  <si>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</si>
  <si>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</si>
  <si>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</si>
  <si>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</si>
  <si>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</si>
  <si>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</si>
  <si>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</si>
  <si>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</si>
  <si>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</si>
  <si>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</si>
  <si>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</si>
  <si>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</si>
  <si>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</si>
  <si>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</si>
  <si>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</si>
  <si>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</si>
  <si>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</si>
  <si>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</si>
  <si>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</si>
  <si>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</si>
  <si>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</si>
  <si>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</si>
  <si>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</si>
  <si>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</si>
  <si>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</si>
  <si>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</si>
  <si>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</si>
  <si>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</si>
  <si>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</si>
  <si>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</si>
  <si>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</si>
  <si>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</si>
  <si>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</si>
  <si>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</si>
  <si>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</si>
  <si>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</si>
  <si>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</si>
  <si>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</si>
  <si>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</si>
  <si>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</si>
  <si>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Extract</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</si>
  <si>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</si>
  <si>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</si>
  <si>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</si>
  <si>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</si>
  <si>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</si>
  <si>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</si>
  <si>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</si>
  <si>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</si>
  <si>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</si>
  <si>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</si>
  <si>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</si>
  <si>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</si>
  <si>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</si>
  <si>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</si>
  <si>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</si>
  <si>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</si>
  <si>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</si>
  <si>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</si>
  <si>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</si>
  <si>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</si>
  <si>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</si>
  <si>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</si>
  <si>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</si>
  <si>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</si>
  <si>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</si>
  <si>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</si>
  <si>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</si>
  <si>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</si>
  <si>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</si>
  <si>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</si>
  <si>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</si>
  <si>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</si>
  <si>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</si>
  <si>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</si>
  <si>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</si>
  <si>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</si>
  <si>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</si>
  <si>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</si>
  <si>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</si>
  <si>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</si>
  <si>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</si>
  <si>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</si>
  <si>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</si>
  <si>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</si>
  <si>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</si>
  <si>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</si>
  <si>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</si>
  <si>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</si>
  <si>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</si>
  <si>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</si>
  <si>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</si>
  <si>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</si>
  <si>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</si>
  <si>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</si>
  <si>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</si>
  <si>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</si>
  <si>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</si>
  <si>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</si>
  <si>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</si>
  <si>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</si>
  <si>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</si>
  <si>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</si>
  <si>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</si>
  <si>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</si>
  <si>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</si>
  <si>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</si>
  <si>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</si>
  <si>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</si>
  <si>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</si>
  <si>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</si>
  <si>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</si>
  <si>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</si>
  <si>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</si>
  <si>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</si>
  <si>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</si>
  <si>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</si>
  <si>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</si>
  <si>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</si>
  <si>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</si>
  <si>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</si>
  <si>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</si>
  <si>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</si>
  <si>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</si>
  <si>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</si>
  <si>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</si>
  <si>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</si>
  <si>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</si>
  <si>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</si>
  <si>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</si>
  <si>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</si>
  <si>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</si>
  <si>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</si>
  <si>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</si>
  <si>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</si>
  <si>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</si>
  <si>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</si>
  <si>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</si>
  <si>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</si>
  <si>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</si>
  <si>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</si>
  <si>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</si>
  <si>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</si>
  <si>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</si>
  <si>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</si>
  <si>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</si>
  <si>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Consumer Experience and Support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</si>
  <si>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</si>
  <si>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</si>
  <si>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</si>
  <si>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</si>
  <si>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</si>
  <si>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</si>
  <si>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</si>
  <si>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</si>
  <si>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</si>
  <si>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</si>
  <si>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</si>
  <si>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</si>
  <si>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</si>
  <si>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</si>
  <si>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</si>
  <si>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</si>
  <si>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</si>
  <si>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</si>
  <si>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Business Alignment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</si>
  <si>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</si>
  <si>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</si>
  <si>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</si>
  <si>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</si>
  <si>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</si>
  <si>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</si>
  <si>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</si>
  <si>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</si>
  <si>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</si>
  <si>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</si>
  <si>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</si>
  <si>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</si>
  <si>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</si>
  <si>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Consumer Experience and Support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</si>
  <si>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</si>
  <si>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</si>
  <si>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</si>
  <si>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</si>
  <si>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</si>
  <si>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</si>
  <si>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</si>
  <si>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</si>
  <si>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</si>
  <si>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</si>
  <si>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</si>
  <si>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</si>
  <si>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</si>
  <si>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Data and Information Management
Data and Information Management</t>
  </si>
  <si>
    <t>Themes (Organizational Values)</t>
  </si>
  <si>
    <t>Tech Concept</t>
  </si>
  <si>
    <t>Tech Layers</t>
  </si>
  <si>
    <t>Investment management software</t>
  </si>
  <si>
    <t>Enterprise architecture tools</t>
  </si>
  <si>
    <t>Open data platforms</t>
  </si>
  <si>
    <t>Collaboration software</t>
  </si>
  <si>
    <t>Workflow automation tools</t>
  </si>
  <si>
    <t>Business intelligence tools</t>
  </si>
  <si>
    <t>Data governance platforms</t>
  </si>
  <si>
    <t>Predictive analytics software</t>
  </si>
  <si>
    <t>Sustainability management software</t>
  </si>
  <si>
    <t>OKR software</t>
  </si>
  <si>
    <t>IT strategy planning tools</t>
  </si>
  <si>
    <t>Helpdesk software</t>
  </si>
  <si>
    <t>Policy management software</t>
  </si>
  <si>
    <t>CRM software</t>
  </si>
  <si>
    <t>UX/UI design tools</t>
  </si>
  <si>
    <t>Data encryption tools</t>
  </si>
  <si>
    <t>Applicant Tracking Systems</t>
  </si>
  <si>
    <t>Task prioritization tools</t>
  </si>
  <si>
    <t>Risk management software</t>
  </si>
  <si>
    <t>Change management software</t>
  </si>
  <si>
    <t>SOP software</t>
  </si>
  <si>
    <t>Project management tools</t>
  </si>
  <si>
    <t>Data integration tools</t>
  </si>
  <si>
    <t>API management platforms</t>
  </si>
  <si>
    <t>Project planning software</t>
  </si>
  <si>
    <t>Monitoring software</t>
  </si>
  <si>
    <t>Performance management systems</t>
  </si>
  <si>
    <t>Strategic planning tools</t>
  </si>
  <si>
    <t>Compliance tools</t>
  </si>
  <si>
    <t>Transformation planning tools</t>
  </si>
  <si>
    <t>Uptime monitoring software</t>
  </si>
  <si>
    <t>Value management software</t>
  </si>
  <si>
    <t>Financial planning software</t>
  </si>
  <si>
    <t>Organizational development tools</t>
  </si>
  <si>
    <t>Knowledge management systems</t>
  </si>
  <si>
    <t>Mobile Device Management</t>
  </si>
  <si>
    <t>Root cause analysis tools</t>
  </si>
  <si>
    <t>EHS software</t>
  </si>
  <si>
    <t>Transition management software</t>
  </si>
  <si>
    <t>Application categorization tools</t>
  </si>
  <si>
    <t>International collaboration tools</t>
  </si>
  <si>
    <t>Organizational chart software</t>
  </si>
  <si>
    <t>Standardization tools</t>
  </si>
  <si>
    <t>Healthcare management systems</t>
  </si>
  <si>
    <t>Crisis management software</t>
  </si>
  <si>
    <t>Expense tracking software</t>
  </si>
  <si>
    <t>IT planning software</t>
  </si>
  <si>
    <t>Engagement tools</t>
  </si>
  <si>
    <t>Market research software</t>
  </si>
  <si>
    <t>Utilization analytics</t>
  </si>
  <si>
    <t>Process management tools</t>
  </si>
  <si>
    <t>Process automation</t>
  </si>
  <si>
    <t>Compliance software</t>
  </si>
  <si>
    <t>Customization platforms</t>
  </si>
  <si>
    <t>Secure transfer tools</t>
  </si>
  <si>
    <t>Gap analysis software</t>
  </si>
  <si>
    <t>Centralized management systems</t>
  </si>
  <si>
    <t>Budgeting software</t>
  </si>
  <si>
    <t>Legal compliance tools</t>
  </si>
  <si>
    <t>Resource planning software</t>
  </si>
  <si>
    <t>Allocation tools</t>
  </si>
  <si>
    <t>Value assessment software</t>
  </si>
  <si>
    <t>PMP certification tools</t>
  </si>
  <si>
    <t>UX design tools</t>
  </si>
  <si>
    <t>Performance review tools</t>
  </si>
  <si>
    <t>Policy management frameworks</t>
  </si>
  <si>
    <t>Time tracking software</t>
  </si>
  <si>
    <t>Technology deployment tools</t>
  </si>
  <si>
    <t>Data privacy tools</t>
  </si>
  <si>
    <t>Support software</t>
  </si>
  <si>
    <t>Efficiency tools</t>
  </si>
  <si>
    <t>Training platforms</t>
  </si>
  <si>
    <t>Healthcare software</t>
  </si>
  <si>
    <t>User portal software</t>
  </si>
  <si>
    <t>Focus management tools</t>
  </si>
  <si>
    <t>Access control software</t>
  </si>
  <si>
    <t>Quality management tools</t>
  </si>
  <si>
    <t>Protection software</t>
  </si>
  <si>
    <t>Rollout management tools</t>
  </si>
  <si>
    <t>Inclusive service platforms</t>
  </si>
  <si>
    <t>Diversity software</t>
  </si>
  <si>
    <t>Load balancing tools</t>
  </si>
  <si>
    <t>Scalability solutions</t>
  </si>
  <si>
    <t>Optimization tools</t>
  </si>
  <si>
    <t>Innovation platforms</t>
  </si>
  <si>
    <t>Content Management System (CMS)</t>
  </si>
  <si>
    <t>Business Intelligence (BI) systems</t>
  </si>
  <si>
    <t>Data centralization tools</t>
  </si>
  <si>
    <t>Capacity planning software</t>
  </si>
  <si>
    <t>Application management tools</t>
  </si>
  <si>
    <t>Unified interfaces</t>
  </si>
  <si>
    <t>Data integrity tools</t>
  </si>
  <si>
    <t>Reporting software</t>
  </si>
  <si>
    <t>IT overhaul tools</t>
  </si>
  <si>
    <t>Encryption tools</t>
  </si>
  <si>
    <t>Identity management</t>
  </si>
  <si>
    <t>Skill development platforms</t>
  </si>
  <si>
    <t>Roster management software</t>
  </si>
  <si>
    <t>E-learning platforms</t>
  </si>
  <si>
    <t>SWOT analysis tools</t>
  </si>
  <si>
    <t>Transformation software</t>
  </si>
  <si>
    <t>Education software</t>
  </si>
  <si>
    <t>HR management systems</t>
  </si>
  <si>
    <t>Capital allocation tools</t>
  </si>
  <si>
    <t>Focus tools</t>
  </si>
  <si>
    <t>Budget control software</t>
  </si>
  <si>
    <t>ROI analysis tools</t>
  </si>
  <si>
    <t>Cost control software</t>
  </si>
  <si>
    <t>Scheduling tools</t>
  </si>
  <si>
    <t>Futureproofing tools</t>
  </si>
  <si>
    <t>Protocol management</t>
  </si>
  <si>
    <t>IT blueprint tools</t>
  </si>
  <si>
    <t>IT roadmap software</t>
  </si>
  <si>
    <t>Knowledge base software</t>
  </si>
  <si>
    <t>Data pipeline tools</t>
  </si>
  <si>
    <t>Data mapping software</t>
  </si>
  <si>
    <t>Modernization tools</t>
  </si>
  <si>
    <t>Tracking tools</t>
  </si>
  <si>
    <t>Audit software</t>
  </si>
  <si>
    <t>Unified platform tools</t>
  </si>
  <si>
    <t>Mitigation tools</t>
  </si>
  <si>
    <t>Customer service software</t>
  </si>
  <si>
    <t>Leadership tools</t>
  </si>
  <si>
    <t>KPI tracking tools</t>
  </si>
  <si>
    <t>Clustering software</t>
  </si>
  <si>
    <t>Load testing tools</t>
  </si>
  <si>
    <t>Quality assurance tools</t>
  </si>
  <si>
    <t>Time tracking tools</t>
  </si>
  <si>
    <t>Punctuality tools</t>
  </si>
  <si>
    <t>Vendor management software</t>
  </si>
  <si>
    <t>Change management tools</t>
  </si>
  <si>
    <t>Service management tools</t>
  </si>
  <si>
    <t>Service scope tools</t>
  </si>
  <si>
    <t>Improvement tools</t>
  </si>
  <si>
    <t>Reallocation tools</t>
  </si>
  <si>
    <t>Lean management software</t>
  </si>
  <si>
    <t>Oversight tools</t>
  </si>
  <si>
    <t>Project control tools</t>
  </si>
  <si>
    <t>Investment tools</t>
  </si>
  <si>
    <t>Tailored service software</t>
  </si>
  <si>
    <t>Outcome tracking tools</t>
  </si>
  <si>
    <t>Prioritization tools</t>
  </si>
  <si>
    <t>Transition management</t>
  </si>
  <si>
    <t>System migration tools</t>
  </si>
  <si>
    <t>Inventory management</t>
  </si>
  <si>
    <t>Efficiency software</t>
  </si>
  <si>
    <t>Logistics software</t>
  </si>
  <si>
    <t>Risk forecasting tools</t>
  </si>
  <si>
    <t>Planning software</t>
  </si>
  <si>
    <t>Gantt chart tools</t>
  </si>
  <si>
    <t>Preventive tools</t>
  </si>
  <si>
    <t>Coding standards tools</t>
  </si>
  <si>
    <t>Roadmap tools</t>
  </si>
  <si>
    <t>Training tools</t>
  </si>
  <si>
    <t>Forecasting tools</t>
  </si>
  <si>
    <t>Intervention tools</t>
  </si>
  <si>
    <t>Cost-benefit analysis tools</t>
  </si>
  <si>
    <t>Upgrade tools</t>
  </si>
  <si>
    <t>SOP tools</t>
  </si>
  <si>
    <t>Data expansion tools</t>
  </si>
  <si>
    <t>Contingency planning tools</t>
  </si>
  <si>
    <t>Workflow software</t>
  </si>
  <si>
    <t>Satisfaction tools</t>
  </si>
  <si>
    <t>Data-driven tools</t>
  </si>
  <si>
    <t>Protocol tools</t>
  </si>
  <si>
    <t>Unification tools</t>
  </si>
  <si>
    <t>Data fusion tools</t>
  </si>
  <si>
    <t>Adoption tools</t>
  </si>
  <si>
    <t>Maintenance tools</t>
  </si>
  <si>
    <t>Analytics software</t>
  </si>
  <si>
    <t>Recruitment tools</t>
  </si>
  <si>
    <t>HR planning tools</t>
  </si>
  <si>
    <t>Development tools</t>
  </si>
  <si>
    <t>Integration tools</t>
  </si>
  <si>
    <t>Security tools</t>
  </si>
  <si>
    <t>Execution tools</t>
  </si>
  <si>
    <t>Holistic tools</t>
  </si>
  <si>
    <t>Procedure tools</t>
  </si>
  <si>
    <t>Access tools</t>
  </si>
  <si>
    <t>Trend analysis tools</t>
  </si>
  <si>
    <t>Platform tools</t>
  </si>
  <si>
    <t>Rollout tools</t>
  </si>
  <si>
    <t>Interface tools</t>
  </si>
  <si>
    <t>Lifecycle tools</t>
  </si>
  <si>
    <t>Facilitates the management and analysis of investment portfolios, including trading, risk assessment, and performance tracking.</t>
  </si>
  <si>
    <t>Assist in designing and managing the structure and operation of an organization's IT infrastructure and applications.</t>
  </si>
  <si>
    <t>Provide access to and enable the sharing of data in an open and standardized format, promoting transparency and collaboration.</t>
  </si>
  <si>
    <t>Facilitates communication and cooperation among team members through features such as messaging, file sharing, and project management.</t>
  </si>
  <si>
    <t>Automate repetitive tasks and streamline business processes to improve efficiency and reduce errors.</t>
  </si>
  <si>
    <t>Enable organizations to gather, analyze, and visualize data to make informed business decisions.</t>
  </si>
  <si>
    <t>Ensure the quality, integrity, and security of data throughout its lifecycle, including data management, compliance, and privacy.</t>
  </si>
  <si>
    <t>Utilize data mining and statistical algorithms to forecast future trends and behaviors, enabling proactive decision-making.</t>
  </si>
  <si>
    <t>Help organizations track, manage, and report on their environmental and social impacts to promote sustainability.</t>
  </si>
  <si>
    <t>Facilitates the setting, tracking, and alignment of Objectives and Key Results (OKRs) to improve organizational focus and performance.</t>
  </si>
  <si>
    <t>Assist in developing and aligning IT strategies with business goals, including technology roadmaps, resource planning, and risk management.</t>
  </si>
  <si>
    <t>Provides a centralized platform for managing customer support requests and inquiries, improving response times and customer satisfaction.</t>
  </si>
  <si>
    <t>Streamlines the creation, distribution, and enforcement of organizational policies and procedures to ensure compliance and consistency.</t>
  </si>
  <si>
    <t>Manages customer interactions and relationships, including sales, marketing, and customer service activities.</t>
  </si>
  <si>
    <t>Enable the creation and optimization of user interfaces and experiences for digital products and services.</t>
  </si>
  <si>
    <t>Protect sensitive data from unauthorized access or theft by encoding it into unreadable format.</t>
  </si>
  <si>
    <t>Streamline the recruitment process by managing job postings, applications, and candidate communication.</t>
  </si>
  <si>
    <t>Help individuals and teams organize and prioritize their tasks to improve productivity and efficiency.</t>
  </si>
  <si>
    <t>Identify, assess, and mitigate potential risks to the organization's objectives and operations.</t>
  </si>
  <si>
    <t>Facilitate the planning, implementation, and tracking of organizational changes to minimize disruptions and maximize benefits.</t>
  </si>
  <si>
    <t>Centralize and standardize Standard Operating Procedures (SOPs) to ensure consistency and compliance across the organization.</t>
  </si>
  <si>
    <t>Assist in planning, scheduling, and managing projects, including task assignments, progress tracking, and resource allocation.</t>
  </si>
  <si>
    <t>Aggregate and combine data from multiple sources to provide a unified view and support analytics and reporting.</t>
  </si>
  <si>
    <t>Manage the creation, deployment, and maintenance of Application Programming Interfaces (APIs) to enable integration and interoperability.</t>
  </si>
  <si>
    <t>Facilitate the creation and management of project plans, including timelines, tasks, and dependencies.</t>
  </si>
  <si>
    <t>Continuously track and analyze system performance, availability, and health to ensure optimal operation.</t>
  </si>
  <si>
    <t>Monitor and evaluate employee performance against goals and objectives to support development and performance improvement.</t>
  </si>
  <si>
    <t>Support the development and execution of strategic plans, including goal setting, action planning, and performance tracking.</t>
  </si>
  <si>
    <t>Ensure adherence to legal, regulatory, and industry standards through monitoring, reporting, and auditing capabilities.</t>
  </si>
  <si>
    <t>Support the planning and execution of organizational transformations, including change management, communication, and training.</t>
  </si>
  <si>
    <t>Monitor and track system uptime and availability to ensure continuous service delivery and minimize downtime.</t>
  </si>
  <si>
    <t>Assess and optimize the value generated by projects, programs, and investments to maximize returns and outcomes.</t>
  </si>
  <si>
    <t>Assist in budgeting, forecasting, and financial analysis to support strategic decision-making and resource allocation.</t>
  </si>
  <si>
    <t>Support initiatives to enhance organizational effectiveness, including leadership development, culture change, and performance management.</t>
  </si>
  <si>
    <t>Capture, store, and share organizational knowledge to support learning, collaboration, and decision-making.</t>
  </si>
  <si>
    <t>Manage and secure mobile devices and applications to protect data and ensure compliance with organizational policies.</t>
  </si>
  <si>
    <t>Identify and address the underlying causes of problems or incidents to prevent recurrence and improve performance.</t>
  </si>
  <si>
    <t>Manage environmental, health, and safety compliance and risks to protect employees and the environment.</t>
  </si>
  <si>
    <t>Support the planning and execution of transitions, such as mergers, acquisitions, or system migrations, to minimize disruption and risk.</t>
  </si>
  <si>
    <t>Classify and categorize software applications based on their function, usage, and business impact for better management and governance.</t>
  </si>
  <si>
    <t>Facilitate collaboration and communication across global teams with features such as multilingual support and time zone management.</t>
  </si>
  <si>
    <t>Create and visualize organizational structures to understand reporting relationships and support workforce planning.</t>
  </si>
  <si>
    <t>Standardize and enforce best practices and processes across the organization.</t>
  </si>
  <si>
    <t>Manage patient records, appointments, and medical billing to streamline healthcare operations.</t>
  </si>
  <si>
    <t>Coordinate response efforts and communication during emergencies or crises.</t>
  </si>
  <si>
    <t>Track and manage expenses incurred by the organization for better financial management.</t>
  </si>
  <si>
    <t>Plan and strategize IT initiatives and investments to support business objectives.</t>
  </si>
  <si>
    <t>Automate repetitive tasks and streamline workflows to improve efficiency.</t>
  </si>
  <si>
    <t>Facilitate communication and collaboration among team members for better productivity.</t>
  </si>
  <si>
    <t>Enhance engagement and interaction with stakeholders through various channels.</t>
  </si>
  <si>
    <t>Gather and analyze data to understand market trends and consumer behavior.</t>
  </si>
  <si>
    <t>Analyze resource utilization to optimize efficiency and reduce waste.</t>
  </si>
  <si>
    <t>Map, analyze, and optimize business processes to improve efficiency and effectiveness.</t>
  </si>
  <si>
    <t>Automate manual tasks and workflows to improve productivity and reduce errors.</t>
  </si>
  <si>
    <t>Ensure adherence to legal and regulatory requirements to mitigate risks.</t>
  </si>
  <si>
    <t>Customize software applications to meet specific business requirements.</t>
  </si>
  <si>
    <t>Securely transfer data between systems or parties to protect sensitive information.</t>
  </si>
  <si>
    <t>Analyze current and desired states to identify gaps and opportunities for improvement.</t>
  </si>
  <si>
    <t>Centralize management and control of systems and resources for better governance.</t>
  </si>
  <si>
    <t>Plan and manage budgets to allocate resources effectively and control costs.</t>
  </si>
  <si>
    <t>Develop and execute strategies to achieve organizational goals and objectives.</t>
  </si>
  <si>
    <t>Visualize and analyze data to gain insights and inform decision-making.</t>
  </si>
  <si>
    <t>Manage and track organizational policies and ensure compliance with regulations.</t>
  </si>
  <si>
    <t>Ensure compliance with legal and regulatory requirements to mitigate risks.</t>
  </si>
  <si>
    <t>Plan and allocate resources to meet organizational goals and objectives effectively.</t>
  </si>
  <si>
    <t>Determine and allocate resources based on organizational priorities and needs.</t>
  </si>
  <si>
    <t>Assess and evaluate the value generated by projects or initiatives.</t>
  </si>
  <si>
    <t>Prepare for and obtain Project Management Professional (PMP) certification.</t>
  </si>
  <si>
    <t>Design user interfaces to improve the usability and accessibility of software applications.</t>
  </si>
  <si>
    <t>Identify, assess, and mitigate risks to protect organizational assets and interests.</t>
  </si>
  <si>
    <t>Conduct performance evaluations to assess employee performance and development.</t>
  </si>
  <si>
    <t>Manage and track organizational policies and procedures for compliance and consistency.</t>
  </si>
  <si>
    <t>Track and monitor time spent on tasks and projects for better resource management.</t>
  </si>
  <si>
    <t>Deploy and implement technology solutions to support business objectives.</t>
  </si>
  <si>
    <t>Ensure compliance with data protection and privacy regulations to safeguard sensitive information.</t>
  </si>
  <si>
    <t>Provide tools and resources to support users and address their needs effectively.</t>
  </si>
  <si>
    <t>Improve operational efficiency and effectiveness through automation and optimization.</t>
  </si>
  <si>
    <t>Provide training and learning opportunities for employee development and growth.</t>
  </si>
  <si>
    <t>Provide a portal for users to access information, services, and resources.</t>
  </si>
  <si>
    <t>Manage and prioritize organizational goals and initiatives for better focus and alignment.</t>
  </si>
  <si>
    <t>Control access to resources and information to protect against unauthorized access.</t>
  </si>
  <si>
    <t>Monitor and ensure the quality of products, services, or processes to meet standards.</t>
  </si>
  <si>
    <t>Protect organizational assets and information from threats and vulnerabilities.</t>
  </si>
  <si>
    <t>Manage and oversee the rollout of projects or initiatives to ensure success.</t>
  </si>
  <si>
    <t>Provide inclusive services and accommodations to meet diverse needs and requirements.</t>
  </si>
  <si>
    <t>Promote diversity and inclusion within the organization through various initiatives.</t>
  </si>
  <si>
    <t>Balance workloads and distribute resources evenly across systems or networks.</t>
  </si>
  <si>
    <t>Scale systems or infrastructure to accommodate changing demands or growth.</t>
  </si>
  <si>
    <t>Optimize processes, systems, or resources for better performance and efficiency.</t>
  </si>
  <si>
    <t>Foster innovation and creativity within the organization through collaborative platforms.</t>
  </si>
  <si>
    <t>Manage and organize digital content for efficient storage, retrieval, and distribution.</t>
  </si>
  <si>
    <t>Analyze data and generate insights to support decision-making and planning.</t>
  </si>
  <si>
    <t>Centralize and manage data to ensure consistency, accuracy, and accessibility.</t>
  </si>
  <si>
    <t>Forecast and plan for future resource needs based on current usage and trends.</t>
  </si>
  <si>
    <t>Manage and administer applications throughout their lifecycle, from development to retirement.</t>
  </si>
  <si>
    <t>Provide a consistent and unified interface for users to interact with systems or applications.</t>
  </si>
  <si>
    <t>Ensure the accuracy and reliability of data across systems and processes.</t>
  </si>
  <si>
    <t>Generate and present data in various formats to support decision-making and analysis.</t>
  </si>
  <si>
    <t>Overhaul and modernize IT infrastructure, systems, and processes to improve performance and efficiency.</t>
  </si>
  <si>
    <t>Encrypt data to protect it from unauthorized access or interception.</t>
  </si>
  <si>
    <t>Manage user identities and access rights to ensure security and compliance.</t>
  </si>
  <si>
    <t>Provide platforms for employees to acquire and develop new skills and competencies.</t>
  </si>
  <si>
    <t>Manage employee schedules, shifts, and assignments for efficient workforce management.</t>
  </si>
  <si>
    <t>Provide tools and environments for software development and coding.</t>
  </si>
  <si>
    <t>Offer online courses and resources for education and learning purposes.</t>
  </si>
  <si>
    <t>Facilitate the integration of disparate systems and applications for seamless data exchange.</t>
  </si>
  <si>
    <t>Conduct SWOT (Strengths, Weaknesses, Opportunities, Threats) analysis to assess organizational strategies and objectives.</t>
  </si>
  <si>
    <t>Support organizational change and transformation initiatives through technology solutions.</t>
  </si>
  <si>
    <t>Manage and track expenses incurred by the organization for better financial management.</t>
  </si>
  <si>
    <t>Provide software for educational institutions or training organizations.</t>
  </si>
  <si>
    <t>Manage various HR functions such as payroll, benefits, and performance evaluation.</t>
  </si>
  <si>
    <t>Integrate multiple systems or applications to work together seamlessly.</t>
  </si>
  <si>
    <t>Allocate financial resources effectively to support organizational goals and initiatives.</t>
  </si>
  <si>
    <t>Provide tools to help individuals or teams focus on key tasks or objectives.</t>
  </si>
  <si>
    <t>Monitor and control budgets to ensure spending stays within predefined limits.</t>
  </si>
  <si>
    <t>Implement measures to prevent potential issues or problems from occurring.</t>
  </si>
  <si>
    <t>Analyze the return on investment (ROI) of projects, initiatives, or investments.</t>
  </si>
  <si>
    <t>Control costs and expenditures to optimize financial performance.</t>
  </si>
  <si>
    <t>Manage financial transactions and reporting for organizational accounting purposes.</t>
  </si>
  <si>
    <t>Create and manage schedules for tasks, projects, or events.</t>
  </si>
  <si>
    <t>Implement measures to future-proof systems or processes against emerging challenges or risks.</t>
  </si>
  <si>
    <t>Manage and enforce protocols and procedures for organizational compliance and governance.</t>
  </si>
  <si>
    <t>Develop and document IT strategies and plans for future initiatives and investments.</t>
  </si>
  <si>
    <t>Create and manage roadmaps for IT projects, initiatives, or technologies.</t>
  </si>
  <si>
    <t>Provide tools and technologies to secure and protect organizational assets and information.</t>
  </si>
  <si>
    <t>Create and maintain a repository of knowledge and information for organizational use.</t>
  </si>
  <si>
    <t>Facilitate the movement and transformation of data between systems and applications.</t>
  </si>
  <si>
    <t>Provide tools to map and visualize the flow of data between systems or processes.</t>
  </si>
  <si>
    <t>Modernize legacy systems or applications to improve performance and usability.</t>
  </si>
  <si>
    <t>Track and monitor various metrics or parameters for analysis and optimization.</t>
  </si>
  <si>
    <t>Conduct audits and assessments to ensure compliance and adherence to standards.</t>
  </si>
  <si>
    <t>Create a unified platform or environment for integrating and managing various systems and applications.</t>
  </si>
  <si>
    <t>Provide tools and strategies to mitigate risks and threats to the organization.</t>
  </si>
  <si>
    <t>Manage and track interactions with customers to provide efficient and effective service.</t>
  </si>
  <si>
    <t>Provide tools and resources to support leadership development and effectiveness.</t>
  </si>
  <si>
    <t>Track and analyze Key Performance Indicators (KPIs) to assess organizational performance.</t>
  </si>
  <si>
    <t>Organize and group data or entities based on similarity or relatedness.</t>
  </si>
  <si>
    <t>Test the performance and scalability of systems or applications under load.</t>
  </si>
  <si>
    <t>Ensure the quality and reliability of products, services, or processes through testing and validation.</t>
  </si>
  <si>
    <t>Track and record time spent on tasks or activities for analysis and reporting.</t>
  </si>
  <si>
    <t>Monitor and ensure adherence to schedules and deadlines for tasks or projects.</t>
  </si>
  <si>
    <t>Optimize systems, processes, or resources for improved performance and efficiency.</t>
  </si>
  <si>
    <t>Manage relationships and interactions with vendors and suppliers.</t>
  </si>
  <si>
    <t>Plan, implement, and track changes to organizational processes or systems.</t>
  </si>
  <si>
    <t>Manage and coordinate the delivery of services to customers or clients.</t>
  </si>
  <si>
    <t>Define and manage the scope of services offered by the organization.</t>
  </si>
  <si>
    <t>Track and measure the outcomes and results of projects, initiatives, or interventions.</t>
  </si>
  <si>
    <t>Optimize the allocation and utilization of resources to maximize efficiency and productivity.</t>
  </si>
  <si>
    <t>Manage and optimize the flow of goods, services, or information through supply chains.</t>
  </si>
  <si>
    <t>Forecast and assess potential risks to inform decision-making and risk management strategies.</t>
  </si>
  <si>
    <t>Analyze historical data and trends to forecast future events or outcomes.</t>
  </si>
  <si>
    <t>Create and visualize project schedules and timelines to track progress and milestones.</t>
  </si>
  <si>
    <t>Facilitate communication and collaboration among team members and stakeholders.</t>
  </si>
  <si>
    <t>Implement and enforce protocols and procedures to ensure compliance and consistency.</t>
  </si>
  <si>
    <t>Create and manage roadmaps for projects, initiatives, or technology implementations.</t>
  </si>
  <si>
    <t>Ensure adherence to legal, regulatory, and industry standards through monitoring and enforcement.</t>
  </si>
  <si>
    <t>Help prioritize tasks, projects, or goals based on their importance and impact.</t>
  </si>
  <si>
    <t>Leverage artificial intelligence technologies to automate tasks and processes for greater efficiency.</t>
  </si>
  <si>
    <t>Provide tools and strategies to help individuals or teams maintain focus on key tasks or objectives.</t>
  </si>
  <si>
    <t>Facilitate the planning and scheduling of tasks, projects, or activities to achieve organizational goals.</t>
  </si>
  <si>
    <t>Implement measures to prevent problems or issues from occurring or escalating.</t>
  </si>
  <si>
    <t>Provide tools and support for the effective execution and implementation of plans and strategies.</t>
  </si>
  <si>
    <t>Take a comprehensive or integrated approach to address complex issues or challenges within the organization.</t>
  </si>
  <si>
    <t>Define and document standardized procedures and processes to ensure consistency and efficiency.</t>
  </si>
  <si>
    <t>Establish and enforce coding standards and best practices for software development teams.</t>
  </si>
  <si>
    <t>Manage and control access to systems, applications, or information to ensure security and compliance.</t>
  </si>
  <si>
    <t>Provide tools and resources for training and skill development to support employee growth and development.</t>
  </si>
  <si>
    <t>Implement measures or interventions to address identified issues or challenges proactively.</t>
  </si>
  <si>
    <t>Analyze the costs and benefits of potential actions or investments to inform decision-making effectively.</t>
  </si>
  <si>
    <t>Analyze historical data and trends to identify patterns or insights for strategic planning.</t>
  </si>
  <si>
    <t>Implement upgrades or enhancements to systems, applications, or processes to improve performance and functionality.</t>
  </si>
  <si>
    <t>Establish and document standard operating procedures (SOPs) to ensure consistency and efficiency across the organization.</t>
  </si>
  <si>
    <t>Provide support and assistance to users for technical issues or inquiries related to systems or applications.</t>
  </si>
  <si>
    <t>Expand and scale data storage, processing, or analysis capabilities to accommodate organizational needs.</t>
  </si>
  <si>
    <t>Develop plans and strategies to address potential risks or disruptions proactively.</t>
  </si>
  <si>
    <t>Manage and streamline workflows and processes to improve efficiency and productivity across the organization.</t>
  </si>
  <si>
    <t>Integrate and unify disparate systems or applications to streamline operations and improve data consistency.</t>
  </si>
  <si>
    <t>Manage and oversee the rollout of projects, initiatives, or changes to ensure successful implementation.</t>
  </si>
  <si>
    <t>Create and manage interfaces for users to interact with systems or applications seamlessly.</t>
  </si>
  <si>
    <t>Assist in developing and implementing strategic plans to achieve long-term goals and objectives.</t>
  </si>
  <si>
    <t>Aid in identifying areas for improvement and implementing strategies to enhance performance.</t>
  </si>
  <si>
    <t>Facilitate the efficient allocation and reallocation of resources to optimize organizational effectiveness.</t>
  </si>
  <si>
    <t>Implement lean management principles to streamline processes and eliminate waste.</t>
  </si>
  <si>
    <t>Provide oversight and monitoring capabilities to ensure projects and processes are on track.</t>
  </si>
  <si>
    <t>Manage and control project activities to ensure successful project delivery.</t>
  </si>
  <si>
    <t>Facilitate the planning, execution, and tracking of organizational changes to minimize resistance and maximize adoption.</t>
  </si>
  <si>
    <t>Analyze and evaluate investment opportunities to support informed decision-making.</t>
  </si>
  <si>
    <t>Deliver personalized and customized services to meet the specific needs of customers or clients.</t>
  </si>
  <si>
    <t>Facilitate the transition from one state or condition to another within the organization.</t>
  </si>
  <si>
    <t>Assist in migrating systems, applications, or data from one environment to another.</t>
  </si>
  <si>
    <t>Track and manage inventory levels and movements to optimize stock levels.</t>
  </si>
  <si>
    <t>Collect feedback and assess satisfaction levels to identify areas for improvement and enhance customer experience</t>
  </si>
  <si>
    <t>Facilitate the measurement and assessment of customer or user satisfaction levels.</t>
  </si>
  <si>
    <t>Utilize data-driven approaches to inform decision-making and strategies.</t>
  </si>
  <si>
    <t>Provide middleware solutions to facilitate communication and data exchange between different systems or applications.</t>
  </si>
  <si>
    <t>Combine data from multiple sources or formats to create a comprehensive view or dataset.</t>
  </si>
  <si>
    <t>Provide tools and resources to support the development and management of platforms or ecosystems.</t>
  </si>
  <si>
    <t>Facilitate the adoption and implementation of new technologies or processes within the organization.</t>
  </si>
  <si>
    <t>Assist in planning, executing, and monitoring projects to achieve desired outcomes effectively.</t>
  </si>
  <si>
    <t>Support the ongoing maintenance and upkeep of systems or applications to ensure reliability and performance.</t>
  </si>
  <si>
    <t>Manage the various stages of the lifecycle of systems, applications, or products.</t>
  </si>
  <si>
    <t>Utilize analytics software to analyze data and generate insights to inform decision-making and strategies.</t>
  </si>
  <si>
    <t>Facilitate the recruitment process by sourcing, screening, and selecting candidates for job positions.</t>
  </si>
  <si>
    <t>Plan and forecast the human resource needs of the organization to support business objectives and growth initiatives.</t>
  </si>
  <si>
    <t>ID</t>
  </si>
  <si>
    <t>Organizational Value</t>
  </si>
  <si>
    <t>Use Case</t>
  </si>
  <si>
    <t>Possible Solution</t>
  </si>
  <si>
    <t>Centralized management systems
Upgrade tools
Protocol tools</t>
  </si>
  <si>
    <t>Enterprise architecture tools
Performance review tools
Unification tools
Sustainability management software
Compliance software</t>
  </si>
  <si>
    <t>User portal software
Procedure tools
Forecasting tools</t>
  </si>
  <si>
    <t>Collaboration software
API management platforms
Data pipeline tools</t>
  </si>
  <si>
    <t>Lean management software
Project management tools
Sustainability management software
Mitigation tools
E-learning platforms</t>
  </si>
  <si>
    <t>Training platforms
OKR software
Expense management</t>
  </si>
  <si>
    <t>IT strategy planning tools
Policy management frameworks
Capital allocation tools
Market research software</t>
  </si>
  <si>
    <t>IT strategy planning tools
Risk management software
Contingency planning tools</t>
  </si>
  <si>
    <t>Diversity software
System migration tools
Vendor management software</t>
  </si>
  <si>
    <t>Scheduling tools
Project planning software
CRM software
Business Intelligence (BI) systems</t>
  </si>
  <si>
    <t>Collaboration software
Helpdesk software
HR management systems</t>
  </si>
  <si>
    <t>UX/UI design tools
Open data platforms
Time tracking tools</t>
  </si>
  <si>
    <t>Investment management software
Utilization analytics
Roadmap tools</t>
  </si>
  <si>
    <t>BI dashboards
Inventory management
Accounting software</t>
  </si>
  <si>
    <t>Planning software
Budgeting software
Crisis management software</t>
  </si>
  <si>
    <t>Optimization tools
AI tools
Investment management software
Open data platforms</t>
  </si>
  <si>
    <t>Middleware
Open data platforms
Investment management software</t>
  </si>
  <si>
    <t>Data integration tools
Open data platforms
Investment management software
Data governance platforms
Collaboration software</t>
  </si>
  <si>
    <t>Project planning software
Unified interfaces
Logistics software
Predictive analytics software</t>
  </si>
  <si>
    <t>Scalability solutions
Efficiency tools
Futureproofing tools</t>
  </si>
  <si>
    <t>Recruitment tools
Focus management tools
Data expansion tools</t>
  </si>
  <si>
    <t>Load balancing tools
Capacity planning software
Knowledge base software</t>
  </si>
  <si>
    <t>Innovation platforms
Cost-benefit analysis tools</t>
  </si>
  <si>
    <t>Cost control software
Education software</t>
  </si>
  <si>
    <t>Satisfaction tools
Root cause analysis tools
Audit software</t>
  </si>
  <si>
    <t>Load testing tools
EHS software
SOP tools</t>
  </si>
  <si>
    <t>Collaboration tools
Training tools
Roster management software
Investment tools</t>
  </si>
  <si>
    <t>Project management tools
Reallocation tools</t>
  </si>
  <si>
    <t>PMP certification tools
Change management software
Prioritization tools</t>
  </si>
  <si>
    <t>Value assessment software
Gantt chart tools
Clustering software</t>
  </si>
  <si>
    <t>Risk management software
Change management software
Applicant Tracking Systems</t>
  </si>
  <si>
    <t>Policy management software
Applicant Tracking Systems
Policy management software
IT roadmap software</t>
  </si>
  <si>
    <t>OKR software
Strategic planning tools
Transformation planning tools
Holistic tools</t>
  </si>
  <si>
    <t>Preventive measures
UX/UI design tools
Strategic planning tools
Engagement tools
Expense tracking software
HR planning tools
Forecasting tools</t>
  </si>
  <si>
    <t>Preventive tools
Customer service software
Support software</t>
  </si>
  <si>
    <t>Uptime monitoring software
Business intelligence tools
Healthcare management systems
Healthcare software
Improvement tools
Data mapping software
UX design tools
Tailored service software</t>
  </si>
  <si>
    <t>Process automation
Collaboration software
Integrated systems
Quality assurance tools
Allocation tools</t>
  </si>
  <si>
    <t>SWOT analysis tools
Compliance tools</t>
  </si>
  <si>
    <t>Trend analysis tools
Leadership tools</t>
  </si>
  <si>
    <t>Policy management software
Change management tools
Organizational development tools
Inclusive service platforms
Intervention tools</t>
  </si>
  <si>
    <t>International collaboration tools
SOP software
Data centralization tools
Legal compliance tools</t>
  </si>
  <si>
    <t>Protocol management
IT blueprint tools
API management platforms
Data governance platforms
Identity management
Data privacy tools
Security tools
Encryption tools
Risk forecasting tools</t>
  </si>
  <si>
    <t>Transformation software
IT overhaul tools
Technology deployment tools</t>
  </si>
  <si>
    <t>IT planning software
Focus tools
Financial planning software
Workflow automation tools</t>
  </si>
  <si>
    <t>Service scope tools
Rollout management tools
Maintenance tools
CRM software
Mobile Device Management
Application management tools</t>
  </si>
  <si>
    <t>Service management tools
Rollout tools
Transition management software
Development tools
Outcome tracking tools</t>
  </si>
  <si>
    <t>Focus tools
ROI analysis tools
Value management software
Standardization tools
Organizational chart software</t>
  </si>
  <si>
    <t>Business intelligence tools
Task prioritization tools
Monitoring software
Performance management systems</t>
  </si>
  <si>
    <t>SOP software
Knowledge management systems</t>
  </si>
  <si>
    <t>Execution tools
Policy management software
Coding standards tools</t>
  </si>
  <si>
    <t>Application categorization tools
Lifecycle tools
Investment management software
Tracking tools</t>
  </si>
  <si>
    <t>Strategic planning tools
Risk management software
Gap analysis software</t>
  </si>
  <si>
    <t>Workflow software
Adoption tools
Data-driven tools</t>
  </si>
  <si>
    <t>Content Management System (CMS)
Resource management
Skill development platforms
Project control tools</t>
  </si>
  <si>
    <t>Access tools
Process management tools
Customization platforms</t>
  </si>
  <si>
    <t>Enterprise architecture tools
Time tracking software
Resource planning software</t>
  </si>
  <si>
    <t>Oversight tools
Data integration tools
Integration tools</t>
  </si>
  <si>
    <t>Platform tools
Transition management
Protection software
Data encryption tools</t>
  </si>
  <si>
    <t>Punctuality tools
Data integrity tools
Reporting software
Data fusion tools
Interface tools
Access control software
Data encryption tools</t>
  </si>
  <si>
    <t>Task prioritization tools
Enterprise architecture tools
Monitoring software</t>
  </si>
  <si>
    <t>Optimization tools
Data governance platforms
Efficiency software</t>
  </si>
  <si>
    <t>Compliance tools
Quality management tools
Quality management tools</t>
  </si>
  <si>
    <t>Tech Concepts</t>
  </si>
  <si>
    <t>Centralize management and control of systems and resources for better governance.
Establish and document standard operating procedures (SOPs) to ensure consistency and efficiency across the organization.
Implement and enforce protocols and procedures to ensure compliance and consistency.</t>
  </si>
  <si>
    <t>Assist in designing and managing the structure and operation of an organization's IT infrastructure and applications.
Conduct performance evaluations to assess employee performance and development.
Integrate and unify disparate systems or applications to streamline operations and improve data consistency.
Help organizations track, manage, and report on their environmental and social impacts to promote sustainability.
Ensure adherence to legal and regulatory requirements to mitigate risks.</t>
  </si>
  <si>
    <t>Provide a portal for users to access information, services, and resources.
Define and document standardized procedures and processes to ensure consistency and efficiency.
Implement measures or interventions to address identified issues or challenges proactively.</t>
  </si>
  <si>
    <t>Facilitates communication and cooperation among team members through features such as messaging, file sharing, and project management.
Manage the creation, deployment, and maintenance of Application Programming Interfaces (APIs) to enable integration and interoperability.
Facilitate the movement and transformation of data between systems and applications.</t>
  </si>
  <si>
    <t>Implement lean management principles to streamline processes and eliminate waste.
Assist in planning, executing, and monitoring projects to achieve desired outcomes effectively.
Help organizations track, manage, and report on their environmental and social impacts to promote sustainability.
Provide tools and strategies to mitigate risks and threats to the organization.
Offer online courses and resources for education and learning purposes.</t>
  </si>
  <si>
    <t>Provide training and learning opportunities for employee development and growth.
Facilitates the setting, tracking, and alignment of Objectives and Key Results (OKRs) to improve organizational focus and performance.
Manage and track expenses incurred by the organization for better financial management.</t>
  </si>
  <si>
    <t>Assist in developing and aligning IT strategies with business goals, including technology roadmaps, resource planning, and risk management.
Manage and track organizational policies and procedures for compliance and consistency.
Allocate financial resources effectively to support organizational goals and initiatives.
Gather and analyze data to understand market trends and consumer behavior.</t>
  </si>
  <si>
    <t>Assist in developing and aligning IT strategies with business goals, including technology roadmaps, resource planning, and risk management.
Identify, assess, and mitigate potential risks to the organization's objectives and operations.
Manage and streamline workflows and processes to improve efficiency and productivity across the organization.</t>
  </si>
  <si>
    <t>Promote diversity and inclusion within the organization through various initiatives.
Assist in migrating systems, applications, or data from one environment to another.
Manage relationships and interactions with vendors and suppliers.</t>
  </si>
  <si>
    <t>Create and manage schedules for tasks, projects, or events.
Facilitate the creation and management of project plans, including timelines, tasks, and dependencies.
Manages customer interactions and relationships, including sales, marketing, and customer service activities.
Analyze data and generate insights to support decision-making and planning.</t>
  </si>
  <si>
    <t>Facilitates communication and cooperation among team members through features such as messaging, file sharing, and project management.
Provides a centralized platform for managing customer support requests and inquiries, improving response times and customer satisfaction.
Manage various HR functions such as payroll, benefits, and performance evaluation.</t>
  </si>
  <si>
    <t>Enable the creation and optimization of user interfaces and experiences for digital products and services.
Provide access to and enable the sharing of data in an open and standardized format, promoting transparency and collaboration.
Track and record time spent on tasks or activities for analysis and reporting.</t>
  </si>
  <si>
    <t>Facilitates the management and analysis of investment portfolios, including trading, risk assessment, and performance tracking.
Analyze resource utilization to optimize efficiency and reduce waste.
Create and manage roadmaps for projects, initiatives, or technology implementations.</t>
  </si>
  <si>
    <t>Visualize and analyze data to gain insights and inform decision-making.
Track and manage inventory levels and movements to optimize stock levels.
Manage financial transactions and reporting for organizational accounting purposes.</t>
  </si>
  <si>
    <t>Facilitate the planning and scheduling of tasks, projects, or activities to achieve organizational goals.
Plan and manage budgets to allocate resources effectively and control costs.
Coordinate response efforts and communication during emergencies or crises.</t>
  </si>
  <si>
    <t>Optimize systems, processes, or resources for improved performance and efficiency.
Leverage artificial intelligence technologies to automate tasks and processes for greater efficiency.
Facilitates the management and analysis of investment portfolios, including trading, risk assessment, and performance tracking.
Provide access to and enable the sharing of data in an open and standardized format, promoting transparency and collaboration.</t>
  </si>
  <si>
    <t>Provide middleware solutions to facilitate communication and data exchange between different systems or applications.
Provide access to and enable the sharing of data in an open and standardized format, promoting transparency and collaboration.
Facilitates the management and analysis of investment portfolios, including trading, risk assessment, and performance tracking.</t>
  </si>
  <si>
    <t>Aggregate and combine data from multiple sources to provide a unified view and support analytics and reporting.
Provide access to and enable the sharing of data in an open and standardized format, promoting transparency and collaboration.
Facilitates the management and analysis of investment portfolios, including trading, risk assessment, and performance tracking.
Ensure the quality, integrity, and security of data throughout its lifecycle, including data management, compliance, and privacy.
Facilitates communication and cooperation among team members through features such as messaging, file sharing, and project management.</t>
  </si>
  <si>
    <t>Facilitate the creation and management of project plans, including timelines, tasks, and dependencies.
Provide a consistent and unified interface for users to interact with systems or applications.
Manage and optimize the flow of goods, services, or information through supply chains.
Utilize data mining and statistical algorithms to forecast future trends and behaviors, enabling proactive decision-making.</t>
  </si>
  <si>
    <t>Scale systems or infrastructure to accommodate changing demands or growth.
Improve operational efficiency and effectiveness through automation and optimization.
Implement measures to future-proof systems or processes against emerging challenges or risks.</t>
  </si>
  <si>
    <t>Facilitate the recruitment process by sourcing, screening, and selecting candidates for job positions.
Manage and prioritize organizational goals and initiatives for better focus and alignment.
Develop plans and strategies to address potential risks or disruptions proactively.</t>
  </si>
  <si>
    <t>Balance workloads and distribute resources evenly across systems or networks.
Forecast and plan for future resource needs based on current usage and trends.
Create and maintain a repository of knowledge and information for organizational use.</t>
  </si>
  <si>
    <t>Foster innovation and creativity within the organization through collaborative platforms.
Analyze historical data and trends to identify patterns or insights for strategic planning.</t>
  </si>
  <si>
    <t>Control costs and expenditures to optimize financial performance.
Provide software for educational institutions or training organizations.</t>
  </si>
  <si>
    <t>Facilitate the measurement and assessment of customer or user satisfaction levels.
Identify and address the underlying causes of problems or incidents to prevent recurrence and improve performance.
Conduct audits and assessments to ensure compliance and adherence to standards.</t>
  </si>
  <si>
    <t>Test the performance and scalability of systems or applications under load.
Manage environmental, health, and safety compliance and risks to protect employees and the environment.
Provide support and assistance to users for technical issues or inquiries related to systems or applications.</t>
  </si>
  <si>
    <t>Facilitate communication and collaboration among team members and stakeholders.
Provide tools and resources for training and skill development to support employee growth and development.
Manage employee schedules, shifts, and assignments for efficient workforce management.
Analyze and evaluate investment opportunities to support informed decision-making.</t>
  </si>
  <si>
    <t>Assist in planning, scheduling, and managing projects, including task assignments, progress tracking, and resource allocation.
Facilitate the efficient allocation and reallocation of resources to optimize organizational effectiveness.</t>
  </si>
  <si>
    <t>Prepare for and obtain Project Management Professional (PMP) certification.
Facilitate the planning, execution, and tracking of organizational changes to minimize resistance and maximize adoption.
Help prioritize tasks, projects, or goals based on their importance and impact.</t>
  </si>
  <si>
    <t>Assess and evaluate the value generated by projects or initiatives.
Create and visualize project schedules and timelines to track progress and milestones.
Organize and group data or entities based on similarity or relatedness.</t>
  </si>
  <si>
    <t>Identify, assess, and mitigate risks to protect organizational assets and interests.
Facilitate the planning, implementation, and tracking of organizational changes to minimize disruptions and maximize benefits.
Streamline the recruitment process by managing job postings, applications, and candidate communication.</t>
  </si>
  <si>
    <t>Streamlines the creation, distribution, and enforcement of organizational policies and procedures to ensure compliance and consistency.
Streamline the recruitment process by managing job postings, applications, and candidate communication.
Streamlines the creation, distribution, and enforcement of organizational policies and procedures to ensure compliance and consistency.
Create and manage roadmaps for IT projects, initiatives, or technologies.</t>
  </si>
  <si>
    <t>Facilitates the setting, tracking, and alignment of Objectives and Key Results (OKRs) to improve organizational focus and performance.
Assist in developing and implementing strategic plans to achieve long-term goals and objectives.
Support the planning and execution of organizational transformations, including change management, communication, and training.
Take a comprehensive or integrated approach to address complex issues or challenges within the organization.</t>
  </si>
  <si>
    <t>Implement measures to prevent potential issues or problems from occurring.
Enable the creation and optimization of user interfaces and experiences for digital products and services.
Develop and execute strategies to achieve organizational goals and objectives.
Enhance engagement and interaction with stakeholders through various channels.
Track and manage expenses incurred by the organization for better financial management.
Plan and forecast the human resource needs of the organization to support business objectives and growth initiatives.
Analyze historical data and trends to forecast future events or outcomes.</t>
  </si>
  <si>
    <t>Implement measures to prevent problems or issues from occurring or escalating.
Manage and track interactions with customers to provide efficient and effective service.
Provide tools and resources to support users and address their needs effectively.</t>
  </si>
  <si>
    <t>Monitor and track system uptime and availability to ensure continuous service delivery and minimize downtime.
Enable organizations to gather, analyze, and visualize data to make informed business decisions.
Manage patient records, appointments, and medical billing to streamline healthcare operations.
Manage patient records, appointments, and medical billing to streamline healthcare operations.
Aid in identifying areas for improvement and implementing strategies to enhance performance.
Provide tools to map and visualize the flow of data between systems or processes.
Design user interfaces to improve the usability and accessibility of software applications.
Deliver personalized and customized services to meet the specific needs of customers or clients.</t>
  </si>
  <si>
    <t>Automate manual tasks and workflows to improve productivity and reduce errors.
Facilitate communication and collaboration among team members for better productivity.
Integrate multiple systems or applications to work together seamlessly.
Ensure the quality and reliability of products, services, or processes through testing and validation.
Determine and allocate resources based on organizational priorities and needs.</t>
  </si>
  <si>
    <t>Conduct SWOT (Strengths, Weaknesses, Opportunities, Threats) analysis to assess organizational strategies and objectives.
Ensure adherence to legal, regulatory, and industry standards through monitoring, reporting, and auditing capabilities.</t>
  </si>
  <si>
    <t>Implement upgrades or enhancements to systems, applications, or processes to improve performance and functionality.
Provide tools and resources to support leadership development and effectiveness.</t>
  </si>
  <si>
    <t>Streamlines the creation, distribution, and enforcement of organizational policies and procedures to ensure compliance and consistency.
Plan, implement, and track changes to organizational processes or systems.
Support initiatives to enhance organizational effectiveness, including leadership development, culture change, and performance management.
Provide inclusive services and accommodations to meet diverse needs and requirements.
Analyze the costs and benefits of potential actions or investments to inform decision-making effectively.</t>
  </si>
  <si>
    <t>Facilitate collaboration and communication across global teams with features such as multilingual support and time zone management.
Centralize and standardize Standard Operating Procedures (SOPs) to ensure consistency and compliance across the organization.
Centralize and manage data to ensure consistency, accuracy, and accessibility.
Ensure compliance with legal and regulatory requirements to mitigate risks.</t>
  </si>
  <si>
    <t>Manage and enforce protocols and procedures for organizational compliance and governance.
Develop and document IT strategies and plans for future initiatives and investments.
Manage the creation, deployment, and maintenance of Application Programming Interfaces (APIs) to enable integration and interoperability.
Ensure the quality, integrity, and security of data throughout its lifecycle, including data management, compliance, and privacy.
Manage user identities and access rights to ensure security and compliance.
Ensure compliance with data protection and privacy regulations to safeguard sensitive information.
Provide tools and technologies to secure and protect organizational assets and information.
Encrypt data to protect it from unauthorized access or interception.
Forecast and assess potential risks to inform decision-making and risk management strategies.</t>
  </si>
  <si>
    <t>Support organizational change and transformation initiatives through technology solutions.
Overhaul and modernize IT infrastructure, systems, and processes to improve performance and efficiency.
Deploy and implement technology solutions to support business objectives.</t>
  </si>
  <si>
    <t>Plan and strategize IT initiatives and investments to support business objectives.
Provide tools to help individuals or teams focus on key tasks or objectives.
Assist in budgeting, forecasting, and financial analysis to support strategic decision-making and resource allocation.
Automate repetitive tasks and streamline business processes to improve efficiency and reduce errors.</t>
  </si>
  <si>
    <t>Define and manage the scope of services offered by the organization.
Manage and oversee the rollout of projects or initiatives to ensure success.
Support the ongoing maintenance and upkeep of systems or applications to ensure reliability and performance.
Manages customer interactions and relationships, including sales, marketing, and customer service activities.
Manage and secure mobile devices and applications to protect data and ensure compliance with organizational policies.
Manage and administer applications throughout their lifecycle, from development to retirement.</t>
  </si>
  <si>
    <t>Manage and coordinate the delivery of services to customers or clients.
Manage and oversee the rollout of projects, initiatives, or changes to ensure successful implementation.
Support the planning and execution of transitions, such as mergers, acquisitions, or system migrations, to minimize disruption and risk.
Provide tools and environments for software development and coding.
Track and measure the outcomes and results of projects, initiatives, or interventions.</t>
  </si>
  <si>
    <t>Provide tools and strategies to help individuals or teams maintain focus on key tasks or objectives.
Analyze the return on investment (ROI) of projects, initiatives, or investments.
Assess and optimize the value generated by projects, programs, and investments to maximize returns and outcomes.
Standardize and enforce best practices and processes across the organization.
Create and visualize organizational structures to understand reporting relationships and support workforce planning.</t>
  </si>
  <si>
    <t>Enable organizations to gather, analyze, and visualize data to make informed business decisions.
Help individuals and teams organize and prioritize their tasks to improve productivity and efficiency.
Continuously track and analyze system performance, availability, and health to ensure optimal operation.
Monitor and evaluate employee performance against goals and objectives to support development and performance improvement.</t>
  </si>
  <si>
    <t>Centralize and standardize Standard Operating Procedures (SOPs) to ensure consistency and compliance across the organization.
Capture, store, and share organizational knowledge to support learning, collaboration, and decision-making.</t>
  </si>
  <si>
    <t>Provide tools and support for the effective execution and implementation of plans and strategies.
Manage and track organizational policies and ensure compliance with regulations.
Establish and enforce coding standards and best practices for software development teams.</t>
  </si>
  <si>
    <t>Classify and categorize software applications based on their function, usage, and business impact for better management and governance.
Manage the various stages of the lifecycle of systems, applications, or products.
Facilitates the management and analysis of investment portfolios, including trading, risk assessment, and performance tracking.
Track and monitor various metrics or parameters for analysis and optimization.</t>
  </si>
  <si>
    <t>Support the development and execution of strategic plans, including goal setting, action planning, and performance tracking.
Identify, assess, and mitigate potential risks to the organization's objectives and operations.
Analyze current and desired states to identify gaps and opportunities for improvement.</t>
  </si>
  <si>
    <t>Collect feedback and assess satisfaction levels to identify areas for improvement and enhance customer experience
Facilitate the adoption and implementation of new technologies or processes within the organization.
Utilize data-driven approaches to inform decision-making and strategies.</t>
  </si>
  <si>
    <t>Manage and organize digital content for efficient storage, retrieval, and distribution.
Optimize the allocation and utilization of resources to maximize efficiency and productivity.
Provide platforms for employees to acquire and develop new skills and competencies.
Manage and control project activities to ensure successful project delivery.</t>
  </si>
  <si>
    <t>Manage and control access to systems, applications, or information to ensure security and compliance.
Map, analyze, and optimize business processes to improve efficiency and effectiveness.
Customize software applications to meet specific business requirements.</t>
  </si>
  <si>
    <t>Assist in designing and managing the structure and operation of an organization's IT infrastructure and applications.
Track and monitor time spent on tasks and projects for better resource management.
Plan and allocate resources to meet organizational goals and objectives effectively.</t>
  </si>
  <si>
    <t>Provide oversight and monitoring capabilities to ensure projects and processes are on track.
Aggregate and combine data from multiple sources to provide a unified view and support analytics and reporting.
Facilitate the integration of disparate systems and applications for seamless data exchange.</t>
  </si>
  <si>
    <t>Provide tools and resources to support the development and management of platforms or ecosystems.
Facilitate the transition from one state or condition to another within the organization.
Protect organizational assets and information from threats and vulnerabilities.
Protect sensitive data from unauthorized access or theft by encoding it into unreadable format.</t>
  </si>
  <si>
    <t>Monitor and ensure adherence to schedules and deadlines for tasks or projects.
Ensure the accuracy and reliability of data across systems and processes.
Generate and present data in various formats to support decision-making and analysis.
Combine data from multiple sources or formats to create a comprehensive view or dataset.
Create and manage interfaces for users to interact with systems or applications seamlessly.
Control access to resources and information to protect against unauthorized access.
Protect sensitive data from unauthorized access or theft by encoding it into unreadable format.</t>
  </si>
  <si>
    <t>Help individuals and teams organize and prioritize their tasks to improve productivity and efficiency.
Assist in designing and managing the structure and operation of an organization's IT infrastructure and applications.
Continuously track and analyze system performance, availability, and health to ensure optimal operation.</t>
  </si>
  <si>
    <t>Optimize processes, systems, or resources for better performance and efficiency.
Ensure the quality, integrity, and security of data throughout its lifecycle, including data management, compliance, and privacy.
Improve operational efficiency and effectiveness through automation and optimization.</t>
  </si>
  <si>
    <t>Ensure adherence to legal, regulatory, and industry standards through monitoring and enforcement.
Monitor and ensure the quality of products, services, or processes to meet standards.
Monitor and ensure the quality of products, services, or processes to meet standards.</t>
  </si>
  <si>
    <t>Facts</t>
  </si>
  <si>
    <t>Reference</t>
  </si>
  <si>
    <t>Organizational Values</t>
  </si>
  <si>
    <t>System Deployment and Integration
Operational Effectiveness and Efficiency
System Deployment and Integration
Implementation Challenges and Delays</t>
  </si>
  <si>
    <t>System Deployment and Integration
Policy and Organizational Reform
Business Alignment
Data and Information Management
Strategic Planning and Development</t>
  </si>
  <si>
    <t>Concerns that Need to be added</t>
  </si>
  <si>
    <t>Table 1:  Thematic Analysis</t>
  </si>
  <si>
    <t>Table 2: Glossary</t>
  </si>
  <si>
    <t>Table 3: Concern Check</t>
  </si>
  <si>
    <t>Editable Fields</t>
  </si>
  <si>
    <t>Glossary Check</t>
  </si>
  <si>
    <t>Collaboration and Communication
Collaboration and Communication
Program and Project Management</t>
  </si>
  <si>
    <t>Accuracy of Reporting
Duplication</t>
  </si>
  <si>
    <t>Precise reports
Streamlined processes</t>
  </si>
  <si>
    <t>Data Security, Quality and Privacy
Resource Management and Utilization</t>
  </si>
  <si>
    <t>Current Themes (Organizational Values)</t>
  </si>
  <si>
    <t>Table 4: Current Themes</t>
  </si>
  <si>
    <t>Table 5: Tech Concept Table</t>
  </si>
  <si>
    <t>Table 6: Tool Data</t>
  </si>
  <si>
    <t>Reporting software
Workflow automation tools</t>
  </si>
  <si>
    <t>Generate and present data in various formats to support decision-making and analysis.
Automate repetitive tasks and streamline workflows to improve efficiency.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</si>
</sst>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s>
  <borders count="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7">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0" fillId="7" borderId="0" xfId="0" applyFill="1" applyAlignment="1">
      <alignment horizontal="center" vertical="center" wrapText="1"/>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xf numFmtId="0" fontId="5" fillId="0" borderId="0" xfId="0" applyFont="1" applyFill="1" applyAlignment="1">
      <alignment horizontal="center" vertical="center"/>
    </xf>
    <xf numFmtId="0" fontId="4" fillId="0" borderId="0" xfId="0" applyFont="1" applyFill="1" applyAlignment="1">
      <alignment horizontal="left" vertical="center"/>
    </xf>
  </cellXfs>
  <cellStyles count="1">
    <cellStyle name="Normal" xfId="0" builtinId="0"/>
  </cellStyles>
  <dxfs count="36">
    <dxf>
      <fill>
        <patternFill>
          <bgColor rgb="FFFF0000"/>
        </patternFill>
      </fill>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center" vertical="center" textRotation="0" wrapText="0"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5</xdr:col>
          <xdr:colOff>2324100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6</xdr:col>
          <xdr:colOff>3009900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1</xdr:row>
          <xdr:rowOff>95250</xdr:rowOff>
        </xdr:from>
        <xdr:to>
          <xdr:col>5</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Concerns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xdr:row>
          <xdr:rowOff>47625</xdr:rowOff>
        </xdr:from>
        <xdr:to>
          <xdr:col>7</xdr:col>
          <xdr:colOff>2028825</xdr:colOff>
          <xdr:row>1</xdr:row>
          <xdr:rowOff>438150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4AF58CA2-01A9-41D5-AFF8-697AB81A35A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6:I72" totalsRowShown="0" headerRowDxfId="35" dataDxfId="34" tableBorderDxfId="33">
  <autoFilter ref="A6:I72" xr:uid="{D39C65B1-301A-4664-8C30-852B8C943832}"/>
  <tableColumns count="9">
    <tableColumn id="1" xr3:uid="{E37F10F0-3B28-44D1-909D-56174809CD15}" name="ID" dataDxfId="32">
      <calculatedColumnFormula>A6+1</calculatedColumnFormula>
    </tableColumn>
    <tableColumn id="2" xr3:uid="{AF52C601-054F-4544-8A9F-E4E66B42EAF2}" name="Reference" dataDxfId="31"/>
    <tableColumn id="3" xr3:uid="{98663B65-2A1B-45B8-9B7B-E5AA992F38ED}" name="Extract" dataDxfId="30"/>
    <tableColumn id="4" xr3:uid="{32D4F5A3-434E-41A7-B4FE-8A0A4DDD0E9A}" name="Facts" dataDxfId="29"/>
    <tableColumn id="5" xr3:uid="{58B8B5D6-2CE4-4032-B24A-E79E6D6499FC}" name="Concern" dataDxfId="28"/>
    <tableColumn id="6" xr3:uid="{4CBF119E-EA62-4897-BA19-B5277A113CD7}" name="Possible Solutions" dataDxfId="27"/>
    <tableColumn id="7" xr3:uid="{9245D754-1CF3-4F33-A9FD-11B36365C483}" name="Organizational Values" dataDxfId="26"/>
    <tableColumn id="8" xr3:uid="{1E1314C4-1724-4F46-B5BA-BB850A2B3061}" name="Notes/Additional" dataDxfId="25"/>
    <tableColumn id="9" xr3:uid="{9BABA224-03F1-4C2F-A655-FAAFE66B6540}" name="Glossary Check" dataDxfId="24">
      <calculatedColumnFormula>CheckGlossary($E7, Table2[Concerns])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4:D217" totalsRowShown="0" headerRowDxfId="23" dataDxfId="22">
  <autoFilter ref="A4:D217" xr:uid="{F557346A-8157-4AB7-BA24-95DEAB55C7E0}"/>
  <sortState xmlns:xlrd2="http://schemas.microsoft.com/office/spreadsheetml/2017/richdata2" ref="A5:D217">
    <sortCondition ref="B4:B217"/>
  </sortState>
  <tableColumns count="4">
    <tableColumn id="3" xr3:uid="{9A3530D6-3FA4-4301-B1A8-66D43F02AC61}" name="ID" dataDxfId="21"/>
    <tableColumn id="1" xr3:uid="{A62D73FD-7276-4F2D-9085-D203977C73C4}" name="Concerns" dataDxfId="20"/>
    <tableColumn id="4" xr3:uid="{CEE9EB9B-E91C-41C5-A782-3045000D3D4D}" name="Themes (Organizational Values)"/>
    <tableColumn id="2" xr3:uid="{4D87C797-9AF2-4A53-B9A2-1F9D701C9272}" name="Possible Solutions"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F4:F5" insertRow="1" totalsRowShown="0" headerRowDxfId="18">
  <autoFilter ref="F4:F5" xr:uid="{564EFC92-3300-4F45-A64E-D2ABBD972040}"/>
  <tableColumns count="1">
    <tableColumn id="1" xr3:uid="{484E5B82-363C-4245-9DEE-C2DF5DAAB66B}" name="Concerns that Need to be add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H4:H25" totalsRowShown="0" headerRowDxfId="3" dataDxfId="1">
  <autoFilter ref="H4:H25" xr:uid="{071F6413-E688-439B-ACCD-82F7D0B9CBF0}"/>
  <sortState xmlns:xlrd2="http://schemas.microsoft.com/office/spreadsheetml/2017/richdata2" ref="H5:H4">
    <sortCondition ref="H4"/>
  </sortState>
  <tableColumns count="1">
    <tableColumn id="1" xr3:uid="{D404CA30-2006-4947-A67D-31137D4C5B75}" name="Current Themes (Organizational Values)" dataDxfId="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3:D209" totalsRowShown="0" headerRowDxfId="17" dataDxfId="16">
  <autoFilter ref="A3:D209" xr:uid="{88A77055-C259-414B-BB36-D21754969C94}"/>
  <sortState xmlns:xlrd2="http://schemas.microsoft.com/office/spreadsheetml/2017/richdata2" ref="A4:D209">
    <sortCondition ref="B3:B209"/>
  </sortState>
  <tableColumns count="4">
    <tableColumn id="4" xr3:uid="{9FF417ED-669E-4CD6-B370-3F284EF98416}" name="ID" dataDxfId="15"/>
    <tableColumn id="1" xr3:uid="{0C4B0DBE-4A73-4192-B377-7DA531385DE2}" name="Possible Solutions" dataDxfId="14"/>
    <tableColumn id="2" xr3:uid="{3E208449-6526-44CF-AC59-CB9429924362}" name="Tech Concept" dataDxfId="13"/>
    <tableColumn id="3" xr3:uid="{0C1310BA-D048-4003-820D-563F24B1B8D2}" name="Tech Layers" dataDxfId="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3:G69" totalsRowShown="0" dataDxfId="11">
  <autoFilter ref="A3:G69" xr:uid="{F79CF538-C3D7-4737-A223-A0DBD291B3C6}"/>
  <tableColumns count="7">
    <tableColumn id="1" xr3:uid="{D1D6EA50-9BC1-4A54-BECD-39796F25EBD7}" name="ID" dataDxfId="10">
      <calculatedColumnFormula>'Thematic Analysis'!#REF!</calculatedColumnFormula>
    </tableColumn>
    <tableColumn id="2" xr3:uid="{E24CE3CC-B4B6-4C4F-90E7-295304758DF1}" name="Concern" dataDxfId="9">
      <calculatedColumnFormula>'Thematic Analysis'!$E7</calculatedColumnFormula>
    </tableColumn>
    <tableColumn id="3" xr3:uid="{DDA15557-5AE9-4190-B274-0F309E7E6249}" name="Organizational Value" dataDxfId="8">
      <calculatedColumnFormula>'Thematic Analysis'!$G7</calculatedColumnFormula>
    </tableColumn>
    <tableColumn id="7" xr3:uid="{922643FC-B475-48C8-895E-24816DC8ADB8}" name="Possible Solution" dataDxfId="7">
      <calculatedColumnFormula>'Thematic Analysis'!$F7</calculatedColumnFormula>
    </tableColumn>
    <tableColumn id="4" xr3:uid="{8317CC99-47AA-4512-9B48-6638EFE433BC}" name="Tech Concepts" dataDxfId="6"/>
    <tableColumn id="5" xr3:uid="{CFDDE1F2-4EBC-4AF6-BED1-F881894AC077}" name="Tech Layers" dataDxfId="5"/>
    <tableColumn id="6" xr3:uid="{75D8CE58-185C-4867-8B65-8D04627A39E7}" name="Use Case" dataDxfId="4">
      <calculatedColumnFormula>'Thematic Analysis'!$D7</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265"/>
  <sheetViews>
    <sheetView topLeftCell="D1" zoomScaleNormal="100" workbookViewId="0">
      <pane ySplit="6" topLeftCell="A7" activePane="bottomLeft" state="frozen"/>
      <selection pane="bottomLeft" activeCell="E7" sqref="E7"/>
    </sheetView>
  </sheetViews>
  <sheetFormatPr defaultRowHeight="15" x14ac:dyDescent="0.25"/>
  <cols>
    <col min="1" max="1" width="9.140625" style="2"/>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x14ac:dyDescent="0.3">
      <c r="C1" s="31" t="s">
        <v>0</v>
      </c>
      <c r="D1" s="31"/>
      <c r="E1" s="31"/>
      <c r="F1" s="31"/>
      <c r="I1" s="2"/>
    </row>
    <row r="2" spans="1:9" ht="19.5" thickBot="1" x14ac:dyDescent="0.35">
      <c r="C2" s="27" t="s">
        <v>1</v>
      </c>
      <c r="D2" s="27"/>
      <c r="E2" s="27"/>
      <c r="F2" s="27"/>
      <c r="I2" s="2"/>
    </row>
    <row r="3" spans="1:9" ht="30.75" customHeight="1" thickBot="1" x14ac:dyDescent="0.3">
      <c r="C3" s="28" t="s">
        <v>694</v>
      </c>
      <c r="D3" s="29"/>
      <c r="E3" s="29"/>
      <c r="F3" s="30"/>
      <c r="H3" s="18" t="s">
        <v>1317</v>
      </c>
    </row>
    <row r="4" spans="1:9" ht="57.75" customHeight="1" x14ac:dyDescent="0.25">
      <c r="I4" s="2"/>
    </row>
    <row r="5" spans="1:9" x14ac:dyDescent="0.25">
      <c r="A5" s="26" t="s">
        <v>1314</v>
      </c>
      <c r="B5" s="26"/>
      <c r="C5" s="26"/>
      <c r="D5" s="26"/>
      <c r="E5" s="26"/>
      <c r="F5" s="26"/>
      <c r="G5" s="26"/>
      <c r="H5" s="26"/>
      <c r="I5" s="26"/>
    </row>
    <row r="6" spans="1:9" s="7" customFormat="1" ht="63" customHeight="1" x14ac:dyDescent="0.25">
      <c r="A6" s="15" t="s">
        <v>1179</v>
      </c>
      <c r="B6" s="15" t="s">
        <v>1309</v>
      </c>
      <c r="C6" s="16" t="s">
        <v>634</v>
      </c>
      <c r="D6" s="16" t="s">
        <v>1308</v>
      </c>
      <c r="E6" s="16" t="s">
        <v>729</v>
      </c>
      <c r="F6" s="17" t="s">
        <v>6</v>
      </c>
      <c r="G6" s="16" t="s">
        <v>1310</v>
      </c>
      <c r="H6" s="17" t="s">
        <v>2</v>
      </c>
      <c r="I6" s="17" t="s">
        <v>1318</v>
      </c>
    </row>
    <row r="7" spans="1:9" ht="300" x14ac:dyDescent="0.25">
      <c r="A7" s="19">
        <v>1</v>
      </c>
      <c r="B7" s="20" t="s">
        <v>7</v>
      </c>
      <c r="C7" s="20" t="s">
        <v>25</v>
      </c>
      <c r="D7" s="20" t="s">
        <v>635</v>
      </c>
      <c r="E7" s="21" t="s">
        <v>1320</v>
      </c>
      <c r="F7" s="10" t="s">
        <v>1321</v>
      </c>
      <c r="G7" s="24" t="s">
        <v>1322</v>
      </c>
      <c r="H7" s="4"/>
      <c r="I7" s="10" t="str">
        <f>CheckGlossary($E7, Table2[Concerns])</f>
        <v>In Glossary
In Glossary</v>
      </c>
    </row>
    <row r="8" spans="1:9" ht="60" x14ac:dyDescent="0.25">
      <c r="A8" s="19">
        <f>A7+1</f>
        <v>2</v>
      </c>
      <c r="B8" s="20" t="s">
        <v>3</v>
      </c>
      <c r="C8" s="20" t="s">
        <v>8</v>
      </c>
      <c r="D8" s="20" t="s">
        <v>636</v>
      </c>
      <c r="E8" s="21" t="s">
        <v>137</v>
      </c>
      <c r="F8" s="10" t="s">
        <v>317</v>
      </c>
      <c r="G8" s="10" t="s">
        <v>715</v>
      </c>
      <c r="H8" s="8"/>
      <c r="I8" s="10" t="str">
        <f>CheckGlossary($E8, Table2[Concerns])</f>
        <v>In Glossary</v>
      </c>
    </row>
    <row r="9" spans="1:9" ht="90" x14ac:dyDescent="0.25">
      <c r="A9" s="19">
        <f t="shared" ref="A9:A72" si="0">A8+1</f>
        <v>3</v>
      </c>
      <c r="B9" s="20" t="s">
        <v>3</v>
      </c>
      <c r="C9" s="20" t="s">
        <v>9</v>
      </c>
      <c r="D9" s="20" t="s">
        <v>637</v>
      </c>
      <c r="E9" s="21" t="s">
        <v>139</v>
      </c>
      <c r="F9" s="10" t="s">
        <v>366</v>
      </c>
      <c r="G9" s="10" t="s">
        <v>718</v>
      </c>
      <c r="H9" s="8"/>
      <c r="I9" s="10" t="str">
        <f>CheckGlossary($E9, Table2[Concerns])</f>
        <v>In Glossary</v>
      </c>
    </row>
    <row r="10" spans="1:9" ht="105" x14ac:dyDescent="0.25">
      <c r="A10" s="19">
        <f t="shared" si="0"/>
        <v>4</v>
      </c>
      <c r="B10" s="20" t="s">
        <v>3</v>
      </c>
      <c r="C10" s="20" t="s">
        <v>10</v>
      </c>
      <c r="D10" s="20" t="s">
        <v>638</v>
      </c>
      <c r="E10" s="21" t="s">
        <v>326</v>
      </c>
      <c r="F10" s="10" t="s">
        <v>566</v>
      </c>
      <c r="G10" s="10" t="s">
        <v>730</v>
      </c>
      <c r="H10" s="8"/>
      <c r="I10" s="10" t="str">
        <f>CheckGlossary($E10, Table2[Concerns])</f>
        <v>In Glossary
In Glossary
In Glossary</v>
      </c>
    </row>
    <row r="11" spans="1:9" ht="150" x14ac:dyDescent="0.25">
      <c r="A11" s="19">
        <f t="shared" si="0"/>
        <v>5</v>
      </c>
      <c r="B11" s="20" t="s">
        <v>4</v>
      </c>
      <c r="C11" s="20" t="s">
        <v>33</v>
      </c>
      <c r="D11" s="20" t="s">
        <v>639</v>
      </c>
      <c r="E11" s="21" t="s">
        <v>112</v>
      </c>
      <c r="F11" s="10" t="s">
        <v>567</v>
      </c>
      <c r="G11" s="10" t="s">
        <v>731</v>
      </c>
      <c r="H11" s="9"/>
      <c r="I11" s="10" t="str">
        <f>CheckGlossary($E11, Table2[Concerns])</f>
        <v>In Glossary
In Glossary
In Glossary
In Glossary
In Glossary</v>
      </c>
    </row>
    <row r="12" spans="1:9" ht="60" x14ac:dyDescent="0.25">
      <c r="A12" s="19">
        <f t="shared" si="0"/>
        <v>6</v>
      </c>
      <c r="B12" s="20" t="s">
        <v>12</v>
      </c>
      <c r="C12" s="20" t="s">
        <v>11</v>
      </c>
      <c r="D12" s="20" t="s">
        <v>640</v>
      </c>
      <c r="E12" s="21" t="s">
        <v>327</v>
      </c>
      <c r="F12" s="10" t="s">
        <v>568</v>
      </c>
      <c r="G12" s="10" t="s">
        <v>732</v>
      </c>
      <c r="H12" s="9"/>
      <c r="I12" s="10" t="str">
        <f>CheckGlossary($E12, Table2[Concerns])</f>
        <v>In Glossary
In Glossary
In Glossary</v>
      </c>
    </row>
    <row r="13" spans="1:9" ht="75" x14ac:dyDescent="0.25">
      <c r="A13" s="19">
        <f t="shared" si="0"/>
        <v>7</v>
      </c>
      <c r="B13" s="20" t="s">
        <v>12</v>
      </c>
      <c r="C13" s="20" t="s">
        <v>38</v>
      </c>
      <c r="D13" s="20" t="s">
        <v>641</v>
      </c>
      <c r="E13" s="21" t="s">
        <v>697</v>
      </c>
      <c r="F13" s="10" t="s">
        <v>698</v>
      </c>
      <c r="G13" s="10" t="s">
        <v>733</v>
      </c>
      <c r="H13" s="9"/>
      <c r="I13" s="10" t="str">
        <f>CheckGlossary($E13, Table2[Concerns])</f>
        <v>In Glossary
In Glossary
In Glossary</v>
      </c>
    </row>
    <row r="14" spans="1:9" ht="210" x14ac:dyDescent="0.25">
      <c r="A14" s="19">
        <f t="shared" si="0"/>
        <v>8</v>
      </c>
      <c r="B14" s="20" t="s">
        <v>12</v>
      </c>
      <c r="C14" s="20" t="s">
        <v>39</v>
      </c>
      <c r="D14" s="20" t="s">
        <v>642</v>
      </c>
      <c r="E14" s="21" t="s">
        <v>328</v>
      </c>
      <c r="F14" s="10" t="s">
        <v>569</v>
      </c>
      <c r="G14" s="10" t="s">
        <v>734</v>
      </c>
      <c r="H14" s="9"/>
      <c r="I14" s="10" t="str">
        <f>CheckGlossary($E14, Table2[Concerns])</f>
        <v>In Glossary
In Glossary
In Glossary
In Glossary
In Glossary</v>
      </c>
    </row>
    <row r="15" spans="1:9" ht="255" x14ac:dyDescent="0.25">
      <c r="A15" s="19">
        <f t="shared" si="0"/>
        <v>9</v>
      </c>
      <c r="B15" s="20" t="s">
        <v>13</v>
      </c>
      <c r="C15" s="20" t="s">
        <v>34</v>
      </c>
      <c r="D15" s="20" t="s">
        <v>643</v>
      </c>
      <c r="E15" s="21" t="s">
        <v>113</v>
      </c>
      <c r="F15" s="10" t="s">
        <v>570</v>
      </c>
      <c r="G15" s="10" t="s">
        <v>735</v>
      </c>
      <c r="H15" s="9"/>
      <c r="I15" s="10" t="str">
        <f>CheckGlossary($E15, Table2[Concerns])</f>
        <v>In Glossary
In Glossary
In Glossary</v>
      </c>
    </row>
    <row r="16" spans="1:9" ht="225" x14ac:dyDescent="0.25">
      <c r="A16" s="19">
        <f t="shared" si="0"/>
        <v>10</v>
      </c>
      <c r="B16" s="20" t="s">
        <v>14</v>
      </c>
      <c r="C16" s="20" t="s">
        <v>35</v>
      </c>
      <c r="D16" s="20" t="s">
        <v>644</v>
      </c>
      <c r="E16" s="21" t="s">
        <v>329</v>
      </c>
      <c r="F16" s="10" t="s">
        <v>571</v>
      </c>
      <c r="G16" s="10" t="s">
        <v>736</v>
      </c>
      <c r="H16" s="9"/>
      <c r="I16" s="10" t="str">
        <f>CheckGlossary($E16, Table2[Concerns])</f>
        <v>In Glossary
In Glossary
In Glossary
In Glossary</v>
      </c>
    </row>
    <row r="17" spans="1:9" ht="330" x14ac:dyDescent="0.25">
      <c r="A17" s="19">
        <f t="shared" si="0"/>
        <v>11</v>
      </c>
      <c r="B17" s="20" t="s">
        <v>15</v>
      </c>
      <c r="C17" s="20" t="s">
        <v>16</v>
      </c>
      <c r="D17" s="20" t="s">
        <v>645</v>
      </c>
      <c r="E17" s="21" t="s">
        <v>330</v>
      </c>
      <c r="F17" s="10" t="s">
        <v>572</v>
      </c>
      <c r="G17" s="10" t="s">
        <v>737</v>
      </c>
      <c r="H17" s="9"/>
      <c r="I17" s="10" t="str">
        <f>CheckGlossary($E17, Table2[Concerns])</f>
        <v>In Glossary
In Glossary
In Glossary</v>
      </c>
    </row>
    <row r="18" spans="1:9" ht="240" x14ac:dyDescent="0.25">
      <c r="A18" s="19">
        <f t="shared" si="0"/>
        <v>12</v>
      </c>
      <c r="B18" s="20" t="s">
        <v>17</v>
      </c>
      <c r="C18" s="20" t="s">
        <v>26</v>
      </c>
      <c r="D18" s="20" t="s">
        <v>646</v>
      </c>
      <c r="E18" s="21" t="s">
        <v>168</v>
      </c>
      <c r="F18" s="10" t="s">
        <v>399</v>
      </c>
      <c r="G18" s="10" t="s">
        <v>712</v>
      </c>
      <c r="H18" s="9"/>
      <c r="I18" s="10" t="str">
        <f>CheckGlossary($E18, Table2[Concerns])</f>
        <v>In Glossary</v>
      </c>
    </row>
    <row r="19" spans="1:9" ht="90" x14ac:dyDescent="0.25">
      <c r="A19" s="19">
        <f t="shared" si="0"/>
        <v>13</v>
      </c>
      <c r="B19" s="20" t="s">
        <v>17</v>
      </c>
      <c r="C19" s="20" t="s">
        <v>36</v>
      </c>
      <c r="D19" s="20" t="s">
        <v>647</v>
      </c>
      <c r="E19" s="21" t="s">
        <v>54</v>
      </c>
      <c r="F19" s="10" t="s">
        <v>573</v>
      </c>
      <c r="G19" s="10" t="s">
        <v>738</v>
      </c>
      <c r="H19" s="8"/>
      <c r="I19" s="10" t="str">
        <f>CheckGlossary($E19, Table2[Concerns])</f>
        <v>In Glossary
In Glossary
In Glossary</v>
      </c>
    </row>
    <row r="20" spans="1:9" ht="120" x14ac:dyDescent="0.25">
      <c r="A20" s="19">
        <f t="shared" si="0"/>
        <v>14</v>
      </c>
      <c r="B20" s="20" t="s">
        <v>18</v>
      </c>
      <c r="C20" s="20" t="s">
        <v>37</v>
      </c>
      <c r="D20" s="20" t="s">
        <v>648</v>
      </c>
      <c r="E20" s="21" t="s">
        <v>135</v>
      </c>
      <c r="F20" s="10" t="s">
        <v>574</v>
      </c>
      <c r="G20" s="10" t="s">
        <v>739</v>
      </c>
      <c r="H20" s="8"/>
      <c r="I20" s="10" t="str">
        <f>CheckGlossary($E20, Table2[Concerns])</f>
        <v>In Glossary
In Glossary
In Glossary
In Glossary</v>
      </c>
    </row>
    <row r="21" spans="1:9" ht="150" x14ac:dyDescent="0.25">
      <c r="A21" s="19">
        <f t="shared" si="0"/>
        <v>15</v>
      </c>
      <c r="B21" s="20" t="s">
        <v>18</v>
      </c>
      <c r="C21" s="22" t="s">
        <v>27</v>
      </c>
      <c r="D21" s="22" t="s">
        <v>649</v>
      </c>
      <c r="E21" s="21" t="s">
        <v>136</v>
      </c>
      <c r="F21" s="10" t="s">
        <v>575</v>
      </c>
      <c r="G21" s="10" t="s">
        <v>1319</v>
      </c>
      <c r="H21" s="8"/>
      <c r="I21" s="10" t="str">
        <f>CheckGlossary($E21, Table2[Concerns])</f>
        <v>In Glossary
In Glossary
In Glossary</v>
      </c>
    </row>
    <row r="22" spans="1:9" ht="105" x14ac:dyDescent="0.25">
      <c r="A22" s="19">
        <f t="shared" si="0"/>
        <v>16</v>
      </c>
      <c r="B22" s="20" t="s">
        <v>18</v>
      </c>
      <c r="C22" s="20" t="s">
        <v>19</v>
      </c>
      <c r="D22" s="20" t="s">
        <v>650</v>
      </c>
      <c r="E22" s="21" t="s">
        <v>114</v>
      </c>
      <c r="F22" s="10" t="s">
        <v>576</v>
      </c>
      <c r="G22" s="10" t="s">
        <v>740</v>
      </c>
      <c r="H22" s="8"/>
      <c r="I22" s="10" t="str">
        <f>CheckGlossary($E22, Table2[Concerns])</f>
        <v>In Glossary
In Glossary
In Glossary</v>
      </c>
    </row>
    <row r="23" spans="1:9" ht="75" x14ac:dyDescent="0.25">
      <c r="A23" s="19">
        <f t="shared" si="0"/>
        <v>17</v>
      </c>
      <c r="B23" s="20" t="s">
        <v>20</v>
      </c>
      <c r="C23" s="20" t="s">
        <v>21</v>
      </c>
      <c r="D23" s="20" t="s">
        <v>651</v>
      </c>
      <c r="E23" s="21" t="s">
        <v>331</v>
      </c>
      <c r="F23" s="10" t="s">
        <v>577</v>
      </c>
      <c r="G23" s="10" t="s">
        <v>741</v>
      </c>
      <c r="H23" s="8"/>
      <c r="I23" s="10" t="str">
        <f>CheckGlossary($E23, Table2[Concerns])</f>
        <v>In Glossary
In Glossary
In Glossary</v>
      </c>
    </row>
    <row r="24" spans="1:9" ht="60" x14ac:dyDescent="0.25">
      <c r="A24" s="19">
        <f t="shared" si="0"/>
        <v>18</v>
      </c>
      <c r="B24" s="20" t="s">
        <v>20</v>
      </c>
      <c r="C24" s="20" t="s">
        <v>28</v>
      </c>
      <c r="D24" s="20" t="s">
        <v>652</v>
      </c>
      <c r="E24" s="21" t="s">
        <v>332</v>
      </c>
      <c r="F24" s="10" t="s">
        <v>578</v>
      </c>
      <c r="G24" s="10" t="s">
        <v>742</v>
      </c>
      <c r="H24" s="8"/>
      <c r="I24" s="10" t="str">
        <f>CheckGlossary($E24, Table2[Concerns])</f>
        <v>In Glossary
In Glossary
In Glossary</v>
      </c>
    </row>
    <row r="25" spans="1:9" ht="75" x14ac:dyDescent="0.25">
      <c r="A25" s="19">
        <f t="shared" si="0"/>
        <v>19</v>
      </c>
      <c r="B25" s="20" t="s">
        <v>20</v>
      </c>
      <c r="C25" s="20" t="s">
        <v>29</v>
      </c>
      <c r="D25" s="20" t="s">
        <v>653</v>
      </c>
      <c r="E25" s="21" t="s">
        <v>333</v>
      </c>
      <c r="F25" s="10" t="s">
        <v>579</v>
      </c>
      <c r="G25" s="10" t="s">
        <v>743</v>
      </c>
      <c r="H25" s="8"/>
      <c r="I25" s="10" t="str">
        <f>CheckGlossary($E25, Table2[Concerns])</f>
        <v>In Glossary
In Glossary
In Glossary</v>
      </c>
    </row>
    <row r="26" spans="1:9" ht="135" x14ac:dyDescent="0.25">
      <c r="A26" s="19">
        <f t="shared" si="0"/>
        <v>20</v>
      </c>
      <c r="B26" s="20" t="s">
        <v>20</v>
      </c>
      <c r="C26" s="20" t="s">
        <v>30</v>
      </c>
      <c r="D26" s="20" t="s">
        <v>654</v>
      </c>
      <c r="E26" s="23" t="s">
        <v>699</v>
      </c>
      <c r="F26" s="10" t="s">
        <v>702</v>
      </c>
      <c r="G26" s="10" t="s">
        <v>744</v>
      </c>
      <c r="H26" s="8"/>
      <c r="I26" s="10" t="str">
        <f>CheckGlossary($E26, Table2[Concerns])</f>
        <v>In Glossary
In Glossary
In Glossary
In Glossary</v>
      </c>
    </row>
    <row r="27" spans="1:9" ht="165" x14ac:dyDescent="0.25">
      <c r="A27" s="19">
        <f t="shared" si="0"/>
        <v>21</v>
      </c>
      <c r="B27" s="20" t="s">
        <v>20</v>
      </c>
      <c r="C27" s="20" t="s">
        <v>40</v>
      </c>
      <c r="D27" s="20" t="s">
        <v>655</v>
      </c>
      <c r="E27" s="21" t="s">
        <v>334</v>
      </c>
      <c r="F27" s="10" t="s">
        <v>580</v>
      </c>
      <c r="G27" s="10" t="s">
        <v>745</v>
      </c>
      <c r="H27" s="8"/>
      <c r="I27" s="10" t="str">
        <f>CheckGlossary($E27, Table2[Concerns])</f>
        <v>In Glossary
In Glossary
In Glossary</v>
      </c>
    </row>
    <row r="28" spans="1:9" ht="409.5" x14ac:dyDescent="0.25">
      <c r="A28" s="19">
        <f t="shared" si="0"/>
        <v>22</v>
      </c>
      <c r="B28" s="20" t="s">
        <v>22</v>
      </c>
      <c r="C28" s="20" t="s">
        <v>31</v>
      </c>
      <c r="D28" s="20" t="s">
        <v>656</v>
      </c>
      <c r="E28" s="21" t="s">
        <v>700</v>
      </c>
      <c r="F28" s="10" t="s">
        <v>703</v>
      </c>
      <c r="G28" s="10" t="s">
        <v>746</v>
      </c>
      <c r="H28" s="8"/>
      <c r="I28" s="10" t="str">
        <f>CheckGlossary($E28, Table2[Concerns])</f>
        <v>In Glossary
In Glossary
In Glossary
In Glossary
In Glossary</v>
      </c>
    </row>
    <row r="29" spans="1:9" ht="165" x14ac:dyDescent="0.25">
      <c r="A29" s="19">
        <f t="shared" si="0"/>
        <v>23</v>
      </c>
      <c r="B29" s="20" t="s">
        <v>23</v>
      </c>
      <c r="C29" s="20" t="s">
        <v>32</v>
      </c>
      <c r="D29" s="20" t="s">
        <v>657</v>
      </c>
      <c r="E29" s="21" t="s">
        <v>701</v>
      </c>
      <c r="F29" s="10" t="s">
        <v>704</v>
      </c>
      <c r="G29" s="10" t="s">
        <v>747</v>
      </c>
      <c r="H29" s="8"/>
      <c r="I29" s="10" t="str">
        <f>CheckGlossary($E29, Table2[Concerns])</f>
        <v>In Glossary
In Glossary
In Glossary
In Glossary</v>
      </c>
    </row>
    <row r="30" spans="1:9" ht="90" x14ac:dyDescent="0.25">
      <c r="A30" s="19">
        <f t="shared" si="0"/>
        <v>24</v>
      </c>
      <c r="B30" s="20" t="s">
        <v>24</v>
      </c>
      <c r="C30" s="20" t="s">
        <v>41</v>
      </c>
      <c r="D30" s="22" t="s">
        <v>658</v>
      </c>
      <c r="E30" s="21" t="s">
        <v>335</v>
      </c>
      <c r="F30" s="10" t="s">
        <v>581</v>
      </c>
      <c r="G30" s="10" t="s">
        <v>748</v>
      </c>
      <c r="H30" s="8"/>
      <c r="I30" s="10" t="str">
        <f>CheckGlossary($E30, Table2[Concerns])</f>
        <v>In Glossary
In Glossary
In Glossary</v>
      </c>
    </row>
    <row r="31" spans="1:9" ht="75" customHeight="1" x14ac:dyDescent="0.25">
      <c r="A31" s="19">
        <f t="shared" si="0"/>
        <v>25</v>
      </c>
      <c r="B31" s="20" t="s">
        <v>24</v>
      </c>
      <c r="C31" s="20" t="s">
        <v>42</v>
      </c>
      <c r="D31" s="20" t="s">
        <v>659</v>
      </c>
      <c r="E31" s="21" t="s">
        <v>115</v>
      </c>
      <c r="F31" s="10" t="s">
        <v>582</v>
      </c>
      <c r="G31" s="10" t="s">
        <v>749</v>
      </c>
      <c r="H31" s="8"/>
      <c r="I31" s="10" t="str">
        <f>CheckGlossary($E31, Table2[Concerns])</f>
        <v>In Glossary
In Glossary
In Glossary</v>
      </c>
    </row>
    <row r="32" spans="1:9" ht="75" x14ac:dyDescent="0.25">
      <c r="A32" s="19">
        <f t="shared" si="0"/>
        <v>26</v>
      </c>
      <c r="B32" s="20" t="s">
        <v>24</v>
      </c>
      <c r="C32" s="20" t="s">
        <v>43</v>
      </c>
      <c r="D32" s="20" t="s">
        <v>660</v>
      </c>
      <c r="E32" s="21" t="s">
        <v>612</v>
      </c>
      <c r="F32" s="10" t="s">
        <v>613</v>
      </c>
      <c r="G32" s="10" t="s">
        <v>750</v>
      </c>
      <c r="H32" s="8"/>
      <c r="I32" s="10" t="str">
        <f>CheckGlossary($E32, Table2[Concerns])</f>
        <v>In Glossary
In Glossary
In Glossary</v>
      </c>
    </row>
    <row r="33" spans="1:9" ht="45" x14ac:dyDescent="0.25">
      <c r="A33" s="19">
        <f t="shared" si="0"/>
        <v>27</v>
      </c>
      <c r="B33" s="20" t="s">
        <v>24</v>
      </c>
      <c r="C33" s="20" t="s">
        <v>44</v>
      </c>
      <c r="D33" s="20" t="s">
        <v>44</v>
      </c>
      <c r="E33" s="21" t="s">
        <v>116</v>
      </c>
      <c r="F33" s="10" t="s">
        <v>583</v>
      </c>
      <c r="G33" s="10" t="s">
        <v>751</v>
      </c>
      <c r="H33" s="8"/>
      <c r="I33" s="10" t="str">
        <f>CheckGlossary($E33, Table2[Concerns])</f>
        <v>In Glossary
In Glossary</v>
      </c>
    </row>
    <row r="34" spans="1:9" ht="30" x14ac:dyDescent="0.25">
      <c r="A34" s="19">
        <f t="shared" si="0"/>
        <v>28</v>
      </c>
      <c r="B34" s="20" t="s">
        <v>24</v>
      </c>
      <c r="C34" s="20" t="s">
        <v>45</v>
      </c>
      <c r="D34" s="20" t="s">
        <v>45</v>
      </c>
      <c r="E34" s="21" t="s">
        <v>117</v>
      </c>
      <c r="F34" s="10" t="s">
        <v>584</v>
      </c>
      <c r="G34" s="10" t="s">
        <v>752</v>
      </c>
      <c r="H34" s="8"/>
      <c r="I34" s="10" t="str">
        <f>CheckGlossary($E34, Table2[Concerns])</f>
        <v>In Glossary
In Glossary</v>
      </c>
    </row>
    <row r="35" spans="1:9" ht="45" x14ac:dyDescent="0.25">
      <c r="A35" s="19">
        <f t="shared" si="0"/>
        <v>29</v>
      </c>
      <c r="B35" s="20" t="s">
        <v>24</v>
      </c>
      <c r="C35" s="20" t="s">
        <v>46</v>
      </c>
      <c r="D35" s="20" t="s">
        <v>46</v>
      </c>
      <c r="E35" s="21" t="s">
        <v>118</v>
      </c>
      <c r="F35" s="10" t="s">
        <v>585</v>
      </c>
      <c r="G35" s="10" t="s">
        <v>753</v>
      </c>
      <c r="H35" s="8"/>
      <c r="I35" s="10" t="str">
        <f>CheckGlossary($E35, Table2[Concerns])</f>
        <v>In Glossary
In Glossary
In Glossary</v>
      </c>
    </row>
    <row r="36" spans="1:9" ht="105" x14ac:dyDescent="0.25">
      <c r="A36" s="19">
        <f t="shared" si="0"/>
        <v>30</v>
      </c>
      <c r="B36" s="20" t="s">
        <v>24</v>
      </c>
      <c r="C36" s="20" t="s">
        <v>47</v>
      </c>
      <c r="D36" s="20" t="s">
        <v>661</v>
      </c>
      <c r="E36" s="21" t="s">
        <v>336</v>
      </c>
      <c r="F36" s="10" t="s">
        <v>586</v>
      </c>
      <c r="G36" s="10" t="s">
        <v>754</v>
      </c>
      <c r="H36" s="8"/>
      <c r="I36" s="10" t="str">
        <f>CheckGlossary($E36, Table2[Concerns])</f>
        <v>In Glossary
In Glossary
In Glossary</v>
      </c>
    </row>
    <row r="37" spans="1:9" ht="90" x14ac:dyDescent="0.25">
      <c r="A37" s="19">
        <f t="shared" si="0"/>
        <v>31</v>
      </c>
      <c r="B37" s="20" t="s">
        <v>24</v>
      </c>
      <c r="C37" s="20" t="s">
        <v>48</v>
      </c>
      <c r="D37" s="20" t="s">
        <v>662</v>
      </c>
      <c r="E37" s="21" t="s">
        <v>337</v>
      </c>
      <c r="F37" s="10" t="s">
        <v>587</v>
      </c>
      <c r="G37" s="10" t="s">
        <v>755</v>
      </c>
      <c r="H37" s="8"/>
      <c r="I37" s="10" t="str">
        <f>CheckGlossary($E37, Table2[Concerns])</f>
        <v>In Glossary
In Glossary
In Glossary
In Glossary</v>
      </c>
    </row>
    <row r="38" spans="1:9" ht="75" x14ac:dyDescent="0.25">
      <c r="A38" s="19">
        <f t="shared" si="0"/>
        <v>32</v>
      </c>
      <c r="B38" s="20" t="s">
        <v>24</v>
      </c>
      <c r="C38" s="20" t="s">
        <v>49</v>
      </c>
      <c r="D38" s="20" t="s">
        <v>49</v>
      </c>
      <c r="E38" s="21" t="s">
        <v>119</v>
      </c>
      <c r="F38" s="10" t="s">
        <v>588</v>
      </c>
      <c r="G38" s="10" t="s">
        <v>756</v>
      </c>
      <c r="H38" s="8"/>
      <c r="I38" s="10" t="str">
        <f>CheckGlossary($E38, Table2[Concerns])</f>
        <v>In Glossary
In Glossary</v>
      </c>
    </row>
    <row r="39" spans="1:9" ht="105" x14ac:dyDescent="0.25">
      <c r="A39" s="19">
        <f t="shared" si="0"/>
        <v>33</v>
      </c>
      <c r="B39" s="20" t="s">
        <v>24</v>
      </c>
      <c r="C39" s="20" t="s">
        <v>50</v>
      </c>
      <c r="D39" s="20" t="s">
        <v>50</v>
      </c>
      <c r="E39" s="21" t="s">
        <v>338</v>
      </c>
      <c r="F39" s="10" t="s">
        <v>589</v>
      </c>
      <c r="G39" s="25" t="s">
        <v>757</v>
      </c>
      <c r="H39" s="8"/>
      <c r="I39" s="10" t="str">
        <f>CheckGlossary($E39, Table2[Concerns])</f>
        <v>In Glossary
In Glossary
In Glossary</v>
      </c>
    </row>
    <row r="40" spans="1:9" ht="60" x14ac:dyDescent="0.25">
      <c r="A40" s="19">
        <f t="shared" si="0"/>
        <v>34</v>
      </c>
      <c r="B40" s="20" t="s">
        <v>24</v>
      </c>
      <c r="C40" s="20" t="s">
        <v>51</v>
      </c>
      <c r="D40" s="20" t="s">
        <v>663</v>
      </c>
      <c r="E40" s="21" t="s">
        <v>55</v>
      </c>
      <c r="F40" s="10" t="s">
        <v>590</v>
      </c>
      <c r="G40" s="10" t="s">
        <v>758</v>
      </c>
      <c r="H40" s="8"/>
      <c r="I40" s="10" t="str">
        <f>CheckGlossary($E40, Table2[Concerns])</f>
        <v>In Glossary
In Glossary
In Glossary</v>
      </c>
    </row>
    <row r="41" spans="1:9" ht="105" x14ac:dyDescent="0.25">
      <c r="A41" s="19">
        <f t="shared" si="0"/>
        <v>35</v>
      </c>
      <c r="B41" s="20" t="s">
        <v>52</v>
      </c>
      <c r="C41" s="20" t="s">
        <v>53</v>
      </c>
      <c r="D41" s="20" t="s">
        <v>664</v>
      </c>
      <c r="E41" s="21" t="s">
        <v>56</v>
      </c>
      <c r="F41" s="10" t="s">
        <v>591</v>
      </c>
      <c r="G41" s="10" t="s">
        <v>758</v>
      </c>
      <c r="H41" s="8"/>
      <c r="I41" s="10" t="str">
        <f>CheckGlossary($E41, Table2[Concerns])</f>
        <v>In Glossary
In Glossary
In Glossary</v>
      </c>
    </row>
    <row r="42" spans="1:9" ht="150" x14ac:dyDescent="0.25">
      <c r="A42" s="19">
        <f t="shared" si="0"/>
        <v>36</v>
      </c>
      <c r="B42" s="20" t="s">
        <v>57</v>
      </c>
      <c r="C42" s="20" t="s">
        <v>58</v>
      </c>
      <c r="D42" s="20" t="s">
        <v>665</v>
      </c>
      <c r="E42" s="21" t="s">
        <v>120</v>
      </c>
      <c r="F42" s="10" t="s">
        <v>592</v>
      </c>
      <c r="G42" s="10" t="s">
        <v>1311</v>
      </c>
      <c r="H42" s="8"/>
      <c r="I42" s="10" t="str">
        <f>CheckGlossary($E42, Table2[Concerns])</f>
        <v>In Glossary
In Glossary
In Glossary
In Glossary</v>
      </c>
    </row>
    <row r="43" spans="1:9" ht="120" x14ac:dyDescent="0.25">
      <c r="A43" s="19">
        <f t="shared" si="0"/>
        <v>37</v>
      </c>
      <c r="B43" s="20" t="s">
        <v>57</v>
      </c>
      <c r="C43" s="20" t="s">
        <v>59</v>
      </c>
      <c r="D43" s="20" t="s">
        <v>666</v>
      </c>
      <c r="E43" s="21" t="s">
        <v>60</v>
      </c>
      <c r="F43" s="10" t="s">
        <v>593</v>
      </c>
      <c r="G43" s="10" t="s">
        <v>759</v>
      </c>
      <c r="H43" s="8"/>
      <c r="I43" s="10" t="str">
        <f>CheckGlossary($E43, Table2[Concerns])</f>
        <v>In Glossary
In Glossary
In Glossary
In Glossary</v>
      </c>
    </row>
    <row r="44" spans="1:9" ht="225" x14ac:dyDescent="0.25">
      <c r="A44" s="19">
        <f t="shared" si="0"/>
        <v>38</v>
      </c>
      <c r="B44" s="20" t="s">
        <v>62</v>
      </c>
      <c r="C44" s="20" t="s">
        <v>61</v>
      </c>
      <c r="D44" s="20" t="s">
        <v>667</v>
      </c>
      <c r="E44" s="21" t="s">
        <v>614</v>
      </c>
      <c r="F44" s="10" t="s">
        <v>615</v>
      </c>
      <c r="G44" s="10" t="s">
        <v>760</v>
      </c>
      <c r="H44" s="8"/>
      <c r="I44" s="10" t="str">
        <f>CheckGlossary($E44, Table2[Concerns])</f>
        <v>In Glossary
In Glossary
In Glossary
In Glossary
In Glossary
In Glossary
In Glossary</v>
      </c>
    </row>
    <row r="45" spans="1:9" ht="120" x14ac:dyDescent="0.25">
      <c r="A45" s="19">
        <f t="shared" si="0"/>
        <v>39</v>
      </c>
      <c r="B45" s="20" t="s">
        <v>63</v>
      </c>
      <c r="C45" s="20" t="s">
        <v>64</v>
      </c>
      <c r="D45" s="20" t="s">
        <v>668</v>
      </c>
      <c r="E45" s="21" t="s">
        <v>134</v>
      </c>
      <c r="F45" s="10" t="s">
        <v>594</v>
      </c>
      <c r="G45" s="10" t="s">
        <v>761</v>
      </c>
      <c r="H45" s="8"/>
      <c r="I45" s="10" t="str">
        <f>CheckGlossary($E45, Table2[Concerns])</f>
        <v>In Glossary
In Glossary
In Glossary</v>
      </c>
    </row>
    <row r="46" spans="1:9" ht="120" x14ac:dyDescent="0.25">
      <c r="A46" s="19">
        <f t="shared" si="0"/>
        <v>40</v>
      </c>
      <c r="B46" s="20" t="s">
        <v>65</v>
      </c>
      <c r="C46" s="20" t="s">
        <v>66</v>
      </c>
      <c r="D46" s="20" t="s">
        <v>669</v>
      </c>
      <c r="E46" s="21" t="s">
        <v>121</v>
      </c>
      <c r="F46" s="10" t="s">
        <v>595</v>
      </c>
      <c r="G46" s="10" t="s">
        <v>762</v>
      </c>
      <c r="H46" s="8"/>
      <c r="I46" s="10" t="str">
        <f>CheckGlossary($E46, Table2[Concerns])</f>
        <v>In Glossary
In Glossary
In Glossary
In Glossary
In Glossary
In Glossary
In Glossary
In Glossary</v>
      </c>
    </row>
    <row r="47" spans="1:9" ht="150" x14ac:dyDescent="0.25">
      <c r="A47" s="19">
        <f t="shared" si="0"/>
        <v>41</v>
      </c>
      <c r="B47" s="20" t="s">
        <v>67</v>
      </c>
      <c r="C47" s="20" t="s">
        <v>68</v>
      </c>
      <c r="D47" s="20" t="s">
        <v>670</v>
      </c>
      <c r="E47" s="21" t="s">
        <v>122</v>
      </c>
      <c r="F47" s="10" t="s">
        <v>596</v>
      </c>
      <c r="G47" s="10" t="s">
        <v>763</v>
      </c>
      <c r="H47" s="8"/>
      <c r="I47" s="10" t="str">
        <f>CheckGlossary($E47, Table2[Concerns])</f>
        <v>In Glossary
In Glossary
In Glossary
In Glossary
In Glossary</v>
      </c>
    </row>
    <row r="48" spans="1:9" ht="75" x14ac:dyDescent="0.25">
      <c r="A48" s="19">
        <f t="shared" si="0"/>
        <v>42</v>
      </c>
      <c r="B48" s="20" t="s">
        <v>69</v>
      </c>
      <c r="C48" s="20" t="s">
        <v>70</v>
      </c>
      <c r="D48" s="20" t="s">
        <v>671</v>
      </c>
      <c r="E48" s="21" t="s">
        <v>123</v>
      </c>
      <c r="F48" s="10" t="s">
        <v>597</v>
      </c>
      <c r="G48" s="10" t="s">
        <v>764</v>
      </c>
      <c r="H48" s="8"/>
      <c r="I48" s="10" t="str">
        <f>CheckGlossary($E48, Table2[Concerns])</f>
        <v>In Glossary
In Glossary</v>
      </c>
    </row>
    <row r="49" spans="1:9" ht="225" x14ac:dyDescent="0.25">
      <c r="A49" s="19">
        <f t="shared" si="0"/>
        <v>43</v>
      </c>
      <c r="B49" s="20" t="s">
        <v>71</v>
      </c>
      <c r="C49" s="20" t="s">
        <v>72</v>
      </c>
      <c r="D49" s="20" t="s">
        <v>672</v>
      </c>
      <c r="E49" s="21" t="s">
        <v>124</v>
      </c>
      <c r="F49" s="10" t="s">
        <v>598</v>
      </c>
      <c r="G49" s="10" t="s">
        <v>765</v>
      </c>
      <c r="H49" s="8"/>
      <c r="I49" s="10" t="str">
        <f>CheckGlossary($E49, Table2[Concerns])</f>
        <v>In Glossary
In Glossary</v>
      </c>
    </row>
    <row r="50" spans="1:9" ht="165" x14ac:dyDescent="0.25">
      <c r="A50" s="19">
        <f t="shared" si="0"/>
        <v>44</v>
      </c>
      <c r="B50" s="20" t="s">
        <v>71</v>
      </c>
      <c r="C50" s="20" t="s">
        <v>73</v>
      </c>
      <c r="D50" s="20" t="s">
        <v>673</v>
      </c>
      <c r="E50" s="21" t="s">
        <v>695</v>
      </c>
      <c r="F50" s="10" t="s">
        <v>705</v>
      </c>
      <c r="G50" s="10" t="s">
        <v>1312</v>
      </c>
      <c r="H50" s="8"/>
      <c r="I50" s="10" t="str">
        <f>CheckGlossary($E50, Table2[Concerns])</f>
        <v>In Glossary
In Glossary
In Glossary
In Glossary
In Glossary</v>
      </c>
    </row>
    <row r="51" spans="1:9" ht="150" x14ac:dyDescent="0.25">
      <c r="A51" s="19">
        <f t="shared" si="0"/>
        <v>45</v>
      </c>
      <c r="B51" s="20" t="s">
        <v>71</v>
      </c>
      <c r="C51" s="20" t="s">
        <v>696</v>
      </c>
      <c r="D51" s="20" t="s">
        <v>674</v>
      </c>
      <c r="E51" s="21" t="s">
        <v>125</v>
      </c>
      <c r="F51" s="10" t="s">
        <v>599</v>
      </c>
      <c r="G51" s="10" t="s">
        <v>766</v>
      </c>
      <c r="H51" s="8"/>
      <c r="I51" s="10" t="str">
        <f>CheckGlossary($E51, Table2[Concerns])</f>
        <v>In Glossary
In Glossary
In Glossary
In Glossary</v>
      </c>
    </row>
    <row r="52" spans="1:9" ht="409.5" x14ac:dyDescent="0.25">
      <c r="A52" s="19">
        <f t="shared" si="0"/>
        <v>46</v>
      </c>
      <c r="B52" s="20" t="s">
        <v>74</v>
      </c>
      <c r="C52" s="20" t="s">
        <v>75</v>
      </c>
      <c r="D52" s="20" t="s">
        <v>706</v>
      </c>
      <c r="E52" s="21" t="s">
        <v>616</v>
      </c>
      <c r="F52" s="10" t="s">
        <v>624</v>
      </c>
      <c r="G52" s="10" t="s">
        <v>767</v>
      </c>
      <c r="H52" s="8"/>
      <c r="I52" s="10" t="str">
        <f>CheckGlossary($E52, Table2[Concerns])</f>
        <v>In Glossary
In Glossary
In Glossary
In Glossary
In Glossary
In Glossary
In Glossary
In Glossary
In Glossary</v>
      </c>
    </row>
    <row r="53" spans="1:9" ht="105" x14ac:dyDescent="0.25">
      <c r="A53" s="19">
        <f t="shared" si="0"/>
        <v>47</v>
      </c>
      <c r="B53" s="20" t="s">
        <v>76</v>
      </c>
      <c r="C53" s="20" t="s">
        <v>77</v>
      </c>
      <c r="D53" s="20" t="s">
        <v>707</v>
      </c>
      <c r="E53" s="21" t="s">
        <v>110</v>
      </c>
      <c r="F53" s="10" t="s">
        <v>600</v>
      </c>
      <c r="G53" s="10" t="s">
        <v>768</v>
      </c>
      <c r="H53" s="8"/>
      <c r="I53" s="10" t="str">
        <f>CheckGlossary($E53, Table2[Concerns])</f>
        <v>In Glossary
In Glossary
In Glossary</v>
      </c>
    </row>
    <row r="54" spans="1:9" ht="285" x14ac:dyDescent="0.25">
      <c r="A54" s="19">
        <f t="shared" si="0"/>
        <v>48</v>
      </c>
      <c r="B54" s="20" t="s">
        <v>76</v>
      </c>
      <c r="C54" s="20" t="s">
        <v>78</v>
      </c>
      <c r="D54" s="20" t="s">
        <v>675</v>
      </c>
      <c r="E54" s="21" t="s">
        <v>111</v>
      </c>
      <c r="F54" s="10" t="s">
        <v>601</v>
      </c>
      <c r="G54" s="10" t="s">
        <v>769</v>
      </c>
      <c r="H54" s="8"/>
      <c r="I54" s="10" t="str">
        <f>CheckGlossary($E54, Table2[Concerns])</f>
        <v>In Glossary
In Glossary
In Glossary
In Glossary</v>
      </c>
    </row>
    <row r="55" spans="1:9" ht="120" x14ac:dyDescent="0.25">
      <c r="A55" s="19">
        <f t="shared" si="0"/>
        <v>49</v>
      </c>
      <c r="B55" s="20" t="s">
        <v>76</v>
      </c>
      <c r="C55" s="20" t="s">
        <v>79</v>
      </c>
      <c r="D55" s="20" t="s">
        <v>676</v>
      </c>
      <c r="E55" s="21" t="s">
        <v>617</v>
      </c>
      <c r="F55" s="10" t="s">
        <v>625</v>
      </c>
      <c r="G55" s="10" t="s">
        <v>770</v>
      </c>
      <c r="H55" s="8"/>
      <c r="I55" s="10" t="str">
        <f>CheckGlossary($E55, Table2[Concerns])</f>
        <v>In Glossary
In Glossary
In Glossary
In Glossary
In Glossary
In Glossary</v>
      </c>
    </row>
    <row r="56" spans="1:9" ht="75" x14ac:dyDescent="0.25">
      <c r="A56" s="19">
        <f t="shared" si="0"/>
        <v>50</v>
      </c>
      <c r="B56" s="20" t="s">
        <v>80</v>
      </c>
      <c r="C56" s="20" t="s">
        <v>81</v>
      </c>
      <c r="D56" s="20" t="s">
        <v>677</v>
      </c>
      <c r="E56" s="21" t="s">
        <v>618</v>
      </c>
      <c r="F56" s="10" t="s">
        <v>626</v>
      </c>
      <c r="G56" s="10" t="s">
        <v>771</v>
      </c>
      <c r="H56" s="8"/>
      <c r="I56" s="10" t="str">
        <f>CheckGlossary($E56, Table2[Concerns])</f>
        <v>In Glossary
In Glossary
In Glossary
In Glossary
In Glossary</v>
      </c>
    </row>
    <row r="57" spans="1:9" ht="210" x14ac:dyDescent="0.25">
      <c r="A57" s="19">
        <f t="shared" si="0"/>
        <v>51</v>
      </c>
      <c r="B57" s="20" t="s">
        <v>82</v>
      </c>
      <c r="C57" s="20" t="s">
        <v>83</v>
      </c>
      <c r="D57" s="20" t="s">
        <v>678</v>
      </c>
      <c r="E57" s="21" t="s">
        <v>126</v>
      </c>
      <c r="F57" s="10" t="s">
        <v>602</v>
      </c>
      <c r="G57" s="10" t="s">
        <v>772</v>
      </c>
      <c r="H57" s="8"/>
      <c r="I57" s="10" t="str">
        <f>CheckGlossary($E57, Table2[Concerns])</f>
        <v>In Glossary
In Glossary
In Glossary
In Glossary
In Glossary</v>
      </c>
    </row>
    <row r="58" spans="1:9" ht="60" x14ac:dyDescent="0.25">
      <c r="A58" s="19">
        <f t="shared" si="0"/>
        <v>52</v>
      </c>
      <c r="B58" s="20" t="s">
        <v>82</v>
      </c>
      <c r="C58" s="20" t="s">
        <v>696</v>
      </c>
      <c r="D58" s="20" t="s">
        <v>679</v>
      </c>
      <c r="E58" s="21" t="s">
        <v>619</v>
      </c>
      <c r="F58" s="10" t="s">
        <v>627</v>
      </c>
      <c r="G58" s="10" t="s">
        <v>773</v>
      </c>
      <c r="H58" s="8"/>
      <c r="I58" s="10" t="str">
        <f>CheckGlossary($E58, Table2[Concerns])</f>
        <v>In Glossary
In Glossary
In Glossary
In Glossary</v>
      </c>
    </row>
    <row r="59" spans="1:9" ht="105" x14ac:dyDescent="0.25">
      <c r="A59" s="19">
        <f t="shared" si="0"/>
        <v>53</v>
      </c>
      <c r="B59" s="20" t="s">
        <v>84</v>
      </c>
      <c r="C59" s="20" t="s">
        <v>85</v>
      </c>
      <c r="D59" s="20" t="s">
        <v>680</v>
      </c>
      <c r="E59" s="21" t="s">
        <v>127</v>
      </c>
      <c r="F59" s="10" t="s">
        <v>603</v>
      </c>
      <c r="G59" s="10" t="s">
        <v>774</v>
      </c>
      <c r="H59" s="8"/>
      <c r="I59" s="10" t="str">
        <f>CheckGlossary($E59, Table2[Concerns])</f>
        <v>In Glossary
In Glossary</v>
      </c>
    </row>
    <row r="60" spans="1:9" ht="195" x14ac:dyDescent="0.25">
      <c r="A60" s="19">
        <f t="shared" si="0"/>
        <v>54</v>
      </c>
      <c r="B60" s="20" t="s">
        <v>86</v>
      </c>
      <c r="C60" s="20" t="s">
        <v>87</v>
      </c>
      <c r="D60" s="20" t="s">
        <v>681</v>
      </c>
      <c r="E60" s="21" t="s">
        <v>128</v>
      </c>
      <c r="F60" s="10" t="s">
        <v>604</v>
      </c>
      <c r="G60" s="10" t="s">
        <v>775</v>
      </c>
      <c r="H60" s="8"/>
      <c r="I60" s="10" t="str">
        <f>CheckGlossary($E60, Table2[Concerns])</f>
        <v>In Glossary
In Glossary
In Glossary</v>
      </c>
    </row>
    <row r="61" spans="1:9" ht="195" x14ac:dyDescent="0.25">
      <c r="A61" s="19">
        <f t="shared" si="0"/>
        <v>55</v>
      </c>
      <c r="B61" s="20" t="s">
        <v>86</v>
      </c>
      <c r="C61" s="20" t="s">
        <v>88</v>
      </c>
      <c r="D61" s="20" t="s">
        <v>682</v>
      </c>
      <c r="E61" s="21" t="s">
        <v>620</v>
      </c>
      <c r="F61" s="10" t="s">
        <v>628</v>
      </c>
      <c r="G61" s="10" t="s">
        <v>776</v>
      </c>
      <c r="H61" s="8"/>
      <c r="I61" s="10" t="str">
        <f>CheckGlossary($E61, Table2[Concerns])</f>
        <v>In Glossary
In Glossary
In Glossary
In Glossary</v>
      </c>
    </row>
    <row r="62" spans="1:9" ht="105" x14ac:dyDescent="0.25">
      <c r="A62" s="19">
        <f t="shared" si="0"/>
        <v>56</v>
      </c>
      <c r="B62" s="20" t="s">
        <v>90</v>
      </c>
      <c r="C62" s="20" t="s">
        <v>89</v>
      </c>
      <c r="D62" s="20" t="s">
        <v>683</v>
      </c>
      <c r="E62" s="21" t="s">
        <v>621</v>
      </c>
      <c r="F62" s="10" t="s">
        <v>629</v>
      </c>
      <c r="G62" s="10" t="s">
        <v>777</v>
      </c>
      <c r="H62" s="8"/>
      <c r="I62" s="10" t="str">
        <f>CheckGlossary($E62, Table2[Concerns])</f>
        <v>In Glossary
In Glossary
In Glossary</v>
      </c>
    </row>
    <row r="63" spans="1:9" ht="135" x14ac:dyDescent="0.25">
      <c r="A63" s="19">
        <f t="shared" si="0"/>
        <v>57</v>
      </c>
      <c r="B63" s="20" t="s">
        <v>91</v>
      </c>
      <c r="C63" s="20" t="s">
        <v>92</v>
      </c>
      <c r="D63" s="20" t="s">
        <v>684</v>
      </c>
      <c r="E63" s="21" t="s">
        <v>129</v>
      </c>
      <c r="F63" s="10" t="s">
        <v>605</v>
      </c>
      <c r="G63" s="10" t="s">
        <v>778</v>
      </c>
      <c r="H63" s="8"/>
      <c r="I63" s="10" t="str">
        <f>CheckGlossary($E63, Table2[Concerns])</f>
        <v>In Glossary
In Glossary
In Glossary</v>
      </c>
    </row>
    <row r="64" spans="1:9" ht="165" x14ac:dyDescent="0.25">
      <c r="A64" s="19">
        <f t="shared" si="0"/>
        <v>58</v>
      </c>
      <c r="B64" s="20" t="s">
        <v>94</v>
      </c>
      <c r="C64" s="20" t="s">
        <v>93</v>
      </c>
      <c r="D64" s="20" t="s">
        <v>685</v>
      </c>
      <c r="E64" s="21" t="s">
        <v>130</v>
      </c>
      <c r="F64" s="10" t="s">
        <v>606</v>
      </c>
      <c r="G64" s="10" t="s">
        <v>779</v>
      </c>
      <c r="H64" s="8"/>
      <c r="I64" s="10" t="str">
        <f>CheckGlossary($E64, Table2[Concerns])</f>
        <v>In Glossary
In Glossary
In Glossary
In Glossary</v>
      </c>
    </row>
    <row r="65" spans="1:9" ht="390" x14ac:dyDescent="0.25">
      <c r="A65" s="19">
        <f t="shared" si="0"/>
        <v>59</v>
      </c>
      <c r="B65" s="20" t="s">
        <v>96</v>
      </c>
      <c r="C65" s="20" t="s">
        <v>95</v>
      </c>
      <c r="D65" s="20" t="s">
        <v>686</v>
      </c>
      <c r="E65" s="21" t="s">
        <v>131</v>
      </c>
      <c r="F65" s="10" t="s">
        <v>607</v>
      </c>
      <c r="G65" s="10" t="s">
        <v>780</v>
      </c>
      <c r="H65" s="8"/>
      <c r="I65" s="10" t="str">
        <f>CheckGlossary($E65, Table2[Concerns])</f>
        <v>In Glossary
In Glossary
In Glossary</v>
      </c>
    </row>
    <row r="66" spans="1:9" ht="345" x14ac:dyDescent="0.25">
      <c r="A66" s="19">
        <f t="shared" si="0"/>
        <v>60</v>
      </c>
      <c r="B66" s="20" t="s">
        <v>97</v>
      </c>
      <c r="C66" s="20" t="s">
        <v>98</v>
      </c>
      <c r="D66" s="20" t="s">
        <v>687</v>
      </c>
      <c r="E66" s="21" t="s">
        <v>622</v>
      </c>
      <c r="F66" s="10" t="s">
        <v>630</v>
      </c>
      <c r="G66" s="10" t="s">
        <v>781</v>
      </c>
      <c r="H66" s="8"/>
      <c r="I66" s="10" t="str">
        <f>CheckGlossary($E66, Table2[Concerns])</f>
        <v>In Glossary
In Glossary
In Glossary</v>
      </c>
    </row>
    <row r="67" spans="1:9" ht="180" x14ac:dyDescent="0.25">
      <c r="A67" s="19">
        <f t="shared" si="0"/>
        <v>61</v>
      </c>
      <c r="B67" s="20" t="s">
        <v>97</v>
      </c>
      <c r="C67" s="20" t="s">
        <v>99</v>
      </c>
      <c r="D67" s="20" t="s">
        <v>688</v>
      </c>
      <c r="E67" s="21" t="s">
        <v>132</v>
      </c>
      <c r="F67" s="10" t="s">
        <v>608</v>
      </c>
      <c r="G67" s="10" t="s">
        <v>782</v>
      </c>
      <c r="H67" s="8"/>
      <c r="I67" s="10" t="str">
        <f>CheckGlossary($E67, Table2[Concerns])</f>
        <v>In Glossary
In Glossary
In Glossary</v>
      </c>
    </row>
    <row r="68" spans="1:9" ht="105" x14ac:dyDescent="0.25">
      <c r="A68" s="19">
        <f t="shared" si="0"/>
        <v>62</v>
      </c>
      <c r="B68" s="20" t="s">
        <v>100</v>
      </c>
      <c r="C68" s="20" t="s">
        <v>101</v>
      </c>
      <c r="D68" s="20" t="s">
        <v>689</v>
      </c>
      <c r="E68" s="21" t="s">
        <v>133</v>
      </c>
      <c r="F68" s="10" t="s">
        <v>609</v>
      </c>
      <c r="G68" s="10" t="s">
        <v>783</v>
      </c>
      <c r="H68" s="8"/>
      <c r="I68" s="10" t="str">
        <f>CheckGlossary($E68, Table2[Concerns])</f>
        <v>In Glossary
In Glossary
In Glossary
In Glossary</v>
      </c>
    </row>
    <row r="69" spans="1:9" ht="150" x14ac:dyDescent="0.25">
      <c r="A69" s="19">
        <f t="shared" si="0"/>
        <v>63</v>
      </c>
      <c r="B69" s="20" t="s">
        <v>102</v>
      </c>
      <c r="C69" s="20" t="s">
        <v>103</v>
      </c>
      <c r="D69" s="20" t="s">
        <v>690</v>
      </c>
      <c r="E69" s="21" t="s">
        <v>632</v>
      </c>
      <c r="F69" s="10" t="s">
        <v>633</v>
      </c>
      <c r="G69" s="10" t="s">
        <v>784</v>
      </c>
      <c r="H69" s="8"/>
      <c r="I69" s="10" t="str">
        <f>CheckGlossary($E69, Table2[Concerns])</f>
        <v>In Glossary
In Glossary
In Glossary
In Glossary
In Glossary
In Glossary
In Glossary</v>
      </c>
    </row>
    <row r="70" spans="1:9" ht="375" x14ac:dyDescent="0.25">
      <c r="A70" s="19">
        <f t="shared" si="0"/>
        <v>64</v>
      </c>
      <c r="B70" s="20" t="s">
        <v>102</v>
      </c>
      <c r="C70" s="20" t="s">
        <v>104</v>
      </c>
      <c r="D70" s="20" t="s">
        <v>691</v>
      </c>
      <c r="E70" s="21" t="s">
        <v>105</v>
      </c>
      <c r="F70" s="10" t="s">
        <v>610</v>
      </c>
      <c r="G70" s="10" t="s">
        <v>785</v>
      </c>
      <c r="H70" s="8"/>
      <c r="I70" s="10" t="str">
        <f>CheckGlossary($E70, Table2[Concerns])</f>
        <v>In Glossary
In Glossary
In Glossary</v>
      </c>
    </row>
    <row r="71" spans="1:9" ht="90" x14ac:dyDescent="0.25">
      <c r="A71" s="19">
        <f t="shared" si="0"/>
        <v>65</v>
      </c>
      <c r="B71" s="20" t="s">
        <v>106</v>
      </c>
      <c r="C71" s="20" t="s">
        <v>107</v>
      </c>
      <c r="D71" s="20" t="s">
        <v>692</v>
      </c>
      <c r="E71" s="21" t="s">
        <v>623</v>
      </c>
      <c r="F71" s="10" t="s">
        <v>631</v>
      </c>
      <c r="G71" s="10" t="s">
        <v>786</v>
      </c>
      <c r="H71" s="8"/>
      <c r="I71" s="10" t="str">
        <f>CheckGlossary($E71, Table2[Concerns])</f>
        <v>In Glossary
In Glossary
In Glossary</v>
      </c>
    </row>
    <row r="72" spans="1:9" ht="270" x14ac:dyDescent="0.25">
      <c r="A72" s="19">
        <f t="shared" si="0"/>
        <v>66</v>
      </c>
      <c r="B72" s="20" t="s">
        <v>106</v>
      </c>
      <c r="C72" s="20" t="s">
        <v>108</v>
      </c>
      <c r="D72" s="20" t="s">
        <v>693</v>
      </c>
      <c r="E72" s="21" t="s">
        <v>109</v>
      </c>
      <c r="F72" s="10" t="s">
        <v>611</v>
      </c>
      <c r="G72" s="10" t="s">
        <v>787</v>
      </c>
      <c r="H72" s="8"/>
      <c r="I72" s="10" t="str">
        <f>CheckGlossary($E72, Table2[Concerns])</f>
        <v>In Glossary
In Glossary
In Glossary</v>
      </c>
    </row>
    <row r="73" spans="1:9" x14ac:dyDescent="0.25">
      <c r="A73" s="2">
        <f t="shared" ref="A73:A136" si="1">A72+1</f>
        <v>67</v>
      </c>
      <c r="B73" s="1"/>
      <c r="C73" s="1"/>
      <c r="D73" s="1"/>
      <c r="E73" s="1"/>
      <c r="F73" s="1"/>
      <c r="G73" s="1"/>
      <c r="H73" s="4"/>
      <c r="I73" s="3" t="str">
        <f>IF(ISBLANK(C73), "",#REF!+ 1)</f>
        <v/>
      </c>
    </row>
    <row r="74" spans="1:9" x14ac:dyDescent="0.25">
      <c r="A74" s="2">
        <f t="shared" si="1"/>
        <v>68</v>
      </c>
      <c r="B74" s="1"/>
      <c r="C74" s="1"/>
      <c r="D74" s="1"/>
      <c r="E74" s="1"/>
      <c r="F74" s="1"/>
      <c r="G74" s="1"/>
      <c r="H74" s="4"/>
      <c r="I74" s="3" t="str">
        <f t="shared" ref="I74:I136" si="2">IF(ISBLANK(C74), "", I73+1)</f>
        <v/>
      </c>
    </row>
    <row r="75" spans="1:9" x14ac:dyDescent="0.25">
      <c r="A75" s="2">
        <f t="shared" si="1"/>
        <v>69</v>
      </c>
      <c r="B75" s="1"/>
      <c r="C75" s="1"/>
      <c r="D75" s="1"/>
      <c r="E75" s="1"/>
      <c r="F75" s="1"/>
      <c r="G75" s="1"/>
      <c r="H75" s="4"/>
      <c r="I75" s="3" t="str">
        <f t="shared" si="2"/>
        <v/>
      </c>
    </row>
    <row r="76" spans="1:9" x14ac:dyDescent="0.25">
      <c r="A76" s="2">
        <f t="shared" si="1"/>
        <v>70</v>
      </c>
      <c r="B76" s="1"/>
      <c r="C76" s="1"/>
      <c r="D76" s="1"/>
      <c r="E76" s="1"/>
      <c r="F76" s="1"/>
      <c r="G76" s="1"/>
      <c r="H76" s="4"/>
      <c r="I76" s="3" t="str">
        <f t="shared" si="2"/>
        <v/>
      </c>
    </row>
    <row r="77" spans="1:9" x14ac:dyDescent="0.25">
      <c r="A77" s="2">
        <f t="shared" si="1"/>
        <v>71</v>
      </c>
      <c r="B77" s="1"/>
      <c r="C77" s="1"/>
      <c r="D77" s="1"/>
      <c r="E77" s="1"/>
      <c r="F77" s="1"/>
      <c r="G77" s="1"/>
      <c r="H77" s="4"/>
      <c r="I77" s="3" t="str">
        <f t="shared" si="2"/>
        <v/>
      </c>
    </row>
    <row r="78" spans="1:9" x14ac:dyDescent="0.25">
      <c r="A78" s="2">
        <f t="shared" si="1"/>
        <v>72</v>
      </c>
      <c r="B78" s="1"/>
      <c r="C78" s="1"/>
      <c r="D78" s="1"/>
      <c r="E78" s="1"/>
      <c r="F78" s="1"/>
      <c r="G78" s="1"/>
      <c r="H78" s="4"/>
      <c r="I78" s="3" t="str">
        <f t="shared" si="2"/>
        <v/>
      </c>
    </row>
    <row r="79" spans="1:9" x14ac:dyDescent="0.25">
      <c r="A79" s="2">
        <f t="shared" si="1"/>
        <v>73</v>
      </c>
      <c r="B79" s="1"/>
      <c r="C79" s="1"/>
      <c r="D79" s="1"/>
      <c r="E79" s="1"/>
      <c r="F79" s="1"/>
      <c r="G79" s="1"/>
      <c r="H79" s="4"/>
      <c r="I79" s="3" t="str">
        <f t="shared" si="2"/>
        <v/>
      </c>
    </row>
    <row r="80" spans="1:9" x14ac:dyDescent="0.25">
      <c r="A80" s="2">
        <f t="shared" si="1"/>
        <v>74</v>
      </c>
      <c r="B80" s="1"/>
      <c r="C80" s="1"/>
      <c r="D80" s="1"/>
      <c r="E80" s="1"/>
      <c r="F80" s="1"/>
      <c r="G80" s="1"/>
      <c r="H80" s="4"/>
      <c r="I80" s="3" t="str">
        <f t="shared" si="2"/>
        <v/>
      </c>
    </row>
    <row r="81" spans="1:9" x14ac:dyDescent="0.25">
      <c r="A81" s="2">
        <f t="shared" si="1"/>
        <v>75</v>
      </c>
      <c r="B81" s="1"/>
      <c r="C81" s="1"/>
      <c r="D81" s="1"/>
      <c r="E81" s="1"/>
      <c r="F81" s="1"/>
      <c r="G81" s="1"/>
      <c r="H81" s="4"/>
      <c r="I81" s="3" t="str">
        <f t="shared" si="2"/>
        <v/>
      </c>
    </row>
    <row r="82" spans="1:9" x14ac:dyDescent="0.25">
      <c r="A82" s="2">
        <f t="shared" si="1"/>
        <v>76</v>
      </c>
      <c r="B82" s="1"/>
      <c r="C82" s="1"/>
      <c r="D82" s="1"/>
      <c r="E82" s="1"/>
      <c r="F82" s="1"/>
      <c r="G82" s="1"/>
      <c r="H82" s="4"/>
      <c r="I82" s="3" t="str">
        <f t="shared" si="2"/>
        <v/>
      </c>
    </row>
    <row r="83" spans="1:9" x14ac:dyDescent="0.25">
      <c r="A83" s="2">
        <f t="shared" si="1"/>
        <v>77</v>
      </c>
      <c r="B83" s="1"/>
      <c r="C83" s="1"/>
      <c r="D83" s="1"/>
      <c r="E83" s="1"/>
      <c r="F83" s="1"/>
      <c r="G83" s="1"/>
      <c r="H83" s="4"/>
      <c r="I83" s="3" t="str">
        <f t="shared" si="2"/>
        <v/>
      </c>
    </row>
    <row r="84" spans="1:9" x14ac:dyDescent="0.25">
      <c r="A84" s="2">
        <f t="shared" si="1"/>
        <v>78</v>
      </c>
      <c r="B84" s="1"/>
      <c r="C84" s="1"/>
      <c r="D84" s="1"/>
      <c r="E84" s="1"/>
      <c r="F84" s="1"/>
      <c r="G84" s="1"/>
      <c r="H84" s="4"/>
      <c r="I84" s="3" t="str">
        <f t="shared" si="2"/>
        <v/>
      </c>
    </row>
    <row r="85" spans="1:9" x14ac:dyDescent="0.25">
      <c r="A85" s="2">
        <f t="shared" si="1"/>
        <v>79</v>
      </c>
      <c r="B85" s="1"/>
      <c r="C85" s="1"/>
      <c r="D85" s="1"/>
      <c r="E85" s="1"/>
      <c r="F85" s="1"/>
      <c r="G85" s="1"/>
      <c r="H85" s="4"/>
      <c r="I85" s="3" t="str">
        <f t="shared" si="2"/>
        <v/>
      </c>
    </row>
    <row r="86" spans="1:9" x14ac:dyDescent="0.25">
      <c r="A86" s="2">
        <f t="shared" si="1"/>
        <v>80</v>
      </c>
      <c r="B86" s="1"/>
      <c r="C86" s="1"/>
      <c r="D86" s="1"/>
      <c r="E86" s="1"/>
      <c r="F86" s="1"/>
      <c r="G86" s="1"/>
      <c r="H86" s="4"/>
      <c r="I86" s="3" t="str">
        <f t="shared" si="2"/>
        <v/>
      </c>
    </row>
    <row r="87" spans="1:9" x14ac:dyDescent="0.25">
      <c r="A87" s="2">
        <f t="shared" si="1"/>
        <v>81</v>
      </c>
      <c r="B87" s="1"/>
      <c r="C87" s="1"/>
      <c r="D87" s="1"/>
      <c r="E87" s="1"/>
      <c r="F87" s="1"/>
      <c r="G87" s="1"/>
      <c r="H87" s="4"/>
      <c r="I87" s="3" t="str">
        <f t="shared" si="2"/>
        <v/>
      </c>
    </row>
    <row r="88" spans="1:9" x14ac:dyDescent="0.25">
      <c r="A88" s="2">
        <f t="shared" si="1"/>
        <v>82</v>
      </c>
      <c r="B88" s="1"/>
      <c r="C88" s="1"/>
      <c r="D88" s="1"/>
      <c r="E88" s="1"/>
      <c r="F88" s="1"/>
      <c r="G88" s="1"/>
      <c r="H88" s="4"/>
      <c r="I88" s="3" t="str">
        <f t="shared" si="2"/>
        <v/>
      </c>
    </row>
    <row r="89" spans="1:9" x14ac:dyDescent="0.25">
      <c r="A89" s="2">
        <f t="shared" si="1"/>
        <v>83</v>
      </c>
      <c r="B89" s="1"/>
      <c r="C89" s="1"/>
      <c r="D89" s="1"/>
      <c r="E89" s="1"/>
      <c r="F89" s="1"/>
      <c r="G89" s="1"/>
      <c r="H89" s="4"/>
      <c r="I89" s="3" t="str">
        <f t="shared" si="2"/>
        <v/>
      </c>
    </row>
    <row r="90" spans="1:9" x14ac:dyDescent="0.25">
      <c r="A90" s="2">
        <f t="shared" si="1"/>
        <v>84</v>
      </c>
      <c r="B90" s="1"/>
      <c r="C90" s="1"/>
      <c r="D90" s="1"/>
      <c r="E90" s="1"/>
      <c r="F90" s="1"/>
      <c r="G90" s="1"/>
      <c r="H90" s="4"/>
      <c r="I90" s="3" t="str">
        <f t="shared" si="2"/>
        <v/>
      </c>
    </row>
    <row r="91" spans="1:9" x14ac:dyDescent="0.25">
      <c r="A91" s="2">
        <f t="shared" si="1"/>
        <v>85</v>
      </c>
      <c r="B91" s="1"/>
      <c r="C91" s="1"/>
      <c r="D91" s="1"/>
      <c r="E91" s="1"/>
      <c r="F91" s="1"/>
      <c r="G91" s="1"/>
      <c r="H91" s="4"/>
      <c r="I91" s="3" t="str">
        <f t="shared" si="2"/>
        <v/>
      </c>
    </row>
    <row r="92" spans="1:9" x14ac:dyDescent="0.25">
      <c r="A92" s="2">
        <f t="shared" si="1"/>
        <v>86</v>
      </c>
      <c r="B92" s="1"/>
      <c r="C92" s="1"/>
      <c r="D92" s="1"/>
      <c r="E92" s="1"/>
      <c r="F92" s="1"/>
      <c r="G92" s="1"/>
      <c r="H92" s="4"/>
      <c r="I92" s="3" t="str">
        <f t="shared" si="2"/>
        <v/>
      </c>
    </row>
    <row r="93" spans="1:9" x14ac:dyDescent="0.25">
      <c r="A93" s="2">
        <f t="shared" si="1"/>
        <v>87</v>
      </c>
      <c r="B93" s="1"/>
      <c r="C93" s="1"/>
      <c r="D93" s="1"/>
      <c r="E93" s="1"/>
      <c r="F93" s="1"/>
      <c r="G93" s="1"/>
      <c r="H93" s="4"/>
      <c r="I93" s="3" t="str">
        <f t="shared" si="2"/>
        <v/>
      </c>
    </row>
    <row r="94" spans="1:9" x14ac:dyDescent="0.25">
      <c r="A94" s="2">
        <f t="shared" si="1"/>
        <v>88</v>
      </c>
      <c r="B94" s="1"/>
      <c r="C94" s="1"/>
      <c r="D94" s="1"/>
      <c r="E94" s="1"/>
      <c r="F94" s="1"/>
      <c r="G94" s="1"/>
      <c r="H94" s="4"/>
      <c r="I94" s="3" t="str">
        <f t="shared" si="2"/>
        <v/>
      </c>
    </row>
    <row r="95" spans="1:9" x14ac:dyDescent="0.25">
      <c r="A95" s="2">
        <f t="shared" si="1"/>
        <v>89</v>
      </c>
      <c r="B95" s="1"/>
      <c r="C95" s="1"/>
      <c r="D95" s="1"/>
      <c r="E95" s="1"/>
      <c r="F95" s="1"/>
      <c r="G95" s="1"/>
      <c r="H95" s="4"/>
      <c r="I95" s="3" t="str">
        <f t="shared" si="2"/>
        <v/>
      </c>
    </row>
    <row r="96" spans="1:9" x14ac:dyDescent="0.25">
      <c r="A96" s="2">
        <f t="shared" si="1"/>
        <v>90</v>
      </c>
      <c r="B96" s="1"/>
      <c r="C96" s="1"/>
      <c r="D96" s="1"/>
      <c r="E96" s="1"/>
      <c r="F96" s="1"/>
      <c r="G96" s="1"/>
      <c r="H96" s="4"/>
      <c r="I96" s="3" t="str">
        <f t="shared" si="2"/>
        <v/>
      </c>
    </row>
    <row r="97" spans="1:9" x14ac:dyDescent="0.25">
      <c r="A97" s="2">
        <f t="shared" si="1"/>
        <v>91</v>
      </c>
      <c r="B97" s="1"/>
      <c r="C97" s="1"/>
      <c r="D97" s="1"/>
      <c r="E97" s="1"/>
      <c r="F97" s="1"/>
      <c r="G97" s="1"/>
      <c r="H97" s="4"/>
      <c r="I97" s="3" t="str">
        <f t="shared" si="2"/>
        <v/>
      </c>
    </row>
    <row r="98" spans="1:9" x14ac:dyDescent="0.25">
      <c r="A98" s="2">
        <f t="shared" si="1"/>
        <v>92</v>
      </c>
      <c r="B98" s="1"/>
      <c r="C98" s="1"/>
      <c r="D98" s="1"/>
      <c r="E98" s="1"/>
      <c r="F98" s="1"/>
      <c r="G98" s="1"/>
      <c r="H98" s="4"/>
      <c r="I98" s="3" t="str">
        <f t="shared" si="2"/>
        <v/>
      </c>
    </row>
    <row r="99" spans="1:9" x14ac:dyDescent="0.25">
      <c r="A99" s="2">
        <f t="shared" si="1"/>
        <v>93</v>
      </c>
      <c r="B99" s="1"/>
      <c r="C99" s="1"/>
      <c r="D99" s="1"/>
      <c r="E99" s="1"/>
      <c r="F99" s="1"/>
      <c r="G99" s="1"/>
      <c r="H99" s="4"/>
      <c r="I99" s="3" t="str">
        <f t="shared" si="2"/>
        <v/>
      </c>
    </row>
    <row r="100" spans="1:9" x14ac:dyDescent="0.25">
      <c r="A100" s="2">
        <f t="shared" si="1"/>
        <v>94</v>
      </c>
      <c r="B100" s="1"/>
      <c r="C100" s="1"/>
      <c r="D100" s="1"/>
      <c r="E100" s="1"/>
      <c r="F100" s="1"/>
      <c r="G100" s="1"/>
      <c r="H100" s="4"/>
      <c r="I100" s="3" t="str">
        <f t="shared" si="2"/>
        <v/>
      </c>
    </row>
    <row r="101" spans="1:9" x14ac:dyDescent="0.25">
      <c r="A101" s="2">
        <f t="shared" si="1"/>
        <v>95</v>
      </c>
      <c r="B101" s="1"/>
      <c r="C101" s="1"/>
      <c r="D101" s="1"/>
      <c r="E101" s="1"/>
      <c r="F101" s="1"/>
      <c r="G101" s="1"/>
      <c r="H101" s="4"/>
      <c r="I101" s="3" t="str">
        <f t="shared" si="2"/>
        <v/>
      </c>
    </row>
    <row r="102" spans="1:9" x14ac:dyDescent="0.25">
      <c r="A102" s="2">
        <f t="shared" si="1"/>
        <v>96</v>
      </c>
      <c r="B102" s="1"/>
      <c r="C102" s="1"/>
      <c r="D102" s="1"/>
      <c r="E102" s="1"/>
      <c r="F102" s="1"/>
      <c r="G102" s="1"/>
      <c r="H102" s="4"/>
      <c r="I102" s="3" t="str">
        <f t="shared" si="2"/>
        <v/>
      </c>
    </row>
    <row r="103" spans="1:9" x14ac:dyDescent="0.25">
      <c r="A103" s="2">
        <f t="shared" si="1"/>
        <v>97</v>
      </c>
      <c r="B103" s="1"/>
      <c r="C103" s="1"/>
      <c r="D103" s="1"/>
      <c r="E103" s="1"/>
      <c r="F103" s="1"/>
      <c r="G103" s="1"/>
      <c r="H103" s="4"/>
      <c r="I103" s="3" t="str">
        <f t="shared" si="2"/>
        <v/>
      </c>
    </row>
    <row r="104" spans="1:9" x14ac:dyDescent="0.25">
      <c r="A104" s="2">
        <f t="shared" si="1"/>
        <v>98</v>
      </c>
      <c r="B104" s="1"/>
      <c r="C104" s="1"/>
      <c r="D104" s="1"/>
      <c r="E104" s="1"/>
      <c r="F104" s="1"/>
      <c r="G104" s="1"/>
      <c r="H104" s="4"/>
      <c r="I104" s="3" t="str">
        <f t="shared" si="2"/>
        <v/>
      </c>
    </row>
    <row r="105" spans="1:9" x14ac:dyDescent="0.25">
      <c r="A105" s="2">
        <f t="shared" si="1"/>
        <v>99</v>
      </c>
      <c r="B105" s="1"/>
      <c r="C105" s="1"/>
      <c r="D105" s="1"/>
      <c r="E105" s="1"/>
      <c r="F105" s="1"/>
      <c r="G105" s="1"/>
      <c r="H105" s="4"/>
      <c r="I105" s="3" t="str">
        <f t="shared" si="2"/>
        <v/>
      </c>
    </row>
    <row r="106" spans="1:9" x14ac:dyDescent="0.25">
      <c r="A106" s="2">
        <f t="shared" si="1"/>
        <v>100</v>
      </c>
      <c r="B106" s="1"/>
      <c r="C106" s="1"/>
      <c r="D106" s="1"/>
      <c r="E106" s="1"/>
      <c r="F106" s="1"/>
      <c r="G106" s="1"/>
      <c r="H106" s="4"/>
      <c r="I106" s="3" t="str">
        <f t="shared" si="2"/>
        <v/>
      </c>
    </row>
    <row r="107" spans="1:9" x14ac:dyDescent="0.25">
      <c r="A107" s="2">
        <f t="shared" si="1"/>
        <v>101</v>
      </c>
      <c r="B107" s="1"/>
      <c r="C107" s="1"/>
      <c r="D107" s="1"/>
      <c r="E107" s="1"/>
      <c r="F107" s="1"/>
      <c r="G107" s="1"/>
      <c r="H107" s="4"/>
      <c r="I107" s="3" t="str">
        <f t="shared" si="2"/>
        <v/>
      </c>
    </row>
    <row r="108" spans="1:9" x14ac:dyDescent="0.25">
      <c r="A108" s="2">
        <f t="shared" si="1"/>
        <v>102</v>
      </c>
      <c r="B108" s="1"/>
      <c r="C108" s="1"/>
      <c r="D108" s="1"/>
      <c r="E108" s="1"/>
      <c r="F108" s="1"/>
      <c r="G108" s="1"/>
      <c r="H108" s="4"/>
      <c r="I108" s="3" t="str">
        <f t="shared" si="2"/>
        <v/>
      </c>
    </row>
    <row r="109" spans="1:9" x14ac:dyDescent="0.25">
      <c r="A109" s="2">
        <f t="shared" si="1"/>
        <v>103</v>
      </c>
      <c r="B109" s="1"/>
      <c r="C109" s="1"/>
      <c r="D109" s="1"/>
      <c r="E109" s="1"/>
      <c r="F109" s="1"/>
      <c r="G109" s="1"/>
      <c r="H109" s="4"/>
      <c r="I109" s="3" t="str">
        <f t="shared" si="2"/>
        <v/>
      </c>
    </row>
    <row r="110" spans="1:9" x14ac:dyDescent="0.25">
      <c r="A110" s="2">
        <f t="shared" si="1"/>
        <v>104</v>
      </c>
      <c r="B110" s="1"/>
      <c r="C110" s="1"/>
      <c r="D110" s="1"/>
      <c r="E110" s="1"/>
      <c r="F110" s="1"/>
      <c r="G110" s="1"/>
      <c r="H110" s="4"/>
      <c r="I110" s="3" t="str">
        <f t="shared" si="2"/>
        <v/>
      </c>
    </row>
    <row r="111" spans="1:9" x14ac:dyDescent="0.25">
      <c r="A111" s="2">
        <f t="shared" si="1"/>
        <v>105</v>
      </c>
      <c r="B111" s="1"/>
      <c r="C111" s="1"/>
      <c r="D111" s="1"/>
      <c r="E111" s="1"/>
      <c r="F111" s="1"/>
      <c r="G111" s="1"/>
      <c r="H111" s="4"/>
      <c r="I111" s="3" t="str">
        <f t="shared" si="2"/>
        <v/>
      </c>
    </row>
    <row r="112" spans="1:9" x14ac:dyDescent="0.25">
      <c r="A112" s="2">
        <f t="shared" si="1"/>
        <v>106</v>
      </c>
      <c r="B112" s="1"/>
      <c r="C112" s="1"/>
      <c r="D112" s="1"/>
      <c r="E112" s="1"/>
      <c r="F112" s="1"/>
      <c r="G112" s="1"/>
      <c r="H112" s="4"/>
      <c r="I112" s="3" t="str">
        <f t="shared" si="2"/>
        <v/>
      </c>
    </row>
    <row r="113" spans="1:9" x14ac:dyDescent="0.25">
      <c r="A113" s="2">
        <f t="shared" si="1"/>
        <v>107</v>
      </c>
      <c r="B113" s="1"/>
      <c r="C113" s="1"/>
      <c r="D113" s="1"/>
      <c r="E113" s="1"/>
      <c r="F113" s="1"/>
      <c r="G113" s="1"/>
      <c r="H113" s="4"/>
      <c r="I113" s="3" t="str">
        <f t="shared" si="2"/>
        <v/>
      </c>
    </row>
    <row r="114" spans="1:9" x14ac:dyDescent="0.25">
      <c r="A114" s="2">
        <f t="shared" si="1"/>
        <v>108</v>
      </c>
      <c r="B114" s="1"/>
      <c r="C114" s="1"/>
      <c r="D114" s="1"/>
      <c r="E114" s="1"/>
      <c r="F114" s="1"/>
      <c r="G114" s="1"/>
      <c r="H114" s="4"/>
      <c r="I114" s="3" t="str">
        <f t="shared" si="2"/>
        <v/>
      </c>
    </row>
    <row r="115" spans="1:9" x14ac:dyDescent="0.25">
      <c r="A115" s="2">
        <f t="shared" si="1"/>
        <v>109</v>
      </c>
      <c r="B115" s="1"/>
      <c r="C115" s="1"/>
      <c r="D115" s="1"/>
      <c r="E115" s="1"/>
      <c r="F115" s="1"/>
      <c r="G115" s="1"/>
      <c r="H115" s="4"/>
      <c r="I115" s="3" t="str">
        <f t="shared" si="2"/>
        <v/>
      </c>
    </row>
    <row r="116" spans="1:9" x14ac:dyDescent="0.25">
      <c r="A116" s="2">
        <f t="shared" si="1"/>
        <v>110</v>
      </c>
      <c r="B116" s="1"/>
      <c r="C116" s="1"/>
      <c r="D116" s="1"/>
      <c r="E116" s="1"/>
      <c r="F116" s="1"/>
      <c r="G116" s="1"/>
      <c r="H116" s="4"/>
      <c r="I116" s="3" t="str">
        <f t="shared" si="2"/>
        <v/>
      </c>
    </row>
    <row r="117" spans="1:9" x14ac:dyDescent="0.25">
      <c r="A117" s="2">
        <f t="shared" si="1"/>
        <v>111</v>
      </c>
      <c r="B117" s="1"/>
      <c r="C117" s="1"/>
      <c r="D117" s="1"/>
      <c r="E117" s="1"/>
      <c r="F117" s="1"/>
      <c r="G117" s="1"/>
      <c r="H117" s="4"/>
      <c r="I117" s="3" t="str">
        <f t="shared" si="2"/>
        <v/>
      </c>
    </row>
    <row r="118" spans="1:9" x14ac:dyDescent="0.25">
      <c r="A118" s="2">
        <f t="shared" si="1"/>
        <v>112</v>
      </c>
      <c r="B118" s="1"/>
      <c r="C118" s="1"/>
      <c r="D118" s="1"/>
      <c r="E118" s="1"/>
      <c r="F118" s="1"/>
      <c r="G118" s="1"/>
      <c r="H118" s="4"/>
      <c r="I118" s="3" t="str">
        <f t="shared" si="2"/>
        <v/>
      </c>
    </row>
    <row r="119" spans="1:9" x14ac:dyDescent="0.25">
      <c r="A119" s="2">
        <f t="shared" si="1"/>
        <v>113</v>
      </c>
      <c r="B119" s="1"/>
      <c r="C119" s="1"/>
      <c r="D119" s="1"/>
      <c r="E119" s="1"/>
      <c r="F119" s="1"/>
      <c r="G119" s="1"/>
      <c r="H119" s="4"/>
      <c r="I119" s="3" t="str">
        <f t="shared" si="2"/>
        <v/>
      </c>
    </row>
    <row r="120" spans="1:9" x14ac:dyDescent="0.25">
      <c r="A120" s="2">
        <f t="shared" si="1"/>
        <v>114</v>
      </c>
      <c r="B120" s="1"/>
      <c r="C120" s="1"/>
      <c r="D120" s="1"/>
      <c r="E120" s="1"/>
      <c r="F120" s="1"/>
      <c r="G120" s="1"/>
      <c r="H120" s="4"/>
      <c r="I120" s="3" t="str">
        <f t="shared" si="2"/>
        <v/>
      </c>
    </row>
    <row r="121" spans="1:9" x14ac:dyDescent="0.25">
      <c r="A121" s="2">
        <f t="shared" si="1"/>
        <v>115</v>
      </c>
      <c r="B121" s="1"/>
      <c r="C121" s="1"/>
      <c r="D121" s="1"/>
      <c r="E121" s="1"/>
      <c r="F121" s="1"/>
      <c r="G121" s="1"/>
      <c r="H121" s="4"/>
      <c r="I121" s="3" t="str">
        <f t="shared" si="2"/>
        <v/>
      </c>
    </row>
    <row r="122" spans="1:9" x14ac:dyDescent="0.25">
      <c r="A122" s="2">
        <f t="shared" si="1"/>
        <v>116</v>
      </c>
      <c r="B122" s="1"/>
      <c r="C122" s="1"/>
      <c r="D122" s="1"/>
      <c r="E122" s="1"/>
      <c r="F122" s="1"/>
      <c r="G122" s="1"/>
      <c r="H122" s="4"/>
      <c r="I122" s="3" t="str">
        <f t="shared" si="2"/>
        <v/>
      </c>
    </row>
    <row r="123" spans="1:9" x14ac:dyDescent="0.25">
      <c r="A123" s="2">
        <f t="shared" si="1"/>
        <v>117</v>
      </c>
      <c r="B123" s="1"/>
      <c r="C123" s="1"/>
      <c r="D123" s="1"/>
      <c r="E123" s="1"/>
      <c r="F123" s="1"/>
      <c r="G123" s="1"/>
      <c r="H123" s="4"/>
      <c r="I123" s="3" t="str">
        <f t="shared" si="2"/>
        <v/>
      </c>
    </row>
    <row r="124" spans="1:9" x14ac:dyDescent="0.25">
      <c r="A124" s="2">
        <f t="shared" si="1"/>
        <v>118</v>
      </c>
      <c r="B124" s="1"/>
      <c r="C124" s="1"/>
      <c r="D124" s="1"/>
      <c r="E124" s="1"/>
      <c r="F124" s="1"/>
      <c r="G124" s="1"/>
      <c r="H124" s="4"/>
      <c r="I124" s="3" t="str">
        <f t="shared" si="2"/>
        <v/>
      </c>
    </row>
    <row r="125" spans="1:9" x14ac:dyDescent="0.25">
      <c r="A125" s="2">
        <f t="shared" si="1"/>
        <v>119</v>
      </c>
      <c r="B125" s="1"/>
      <c r="C125" s="1"/>
      <c r="D125" s="1"/>
      <c r="E125" s="1"/>
      <c r="F125" s="1"/>
      <c r="G125" s="1"/>
      <c r="H125" s="4"/>
      <c r="I125" s="3" t="str">
        <f t="shared" si="2"/>
        <v/>
      </c>
    </row>
    <row r="126" spans="1:9" x14ac:dyDescent="0.25">
      <c r="A126" s="2">
        <f t="shared" si="1"/>
        <v>120</v>
      </c>
      <c r="B126" s="1"/>
      <c r="C126" s="1"/>
      <c r="D126" s="1"/>
      <c r="E126" s="1"/>
      <c r="F126" s="1"/>
      <c r="G126" s="1"/>
      <c r="H126" s="4"/>
      <c r="I126" s="3" t="str">
        <f t="shared" si="2"/>
        <v/>
      </c>
    </row>
    <row r="127" spans="1:9" x14ac:dyDescent="0.25">
      <c r="A127" s="2">
        <f t="shared" si="1"/>
        <v>121</v>
      </c>
      <c r="B127" s="1"/>
      <c r="C127" s="1"/>
      <c r="D127" s="1"/>
      <c r="E127" s="1"/>
      <c r="F127" s="1"/>
      <c r="G127" s="1"/>
      <c r="H127" s="4"/>
      <c r="I127" s="3" t="str">
        <f t="shared" si="2"/>
        <v/>
      </c>
    </row>
    <row r="128" spans="1:9" x14ac:dyDescent="0.25">
      <c r="A128" s="2">
        <f t="shared" si="1"/>
        <v>122</v>
      </c>
      <c r="B128" s="1"/>
      <c r="C128" s="1"/>
      <c r="D128" s="1"/>
      <c r="E128" s="1"/>
      <c r="F128" s="1"/>
      <c r="G128" s="1"/>
      <c r="H128" s="4"/>
      <c r="I128" s="3" t="str">
        <f t="shared" si="2"/>
        <v/>
      </c>
    </row>
    <row r="129" spans="1:9" x14ac:dyDescent="0.25">
      <c r="A129" s="2">
        <f t="shared" si="1"/>
        <v>123</v>
      </c>
      <c r="B129" s="1"/>
      <c r="C129" s="1"/>
      <c r="D129" s="1"/>
      <c r="E129" s="1"/>
      <c r="F129" s="1"/>
      <c r="G129" s="1"/>
      <c r="H129" s="4"/>
      <c r="I129" s="3" t="str">
        <f t="shared" si="2"/>
        <v/>
      </c>
    </row>
    <row r="130" spans="1:9" x14ac:dyDescent="0.25">
      <c r="A130" s="2">
        <f t="shared" si="1"/>
        <v>124</v>
      </c>
      <c r="B130" s="1"/>
      <c r="C130" s="1"/>
      <c r="D130" s="1"/>
      <c r="E130" s="1"/>
      <c r="F130" s="1"/>
      <c r="G130" s="1"/>
      <c r="H130" s="4"/>
      <c r="I130" s="3" t="str">
        <f t="shared" si="2"/>
        <v/>
      </c>
    </row>
    <row r="131" spans="1:9" x14ac:dyDescent="0.25">
      <c r="A131" s="2">
        <f t="shared" si="1"/>
        <v>125</v>
      </c>
      <c r="B131" s="1"/>
      <c r="C131" s="1"/>
      <c r="D131" s="1"/>
      <c r="E131" s="1"/>
      <c r="F131" s="1"/>
      <c r="G131" s="1"/>
      <c r="H131" s="4"/>
      <c r="I131" s="3" t="str">
        <f t="shared" si="2"/>
        <v/>
      </c>
    </row>
    <row r="132" spans="1:9" x14ac:dyDescent="0.25">
      <c r="A132" s="2">
        <f t="shared" si="1"/>
        <v>126</v>
      </c>
      <c r="B132" s="1"/>
      <c r="C132" s="1"/>
      <c r="D132" s="1"/>
      <c r="E132" s="1"/>
      <c r="F132" s="1"/>
      <c r="G132" s="1"/>
      <c r="H132" s="4"/>
      <c r="I132" s="3" t="str">
        <f t="shared" si="2"/>
        <v/>
      </c>
    </row>
    <row r="133" spans="1:9" x14ac:dyDescent="0.25">
      <c r="A133" s="2">
        <f t="shared" si="1"/>
        <v>127</v>
      </c>
      <c r="B133" s="1"/>
      <c r="C133" s="1"/>
      <c r="D133" s="1"/>
      <c r="E133" s="1"/>
      <c r="F133" s="1"/>
      <c r="G133" s="1"/>
      <c r="H133" s="4"/>
      <c r="I133" s="3" t="str">
        <f t="shared" si="2"/>
        <v/>
      </c>
    </row>
    <row r="134" spans="1:9" x14ac:dyDescent="0.25">
      <c r="A134" s="2">
        <f t="shared" si="1"/>
        <v>128</v>
      </c>
      <c r="B134" s="1"/>
      <c r="C134" s="1"/>
      <c r="D134" s="1"/>
      <c r="E134" s="1"/>
      <c r="F134" s="1"/>
      <c r="G134" s="1"/>
      <c r="H134" s="4"/>
      <c r="I134" s="3" t="str">
        <f t="shared" si="2"/>
        <v/>
      </c>
    </row>
    <row r="135" spans="1:9" x14ac:dyDescent="0.25">
      <c r="A135" s="2">
        <f t="shared" si="1"/>
        <v>129</v>
      </c>
      <c r="B135" s="1"/>
      <c r="C135" s="1"/>
      <c r="D135" s="1"/>
      <c r="E135" s="1"/>
      <c r="F135" s="1"/>
      <c r="G135" s="1"/>
      <c r="H135" s="4"/>
      <c r="I135" s="3" t="str">
        <f t="shared" si="2"/>
        <v/>
      </c>
    </row>
    <row r="136" spans="1:9" x14ac:dyDescent="0.25">
      <c r="A136" s="2">
        <f t="shared" si="1"/>
        <v>130</v>
      </c>
      <c r="B136" s="1"/>
      <c r="C136" s="1"/>
      <c r="D136" s="1"/>
      <c r="E136" s="1"/>
      <c r="F136" s="1"/>
      <c r="G136" s="1"/>
      <c r="H136" s="4"/>
      <c r="I136" s="3" t="str">
        <f t="shared" si="2"/>
        <v/>
      </c>
    </row>
    <row r="137" spans="1:9" x14ac:dyDescent="0.25">
      <c r="A137" s="2">
        <f t="shared" ref="A137:A158" si="3">A136+1</f>
        <v>131</v>
      </c>
      <c r="B137" s="1"/>
      <c r="C137" s="1"/>
      <c r="D137" s="1"/>
      <c r="E137" s="1"/>
      <c r="F137" s="1"/>
      <c r="G137" s="1"/>
      <c r="H137" s="4"/>
      <c r="I137" s="3" t="str">
        <f t="shared" ref="I137:I158" si="4">IF(ISBLANK(C137), "", I136+1)</f>
        <v/>
      </c>
    </row>
    <row r="138" spans="1:9" x14ac:dyDescent="0.25">
      <c r="A138" s="2">
        <f t="shared" si="3"/>
        <v>132</v>
      </c>
      <c r="B138" s="1"/>
      <c r="C138" s="1"/>
      <c r="D138" s="1"/>
      <c r="E138" s="1"/>
      <c r="F138" s="1"/>
      <c r="G138" s="1"/>
      <c r="H138" s="4"/>
      <c r="I138" s="3" t="str">
        <f t="shared" si="4"/>
        <v/>
      </c>
    </row>
    <row r="139" spans="1:9" x14ac:dyDescent="0.25">
      <c r="A139" s="2">
        <f t="shared" si="3"/>
        <v>133</v>
      </c>
      <c r="B139" s="1"/>
      <c r="C139" s="1"/>
      <c r="D139" s="1"/>
      <c r="E139" s="1"/>
      <c r="F139" s="1"/>
      <c r="G139" s="1"/>
      <c r="H139" s="4"/>
      <c r="I139" s="3" t="str">
        <f t="shared" si="4"/>
        <v/>
      </c>
    </row>
    <row r="140" spans="1:9" x14ac:dyDescent="0.25">
      <c r="A140" s="2">
        <f t="shared" si="3"/>
        <v>134</v>
      </c>
      <c r="B140" s="1"/>
      <c r="C140" s="1"/>
      <c r="D140" s="1"/>
      <c r="E140" s="1"/>
      <c r="F140" s="1"/>
      <c r="G140" s="1"/>
      <c r="H140" s="4"/>
      <c r="I140" s="3" t="str">
        <f t="shared" si="4"/>
        <v/>
      </c>
    </row>
    <row r="141" spans="1:9" x14ac:dyDescent="0.25">
      <c r="A141" s="2">
        <f t="shared" si="3"/>
        <v>135</v>
      </c>
      <c r="B141" s="1"/>
      <c r="C141" s="1"/>
      <c r="D141" s="1"/>
      <c r="E141" s="1"/>
      <c r="F141" s="1"/>
      <c r="G141" s="1"/>
      <c r="H141" s="4"/>
      <c r="I141" s="3" t="str">
        <f t="shared" si="4"/>
        <v/>
      </c>
    </row>
    <row r="142" spans="1:9" x14ac:dyDescent="0.25">
      <c r="A142" s="2">
        <f t="shared" si="3"/>
        <v>136</v>
      </c>
      <c r="B142" s="1"/>
      <c r="C142" s="1"/>
      <c r="D142" s="1"/>
      <c r="E142" s="1"/>
      <c r="F142" s="1"/>
      <c r="G142" s="1"/>
      <c r="H142" s="4"/>
      <c r="I142" s="3" t="str">
        <f t="shared" si="4"/>
        <v/>
      </c>
    </row>
    <row r="143" spans="1:9" x14ac:dyDescent="0.25">
      <c r="A143" s="2">
        <f t="shared" si="3"/>
        <v>137</v>
      </c>
      <c r="B143" s="1"/>
      <c r="C143" s="1"/>
      <c r="D143" s="1"/>
      <c r="E143" s="1"/>
      <c r="F143" s="1"/>
      <c r="G143" s="1"/>
      <c r="H143" s="4"/>
      <c r="I143" s="3" t="str">
        <f t="shared" si="4"/>
        <v/>
      </c>
    </row>
    <row r="144" spans="1:9" x14ac:dyDescent="0.25">
      <c r="A144" s="2">
        <f t="shared" si="3"/>
        <v>138</v>
      </c>
      <c r="B144" s="1"/>
      <c r="C144" s="1"/>
      <c r="D144" s="1"/>
      <c r="E144" s="1"/>
      <c r="F144" s="1"/>
      <c r="G144" s="1"/>
      <c r="H144" s="4"/>
      <c r="I144" s="3" t="str">
        <f t="shared" si="4"/>
        <v/>
      </c>
    </row>
    <row r="145" spans="1:9" x14ac:dyDescent="0.25">
      <c r="A145" s="2">
        <f t="shared" si="3"/>
        <v>139</v>
      </c>
      <c r="B145" s="1"/>
      <c r="C145" s="1"/>
      <c r="D145" s="1"/>
      <c r="E145" s="1"/>
      <c r="F145" s="1"/>
      <c r="G145" s="1"/>
      <c r="H145" s="4"/>
      <c r="I145" s="3" t="str">
        <f t="shared" si="4"/>
        <v/>
      </c>
    </row>
    <row r="146" spans="1:9" x14ac:dyDescent="0.25">
      <c r="A146" s="2">
        <f t="shared" si="3"/>
        <v>140</v>
      </c>
      <c r="B146" s="1"/>
      <c r="C146" s="1"/>
      <c r="D146" s="1"/>
      <c r="E146" s="1"/>
      <c r="F146" s="1"/>
      <c r="G146" s="1"/>
      <c r="H146" s="4"/>
      <c r="I146" s="3" t="str">
        <f t="shared" si="4"/>
        <v/>
      </c>
    </row>
    <row r="147" spans="1:9" x14ac:dyDescent="0.25">
      <c r="A147" s="2">
        <f t="shared" si="3"/>
        <v>141</v>
      </c>
      <c r="B147" s="1"/>
      <c r="C147" s="1"/>
      <c r="D147" s="1"/>
      <c r="E147" s="1"/>
      <c r="F147" s="1"/>
      <c r="G147" s="1"/>
      <c r="H147" s="4"/>
      <c r="I147" s="3" t="str">
        <f t="shared" si="4"/>
        <v/>
      </c>
    </row>
    <row r="148" spans="1:9" x14ac:dyDescent="0.25">
      <c r="A148" s="2">
        <f t="shared" si="3"/>
        <v>142</v>
      </c>
      <c r="B148" s="1"/>
      <c r="C148" s="1"/>
      <c r="D148" s="1"/>
      <c r="E148" s="1"/>
      <c r="F148" s="1"/>
      <c r="G148" s="1"/>
      <c r="H148" s="4"/>
      <c r="I148" s="3" t="str">
        <f t="shared" si="4"/>
        <v/>
      </c>
    </row>
    <row r="149" spans="1:9" x14ac:dyDescent="0.25">
      <c r="A149" s="2">
        <f t="shared" si="3"/>
        <v>143</v>
      </c>
      <c r="B149" s="1"/>
      <c r="C149" s="1"/>
      <c r="D149" s="1"/>
      <c r="E149" s="1"/>
      <c r="F149" s="1"/>
      <c r="G149" s="1"/>
      <c r="H149" s="4"/>
      <c r="I149" s="3" t="str">
        <f t="shared" si="4"/>
        <v/>
      </c>
    </row>
    <row r="150" spans="1:9" x14ac:dyDescent="0.25">
      <c r="A150" s="2">
        <f t="shared" si="3"/>
        <v>144</v>
      </c>
      <c r="B150" s="1"/>
      <c r="C150" s="1"/>
      <c r="D150" s="1"/>
      <c r="E150" s="1"/>
      <c r="F150" s="1"/>
      <c r="G150" s="1"/>
      <c r="H150" s="4"/>
      <c r="I150" s="3" t="str">
        <f t="shared" si="4"/>
        <v/>
      </c>
    </row>
    <row r="151" spans="1:9" x14ac:dyDescent="0.25">
      <c r="A151" s="2">
        <f t="shared" si="3"/>
        <v>145</v>
      </c>
      <c r="B151" s="1"/>
      <c r="C151" s="1"/>
      <c r="D151" s="1"/>
      <c r="E151" s="1"/>
      <c r="F151" s="1"/>
      <c r="G151" s="1"/>
      <c r="H151" s="4"/>
      <c r="I151" s="3" t="str">
        <f t="shared" si="4"/>
        <v/>
      </c>
    </row>
    <row r="152" spans="1:9" x14ac:dyDescent="0.25">
      <c r="A152" s="2">
        <f t="shared" si="3"/>
        <v>146</v>
      </c>
      <c r="B152" s="1"/>
      <c r="C152" s="1"/>
      <c r="D152" s="1"/>
      <c r="E152" s="1"/>
      <c r="F152" s="1"/>
      <c r="G152" s="1"/>
      <c r="H152" s="4"/>
      <c r="I152" s="3" t="str">
        <f t="shared" si="4"/>
        <v/>
      </c>
    </row>
    <row r="153" spans="1:9" x14ac:dyDescent="0.25">
      <c r="A153" s="2">
        <f t="shared" si="3"/>
        <v>147</v>
      </c>
      <c r="B153" s="1"/>
      <c r="C153" s="1"/>
      <c r="D153" s="1"/>
      <c r="E153" s="1"/>
      <c r="F153" s="1"/>
      <c r="G153" s="1"/>
      <c r="H153" s="4"/>
      <c r="I153" s="3" t="str">
        <f t="shared" si="4"/>
        <v/>
      </c>
    </row>
    <row r="154" spans="1:9" x14ac:dyDescent="0.25">
      <c r="A154" s="2">
        <f t="shared" si="3"/>
        <v>148</v>
      </c>
      <c r="B154" s="1"/>
      <c r="C154" s="1"/>
      <c r="D154" s="1"/>
      <c r="E154" s="1"/>
      <c r="F154" s="1"/>
      <c r="G154" s="1"/>
      <c r="H154" s="4"/>
      <c r="I154" s="3" t="str">
        <f t="shared" si="4"/>
        <v/>
      </c>
    </row>
    <row r="155" spans="1:9" x14ac:dyDescent="0.25">
      <c r="A155" s="2">
        <f t="shared" si="3"/>
        <v>149</v>
      </c>
      <c r="B155" s="1"/>
      <c r="C155" s="1"/>
      <c r="D155" s="1"/>
      <c r="E155" s="1"/>
      <c r="F155" s="1"/>
      <c r="G155" s="1"/>
      <c r="H155" s="4"/>
      <c r="I155" s="3" t="str">
        <f t="shared" si="4"/>
        <v/>
      </c>
    </row>
    <row r="156" spans="1:9" x14ac:dyDescent="0.25">
      <c r="A156" s="2">
        <f t="shared" si="3"/>
        <v>150</v>
      </c>
      <c r="B156" s="1"/>
      <c r="C156" s="1"/>
      <c r="D156" s="1"/>
      <c r="E156" s="1"/>
      <c r="F156" s="1"/>
      <c r="G156" s="1"/>
      <c r="H156" s="4"/>
      <c r="I156" s="3" t="str">
        <f t="shared" si="4"/>
        <v/>
      </c>
    </row>
    <row r="157" spans="1:9" x14ac:dyDescent="0.25">
      <c r="A157" s="2">
        <f t="shared" si="3"/>
        <v>151</v>
      </c>
      <c r="B157" s="1"/>
      <c r="C157" s="1"/>
      <c r="D157" s="1"/>
      <c r="E157" s="1"/>
      <c r="F157" s="1"/>
      <c r="G157" s="1"/>
      <c r="H157" s="4"/>
      <c r="I157" s="3" t="str">
        <f t="shared" si="4"/>
        <v/>
      </c>
    </row>
    <row r="158" spans="1:9" x14ac:dyDescent="0.25">
      <c r="A158" s="2">
        <f t="shared" si="3"/>
        <v>152</v>
      </c>
      <c r="B158" s="1"/>
      <c r="C158" s="1"/>
      <c r="D158" s="1"/>
      <c r="E158" s="1"/>
      <c r="F158" s="1"/>
      <c r="G158" s="1"/>
      <c r="H158" s="4"/>
      <c r="I158" s="3" t="str">
        <f t="shared" si="4"/>
        <v/>
      </c>
    </row>
    <row r="159" spans="1:9" x14ac:dyDescent="0.25">
      <c r="B159" s="1"/>
      <c r="C159" s="1"/>
      <c r="D159" s="1"/>
      <c r="E159" s="1"/>
      <c r="F159" s="1"/>
      <c r="G159" s="1"/>
      <c r="H159" s="4"/>
    </row>
    <row r="160" spans="1:9" x14ac:dyDescent="0.25">
      <c r="B160" s="1"/>
      <c r="C160" s="1"/>
      <c r="D160" s="1"/>
      <c r="E160" s="1"/>
      <c r="F160" s="1"/>
      <c r="G160" s="1"/>
      <c r="H160" s="4"/>
    </row>
    <row r="161" spans="2:8" x14ac:dyDescent="0.25">
      <c r="B161" s="1"/>
      <c r="C161" s="1"/>
      <c r="D161" s="1"/>
      <c r="E161" s="1"/>
      <c r="F161" s="1"/>
      <c r="G161" s="1"/>
      <c r="H161" s="4"/>
    </row>
    <row r="162" spans="2:8" x14ac:dyDescent="0.25">
      <c r="B162" s="1"/>
      <c r="C162" s="1"/>
      <c r="D162" s="1"/>
      <c r="E162" s="1"/>
      <c r="F162" s="1"/>
      <c r="G162" s="1"/>
      <c r="H162" s="4"/>
    </row>
    <row r="163" spans="2:8" x14ac:dyDescent="0.25">
      <c r="B163" s="1"/>
      <c r="C163" s="1"/>
      <c r="D163" s="1"/>
      <c r="E163" s="1"/>
      <c r="F163" s="1"/>
      <c r="G163" s="1"/>
      <c r="H163" s="4"/>
    </row>
    <row r="164" spans="2:8" x14ac:dyDescent="0.25">
      <c r="B164" s="1"/>
      <c r="C164" s="1"/>
      <c r="D164" s="1"/>
      <c r="E164" s="1"/>
      <c r="F164" s="1"/>
      <c r="G164" s="1"/>
      <c r="H164" s="4"/>
    </row>
    <row r="165" spans="2:8" x14ac:dyDescent="0.25">
      <c r="B165" s="1"/>
      <c r="C165" s="1"/>
      <c r="D165" s="1"/>
      <c r="E165" s="1"/>
      <c r="F165" s="1"/>
      <c r="G165" s="1"/>
      <c r="H165" s="4"/>
    </row>
    <row r="166" spans="2:8" x14ac:dyDescent="0.25">
      <c r="B166" s="1"/>
      <c r="C166" s="1"/>
      <c r="D166" s="1"/>
      <c r="E166" s="1"/>
      <c r="F166" s="1"/>
      <c r="G166" s="1"/>
      <c r="H166" s="4"/>
    </row>
    <row r="167" spans="2:8" x14ac:dyDescent="0.25">
      <c r="B167" s="1"/>
      <c r="C167" s="1"/>
      <c r="D167" s="1"/>
      <c r="E167" s="1"/>
      <c r="F167" s="1"/>
      <c r="G167" s="1"/>
      <c r="H167" s="4"/>
    </row>
    <row r="168" spans="2:8" x14ac:dyDescent="0.25">
      <c r="B168" s="1"/>
      <c r="C168" s="1"/>
      <c r="D168" s="1"/>
      <c r="E168" s="1"/>
      <c r="F168" s="1"/>
      <c r="G168" s="1"/>
      <c r="H168" s="4"/>
    </row>
    <row r="169" spans="2:8" x14ac:dyDescent="0.25">
      <c r="B169" s="1"/>
      <c r="C169" s="1"/>
      <c r="D169" s="1"/>
      <c r="E169" s="1"/>
      <c r="F169" s="1"/>
      <c r="G169" s="1"/>
      <c r="H169" s="4"/>
    </row>
    <row r="170" spans="2:8" x14ac:dyDescent="0.25">
      <c r="B170" s="1"/>
      <c r="C170" s="1"/>
      <c r="D170" s="1"/>
      <c r="E170" s="1"/>
      <c r="F170" s="1"/>
      <c r="G170" s="1"/>
      <c r="H170" s="4"/>
    </row>
    <row r="171" spans="2:8" x14ac:dyDescent="0.25">
      <c r="B171" s="1"/>
      <c r="C171" s="1"/>
      <c r="D171" s="1"/>
      <c r="E171" s="1"/>
      <c r="F171" s="1"/>
      <c r="G171" s="1"/>
      <c r="H171" s="4"/>
    </row>
    <row r="172" spans="2:8" x14ac:dyDescent="0.25">
      <c r="B172" s="1"/>
      <c r="C172" s="1"/>
      <c r="D172" s="1"/>
      <c r="E172" s="1"/>
      <c r="F172" s="1"/>
      <c r="G172" s="1"/>
    </row>
    <row r="173" spans="2:8" x14ac:dyDescent="0.25">
      <c r="B173" s="1"/>
      <c r="C173" s="1"/>
      <c r="D173" s="1"/>
      <c r="E173" s="1"/>
      <c r="F173" s="1"/>
      <c r="G173" s="1"/>
    </row>
    <row r="174" spans="2:8" x14ac:dyDescent="0.25">
      <c r="B174" s="1"/>
      <c r="C174" s="1"/>
      <c r="D174" s="1"/>
      <c r="E174" s="1"/>
      <c r="F174" s="1"/>
      <c r="G174" s="1"/>
    </row>
    <row r="175" spans="2:8" x14ac:dyDescent="0.25">
      <c r="B175" s="1"/>
      <c r="C175" s="1"/>
      <c r="D175" s="1"/>
      <c r="E175" s="1"/>
      <c r="F175" s="1"/>
      <c r="G175" s="1"/>
    </row>
    <row r="176" spans="2:8"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1"/>
      <c r="C1042" s="1"/>
      <c r="D1042" s="1"/>
      <c r="E1042" s="1"/>
      <c r="F1042" s="1"/>
      <c r="G1042" s="1"/>
    </row>
    <row r="1043" spans="2:7" x14ac:dyDescent="0.25">
      <c r="B1043" s="1"/>
      <c r="C1043" s="1"/>
      <c r="D1043" s="1"/>
      <c r="E1043" s="1"/>
      <c r="F1043" s="1"/>
      <c r="G1043" s="1"/>
    </row>
    <row r="1044" spans="2:7" x14ac:dyDescent="0.25">
      <c r="B1044" s="1"/>
      <c r="C1044" s="1"/>
      <c r="D1044" s="1"/>
      <c r="E1044" s="1"/>
      <c r="F1044" s="1"/>
      <c r="G1044" s="1"/>
    </row>
    <row r="1045" spans="2:7" x14ac:dyDescent="0.25">
      <c r="B1045" s="1"/>
      <c r="C1045" s="1"/>
      <c r="D1045" s="1"/>
      <c r="E1045" s="1"/>
      <c r="F1045" s="1"/>
      <c r="G1045" s="1"/>
    </row>
    <row r="1046" spans="2:7" x14ac:dyDescent="0.25">
      <c r="B1046" s="1"/>
      <c r="C1046" s="1"/>
      <c r="D1046" s="1"/>
      <c r="E1046" s="1"/>
      <c r="F1046" s="1"/>
      <c r="G1046" s="1"/>
    </row>
    <row r="1047" spans="2:7" x14ac:dyDescent="0.25">
      <c r="B1047" s="1"/>
      <c r="C1047" s="1"/>
      <c r="D1047" s="1"/>
      <c r="E1047" s="1"/>
      <c r="F1047" s="1"/>
      <c r="G1047" s="1"/>
    </row>
    <row r="1048" spans="2:7" x14ac:dyDescent="0.25">
      <c r="B1048" s="1"/>
      <c r="C1048" s="1"/>
      <c r="D1048" s="1"/>
      <c r="E1048" s="1"/>
      <c r="F1048" s="1"/>
      <c r="G1048" s="1"/>
    </row>
    <row r="1049" spans="2:7" x14ac:dyDescent="0.25">
      <c r="B1049" s="1"/>
      <c r="C1049" s="1"/>
      <c r="D1049" s="1"/>
      <c r="E1049" s="1"/>
      <c r="F1049" s="1"/>
      <c r="G1049" s="1"/>
    </row>
    <row r="1050" spans="2:7" x14ac:dyDescent="0.25">
      <c r="B1050" s="1"/>
      <c r="C1050" s="1"/>
      <c r="D1050" s="1"/>
      <c r="E1050" s="1"/>
      <c r="F1050" s="1"/>
      <c r="G1050" s="1"/>
    </row>
    <row r="1051" spans="2:7" x14ac:dyDescent="0.25">
      <c r="B1051" s="1"/>
      <c r="C1051" s="1"/>
      <c r="D1051" s="1"/>
      <c r="E1051" s="1"/>
      <c r="F1051" s="1"/>
      <c r="G1051" s="1"/>
    </row>
    <row r="1052" spans="2:7" x14ac:dyDescent="0.25">
      <c r="B1052" s="1"/>
      <c r="C1052" s="1"/>
      <c r="D1052" s="1"/>
      <c r="E1052" s="1"/>
      <c r="F1052" s="1"/>
      <c r="G1052" s="1"/>
    </row>
    <row r="1053" spans="2:7" x14ac:dyDescent="0.25">
      <c r="B1053" s="1"/>
      <c r="C1053" s="1"/>
      <c r="D1053" s="1"/>
      <c r="E1053" s="1"/>
      <c r="F1053" s="1"/>
      <c r="G1053" s="1"/>
    </row>
    <row r="1054" spans="2:7" x14ac:dyDescent="0.25">
      <c r="B1054" s="1"/>
      <c r="C1054" s="1"/>
      <c r="D1054" s="1"/>
      <c r="E1054" s="1"/>
      <c r="F1054" s="1"/>
      <c r="G1054" s="1"/>
    </row>
    <row r="1055" spans="2:7" x14ac:dyDescent="0.25">
      <c r="B1055" s="1"/>
      <c r="C1055" s="1"/>
      <c r="D1055" s="1"/>
      <c r="E1055" s="1"/>
      <c r="F1055" s="1"/>
      <c r="G1055" s="1"/>
    </row>
    <row r="1056" spans="2:7" x14ac:dyDescent="0.25">
      <c r="B1056" s="1"/>
      <c r="C1056" s="1"/>
      <c r="D1056" s="1"/>
      <c r="E1056" s="1"/>
      <c r="F1056" s="1"/>
      <c r="G1056" s="1"/>
    </row>
    <row r="1057" spans="2:7" x14ac:dyDescent="0.25">
      <c r="B1057" s="1"/>
      <c r="C1057" s="1"/>
      <c r="D1057" s="1"/>
      <c r="E1057" s="1"/>
      <c r="F1057" s="1"/>
      <c r="G1057" s="1"/>
    </row>
    <row r="1058" spans="2:7" x14ac:dyDescent="0.25">
      <c r="B1058" s="1"/>
      <c r="C1058" s="1"/>
      <c r="D1058" s="1"/>
      <c r="E1058" s="1"/>
      <c r="F1058" s="1"/>
      <c r="G1058" s="1"/>
    </row>
    <row r="1059" spans="2:7" x14ac:dyDescent="0.25">
      <c r="B1059" s="1"/>
      <c r="C1059" s="1"/>
      <c r="D1059" s="1"/>
      <c r="E1059" s="1"/>
      <c r="F1059" s="1"/>
      <c r="G1059" s="1"/>
    </row>
    <row r="1060" spans="2:7" x14ac:dyDescent="0.25">
      <c r="B1060" s="1"/>
      <c r="C1060" s="1"/>
      <c r="D1060" s="1"/>
      <c r="E1060" s="1"/>
      <c r="F1060" s="1"/>
      <c r="G1060" s="1"/>
    </row>
    <row r="1061" spans="2:7" x14ac:dyDescent="0.25">
      <c r="B1061" s="1"/>
      <c r="C1061" s="1"/>
      <c r="D1061" s="1"/>
      <c r="E1061" s="1"/>
      <c r="F1061" s="1"/>
      <c r="G1061" s="1"/>
    </row>
    <row r="1062" spans="2:7" x14ac:dyDescent="0.25">
      <c r="B1062" s="1"/>
      <c r="C1062" s="1"/>
      <c r="D1062" s="1"/>
      <c r="E1062" s="1"/>
      <c r="F1062" s="1"/>
      <c r="G1062" s="1"/>
    </row>
    <row r="1063" spans="2:7" x14ac:dyDescent="0.25">
      <c r="B1063" s="1"/>
      <c r="C1063" s="1"/>
      <c r="D1063" s="1"/>
      <c r="E1063" s="1"/>
      <c r="F1063" s="1"/>
      <c r="G1063" s="1"/>
    </row>
    <row r="1064" spans="2:7" x14ac:dyDescent="0.25">
      <c r="B1064" s="1"/>
      <c r="C1064" s="1"/>
      <c r="D1064" s="1"/>
      <c r="E1064" s="1"/>
      <c r="F1064" s="1"/>
      <c r="G1064" s="1"/>
    </row>
    <row r="1065" spans="2:7" x14ac:dyDescent="0.25">
      <c r="B1065" s="1"/>
      <c r="C1065" s="1"/>
      <c r="D1065" s="1"/>
      <c r="E1065" s="1"/>
      <c r="F1065" s="1"/>
      <c r="G1065" s="1"/>
    </row>
    <row r="1066" spans="2:7" x14ac:dyDescent="0.25">
      <c r="B1066" s="1"/>
      <c r="C1066" s="1"/>
      <c r="D1066" s="1"/>
      <c r="E1066" s="1"/>
      <c r="F1066" s="1"/>
      <c r="G1066" s="1"/>
    </row>
    <row r="1067" spans="2:7" x14ac:dyDescent="0.25">
      <c r="B1067" s="1"/>
      <c r="C1067" s="1"/>
      <c r="D1067" s="1"/>
      <c r="E1067" s="1"/>
      <c r="F1067" s="1"/>
      <c r="G1067" s="1"/>
    </row>
    <row r="1068" spans="2:7" x14ac:dyDescent="0.25">
      <c r="B1068" s="1"/>
      <c r="C1068" s="1"/>
      <c r="D1068" s="1"/>
      <c r="E1068" s="1"/>
      <c r="F1068" s="1"/>
      <c r="G1068" s="1"/>
    </row>
    <row r="1069" spans="2:7" x14ac:dyDescent="0.25">
      <c r="B1069" s="1"/>
      <c r="C1069" s="1"/>
      <c r="D1069" s="1"/>
      <c r="E1069" s="1"/>
      <c r="F1069" s="1"/>
      <c r="G1069" s="1"/>
    </row>
    <row r="1070" spans="2:7" x14ac:dyDescent="0.25">
      <c r="B1070" s="1"/>
      <c r="C1070" s="1"/>
      <c r="D1070" s="1"/>
      <c r="E1070" s="1"/>
      <c r="F1070" s="1"/>
      <c r="G1070" s="1"/>
    </row>
    <row r="1071" spans="2:7" x14ac:dyDescent="0.25">
      <c r="B1071" s="1"/>
      <c r="C1071" s="1"/>
      <c r="D1071" s="1"/>
      <c r="E1071" s="1"/>
      <c r="F1071" s="1"/>
      <c r="G1071" s="1"/>
    </row>
    <row r="1072" spans="2:7" x14ac:dyDescent="0.25">
      <c r="B1072" s="1"/>
      <c r="C1072" s="1"/>
      <c r="D1072" s="1"/>
      <c r="E1072" s="1"/>
      <c r="F1072" s="1"/>
      <c r="G1072" s="1"/>
    </row>
    <row r="1073" spans="2:7" x14ac:dyDescent="0.25">
      <c r="B1073" s="1"/>
      <c r="C1073" s="1"/>
      <c r="D1073" s="1"/>
      <c r="E1073" s="1"/>
      <c r="F1073" s="1"/>
      <c r="G1073" s="1"/>
    </row>
    <row r="1074" spans="2:7" x14ac:dyDescent="0.25">
      <c r="B1074" s="1"/>
      <c r="C1074" s="1"/>
      <c r="D1074" s="1"/>
      <c r="E1074" s="1"/>
      <c r="F1074" s="1"/>
      <c r="G1074" s="1"/>
    </row>
    <row r="1075" spans="2:7" x14ac:dyDescent="0.25">
      <c r="B1075" s="1"/>
      <c r="C1075" s="1"/>
      <c r="D1075" s="1"/>
      <c r="E1075" s="1"/>
      <c r="F1075" s="1"/>
      <c r="G1075" s="1"/>
    </row>
    <row r="1076" spans="2:7" x14ac:dyDescent="0.25">
      <c r="B1076" s="1"/>
      <c r="C1076" s="1"/>
      <c r="D1076" s="1"/>
      <c r="E1076" s="1"/>
      <c r="F1076" s="1"/>
      <c r="G1076" s="1"/>
    </row>
    <row r="1077" spans="2:7" x14ac:dyDescent="0.25">
      <c r="B1077" s="1"/>
      <c r="C1077" s="1"/>
      <c r="D1077" s="1"/>
      <c r="E1077" s="1"/>
      <c r="F1077" s="1"/>
      <c r="G1077" s="1"/>
    </row>
    <row r="1078" spans="2:7" x14ac:dyDescent="0.25">
      <c r="B1078" s="1"/>
      <c r="C1078" s="1"/>
      <c r="D1078" s="1"/>
      <c r="E1078" s="1"/>
      <c r="F1078" s="1"/>
      <c r="G1078" s="1"/>
    </row>
    <row r="1079" spans="2:7" x14ac:dyDescent="0.25">
      <c r="B1079" s="1"/>
      <c r="C1079" s="1"/>
      <c r="D1079" s="1"/>
      <c r="E1079" s="1"/>
      <c r="F1079" s="1"/>
      <c r="G1079" s="1"/>
    </row>
    <row r="1080" spans="2:7" x14ac:dyDescent="0.25">
      <c r="B1080" s="1"/>
      <c r="C1080" s="1"/>
      <c r="D1080" s="1"/>
      <c r="E1080" s="1"/>
      <c r="F1080" s="1"/>
      <c r="G1080" s="1"/>
    </row>
    <row r="1081" spans="2:7" x14ac:dyDescent="0.25">
      <c r="B1081" s="1"/>
      <c r="C1081" s="1"/>
      <c r="D1081" s="1"/>
      <c r="E1081" s="1"/>
      <c r="F1081" s="1"/>
      <c r="G1081" s="1"/>
    </row>
    <row r="1082" spans="2:7" x14ac:dyDescent="0.25">
      <c r="B1082" s="1"/>
      <c r="C1082" s="1"/>
      <c r="D1082" s="1"/>
      <c r="E1082" s="1"/>
      <c r="F1082" s="1"/>
      <c r="G1082" s="1"/>
    </row>
    <row r="1083" spans="2:7" x14ac:dyDescent="0.25">
      <c r="B1083" s="1"/>
      <c r="C1083" s="1"/>
      <c r="D1083" s="1"/>
      <c r="E1083" s="1"/>
      <c r="F1083" s="1"/>
      <c r="G1083" s="1"/>
    </row>
    <row r="1084" spans="2:7" x14ac:dyDescent="0.25">
      <c r="B1084" s="1"/>
      <c r="C1084" s="1"/>
      <c r="D1084" s="1"/>
      <c r="E1084" s="1"/>
      <c r="F1084" s="1"/>
      <c r="G1084" s="1"/>
    </row>
    <row r="1085" spans="2:7" x14ac:dyDescent="0.25">
      <c r="B1085" s="1"/>
      <c r="C1085" s="1"/>
      <c r="D1085" s="1"/>
      <c r="E1085" s="1"/>
      <c r="F1085" s="1"/>
      <c r="G1085" s="1"/>
    </row>
    <row r="1086" spans="2:7" x14ac:dyDescent="0.25">
      <c r="B1086" s="1"/>
      <c r="C1086" s="1"/>
      <c r="D1086" s="1"/>
      <c r="E1086" s="1"/>
      <c r="F1086" s="1"/>
      <c r="G1086" s="1"/>
    </row>
    <row r="1087" spans="2:7" x14ac:dyDescent="0.25">
      <c r="B1087" s="1"/>
      <c r="C1087" s="1"/>
      <c r="D1087" s="1"/>
      <c r="E1087" s="1"/>
      <c r="F1087" s="1"/>
      <c r="G1087" s="1"/>
    </row>
    <row r="1088" spans="2:7" x14ac:dyDescent="0.25">
      <c r="B1088" s="1"/>
      <c r="C1088" s="1"/>
      <c r="D1088" s="1"/>
      <c r="E1088" s="1"/>
      <c r="F1088" s="1"/>
      <c r="G1088" s="1"/>
    </row>
    <row r="1089" spans="2:7" x14ac:dyDescent="0.25">
      <c r="B1089" s="1"/>
      <c r="C1089" s="1"/>
      <c r="D1089" s="1"/>
      <c r="E1089" s="1"/>
      <c r="F1089" s="1"/>
      <c r="G1089" s="1"/>
    </row>
    <row r="1090" spans="2:7" x14ac:dyDescent="0.25">
      <c r="B1090" s="1"/>
      <c r="C1090" s="1"/>
      <c r="D1090" s="1"/>
      <c r="E1090" s="1"/>
      <c r="F1090" s="1"/>
      <c r="G1090" s="1"/>
    </row>
    <row r="1091" spans="2:7" x14ac:dyDescent="0.25">
      <c r="B1091" s="1"/>
      <c r="C1091" s="1"/>
      <c r="D1091" s="1"/>
      <c r="E1091" s="1"/>
      <c r="F1091" s="1"/>
      <c r="G1091" s="1"/>
    </row>
    <row r="1092" spans="2:7" x14ac:dyDescent="0.25">
      <c r="B1092" s="1"/>
      <c r="C1092" s="1"/>
      <c r="D1092" s="1"/>
      <c r="E1092" s="1"/>
      <c r="F1092" s="1"/>
      <c r="G1092" s="1"/>
    </row>
    <row r="1093" spans="2:7" x14ac:dyDescent="0.25">
      <c r="B1093" s="1"/>
      <c r="C1093" s="1"/>
      <c r="D1093" s="1"/>
      <c r="E1093" s="1"/>
      <c r="F1093" s="1"/>
      <c r="G1093" s="1"/>
    </row>
    <row r="1094" spans="2:7" x14ac:dyDescent="0.25">
      <c r="B1094" s="1"/>
      <c r="C1094" s="1"/>
      <c r="D1094" s="1"/>
      <c r="E1094" s="1"/>
      <c r="F1094" s="1"/>
      <c r="G1094" s="1"/>
    </row>
    <row r="1095" spans="2:7" x14ac:dyDescent="0.25">
      <c r="B1095" s="1"/>
      <c r="C1095" s="1"/>
      <c r="D1095" s="1"/>
      <c r="E1095" s="1"/>
      <c r="F1095" s="1"/>
      <c r="G1095" s="1"/>
    </row>
    <row r="1096" spans="2:7" x14ac:dyDescent="0.25">
      <c r="B1096" s="1"/>
      <c r="C1096" s="1"/>
      <c r="D1096" s="1"/>
      <c r="E1096" s="1"/>
      <c r="F1096" s="1"/>
      <c r="G1096" s="1"/>
    </row>
    <row r="1097" spans="2:7" x14ac:dyDescent="0.25">
      <c r="B1097" s="1"/>
      <c r="C1097" s="1"/>
      <c r="D1097" s="1"/>
      <c r="E1097" s="1"/>
      <c r="F1097" s="1"/>
      <c r="G1097" s="1"/>
    </row>
    <row r="1098" spans="2:7" x14ac:dyDescent="0.25">
      <c r="B1098" s="1"/>
      <c r="C1098" s="1"/>
      <c r="D1098" s="1"/>
      <c r="E1098" s="1"/>
      <c r="F1098" s="1"/>
      <c r="G1098" s="1"/>
    </row>
    <row r="1099" spans="2:7" x14ac:dyDescent="0.25">
      <c r="B1099" s="1"/>
      <c r="C1099" s="1"/>
      <c r="D1099" s="1"/>
      <c r="E1099" s="1"/>
      <c r="F1099" s="1"/>
      <c r="G1099" s="1"/>
    </row>
    <row r="1100" spans="2:7" x14ac:dyDescent="0.25">
      <c r="B1100" s="1"/>
      <c r="C1100" s="1"/>
      <c r="D1100" s="1"/>
      <c r="E1100" s="1"/>
      <c r="F1100" s="1"/>
      <c r="G1100" s="1"/>
    </row>
    <row r="1101" spans="2:7" x14ac:dyDescent="0.25">
      <c r="B1101" s="1"/>
      <c r="C1101" s="1"/>
      <c r="D1101" s="1"/>
      <c r="E1101" s="1"/>
      <c r="F1101" s="1"/>
      <c r="G1101" s="1"/>
    </row>
    <row r="1102" spans="2:7" x14ac:dyDescent="0.25">
      <c r="B1102" s="1"/>
      <c r="C1102" s="1"/>
      <c r="D1102" s="1"/>
      <c r="E1102" s="1"/>
      <c r="F1102" s="1"/>
      <c r="G1102" s="1"/>
    </row>
    <row r="1103" spans="2:7" x14ac:dyDescent="0.25">
      <c r="B1103" s="1"/>
      <c r="C1103" s="1"/>
      <c r="D1103" s="1"/>
      <c r="E1103" s="1"/>
      <c r="F1103" s="1"/>
      <c r="G1103" s="1"/>
    </row>
    <row r="1104" spans="2:7" x14ac:dyDescent="0.25">
      <c r="B1104" s="1"/>
      <c r="C1104" s="1"/>
      <c r="D1104" s="1"/>
      <c r="E1104" s="1"/>
      <c r="F1104" s="1"/>
      <c r="G1104" s="1"/>
    </row>
    <row r="1105" spans="2:7" x14ac:dyDescent="0.25">
      <c r="B1105" s="1"/>
      <c r="C1105" s="1"/>
      <c r="D1105" s="1"/>
      <c r="E1105" s="1"/>
      <c r="F1105" s="1"/>
      <c r="G1105" s="1"/>
    </row>
    <row r="1106" spans="2:7" x14ac:dyDescent="0.25">
      <c r="B1106" s="1"/>
      <c r="C1106" s="1"/>
      <c r="D1106" s="1"/>
      <c r="E1106" s="1"/>
      <c r="F1106" s="1"/>
      <c r="G1106" s="1"/>
    </row>
    <row r="1107" spans="2:7" x14ac:dyDescent="0.25">
      <c r="B1107" s="1"/>
      <c r="C1107" s="1"/>
      <c r="D1107" s="1"/>
      <c r="E1107" s="1"/>
      <c r="F1107" s="1"/>
      <c r="G1107" s="1"/>
    </row>
    <row r="1108" spans="2:7" x14ac:dyDescent="0.25">
      <c r="B1108" s="1"/>
      <c r="C1108" s="1"/>
      <c r="D1108" s="1"/>
      <c r="E1108" s="1"/>
      <c r="F1108" s="1"/>
      <c r="G1108" s="1"/>
    </row>
    <row r="1109" spans="2:7" x14ac:dyDescent="0.25">
      <c r="B1109" s="1"/>
      <c r="C1109" s="1"/>
      <c r="D1109" s="1"/>
      <c r="E1109" s="1"/>
      <c r="F1109" s="1"/>
      <c r="G1109" s="1"/>
    </row>
    <row r="1110" spans="2:7" x14ac:dyDescent="0.25">
      <c r="B1110" s="1"/>
      <c r="C1110" s="1"/>
      <c r="D1110" s="1"/>
      <c r="E1110" s="1"/>
      <c r="F1110" s="1"/>
      <c r="G1110" s="1"/>
    </row>
    <row r="1111" spans="2:7" x14ac:dyDescent="0.25">
      <c r="B1111" s="1"/>
      <c r="C1111" s="1"/>
      <c r="D1111" s="1"/>
      <c r="E1111" s="1"/>
      <c r="F1111" s="1"/>
      <c r="G1111" s="1"/>
    </row>
    <row r="1112" spans="2:7" x14ac:dyDescent="0.25">
      <c r="B1112" s="1"/>
      <c r="C1112" s="1"/>
      <c r="D1112" s="1"/>
      <c r="E1112" s="1"/>
      <c r="F1112" s="1"/>
      <c r="G1112" s="1"/>
    </row>
    <row r="1113" spans="2:7" x14ac:dyDescent="0.25">
      <c r="B1113" s="1"/>
      <c r="C1113" s="1"/>
      <c r="D1113" s="1"/>
      <c r="E1113" s="1"/>
      <c r="F1113" s="1"/>
      <c r="G1113" s="1"/>
    </row>
    <row r="1114" spans="2:7" x14ac:dyDescent="0.25">
      <c r="B1114" s="1"/>
      <c r="C1114" s="1"/>
      <c r="D1114" s="1"/>
      <c r="E1114" s="1"/>
      <c r="F1114" s="1"/>
      <c r="G1114" s="1"/>
    </row>
    <row r="1115" spans="2:7" x14ac:dyDescent="0.25">
      <c r="B1115" s="1"/>
      <c r="C1115" s="1"/>
      <c r="D1115" s="1"/>
      <c r="E1115" s="1"/>
      <c r="F1115" s="1"/>
      <c r="G1115" s="1"/>
    </row>
    <row r="1116" spans="2:7" x14ac:dyDescent="0.25">
      <c r="B1116" s="1"/>
      <c r="C1116" s="1"/>
      <c r="D1116" s="1"/>
      <c r="E1116" s="1"/>
      <c r="F1116" s="1"/>
      <c r="G1116" s="1"/>
    </row>
    <row r="1117" spans="2:7" x14ac:dyDescent="0.25">
      <c r="B1117" s="1"/>
      <c r="C1117" s="1"/>
      <c r="D1117" s="1"/>
      <c r="E1117" s="1"/>
      <c r="F1117" s="1"/>
      <c r="G1117" s="1"/>
    </row>
    <row r="1118" spans="2:7" x14ac:dyDescent="0.25">
      <c r="B1118" s="1"/>
      <c r="C1118" s="1"/>
      <c r="D1118" s="1"/>
      <c r="E1118" s="1"/>
      <c r="F1118" s="1"/>
      <c r="G1118" s="1"/>
    </row>
    <row r="1119" spans="2:7" x14ac:dyDescent="0.25">
      <c r="B1119" s="1"/>
      <c r="C1119" s="1"/>
      <c r="D1119" s="1"/>
      <c r="E1119" s="1"/>
      <c r="F1119" s="1"/>
      <c r="G1119" s="1"/>
    </row>
    <row r="1120" spans="2:7" x14ac:dyDescent="0.25">
      <c r="B1120" s="1"/>
      <c r="C1120" s="1"/>
      <c r="D1120" s="1"/>
      <c r="E1120" s="1"/>
      <c r="F1120" s="1"/>
      <c r="G1120" s="1"/>
    </row>
    <row r="1121" spans="2:7" x14ac:dyDescent="0.25">
      <c r="B1121" s="1"/>
      <c r="C1121" s="1"/>
      <c r="D1121" s="1"/>
      <c r="E1121" s="1"/>
      <c r="F1121" s="1"/>
      <c r="G1121" s="1"/>
    </row>
    <row r="1122" spans="2:7" x14ac:dyDescent="0.25">
      <c r="B1122" s="1"/>
      <c r="C1122" s="1"/>
      <c r="D1122" s="1"/>
      <c r="E1122" s="1"/>
      <c r="F1122" s="1"/>
      <c r="G1122" s="1"/>
    </row>
    <row r="1123" spans="2:7" x14ac:dyDescent="0.25">
      <c r="B1123" s="1"/>
      <c r="C1123" s="1"/>
      <c r="D1123" s="1"/>
      <c r="E1123" s="1"/>
      <c r="F1123" s="1"/>
      <c r="G1123" s="1"/>
    </row>
    <row r="1124" spans="2:7" x14ac:dyDescent="0.25">
      <c r="B1124" s="1"/>
      <c r="C1124" s="1"/>
      <c r="D1124" s="1"/>
      <c r="E1124" s="1"/>
      <c r="F1124" s="1"/>
      <c r="G1124" s="1"/>
    </row>
    <row r="1125" spans="2:7" x14ac:dyDescent="0.25">
      <c r="B1125" s="1"/>
      <c r="C1125" s="1"/>
      <c r="D1125" s="1"/>
      <c r="E1125" s="1"/>
      <c r="F1125" s="1"/>
      <c r="G1125" s="1"/>
    </row>
    <row r="1126" spans="2:7" x14ac:dyDescent="0.25">
      <c r="B1126" s="1"/>
      <c r="C1126" s="1"/>
      <c r="D1126" s="1"/>
      <c r="E1126" s="1"/>
      <c r="F1126" s="1"/>
      <c r="G1126" s="1"/>
    </row>
    <row r="1127" spans="2:7" x14ac:dyDescent="0.25">
      <c r="B1127" s="1"/>
      <c r="C1127" s="1"/>
      <c r="D1127" s="1"/>
      <c r="E1127" s="1"/>
      <c r="F1127" s="1"/>
      <c r="G1127" s="1"/>
    </row>
    <row r="1128" spans="2:7" x14ac:dyDescent="0.25">
      <c r="B1128" s="1"/>
      <c r="C1128" s="1"/>
      <c r="D1128" s="1"/>
      <c r="E1128" s="1"/>
      <c r="F1128" s="1"/>
      <c r="G1128" s="1"/>
    </row>
    <row r="1129" spans="2:7" x14ac:dyDescent="0.25">
      <c r="B1129" s="1"/>
      <c r="C1129" s="1"/>
      <c r="D1129" s="1"/>
      <c r="E1129" s="1"/>
      <c r="F1129" s="1"/>
      <c r="G1129" s="1"/>
    </row>
    <row r="1130" spans="2:7" x14ac:dyDescent="0.25">
      <c r="B1130" s="1"/>
      <c r="C1130" s="1"/>
      <c r="D1130" s="1"/>
      <c r="E1130" s="1"/>
      <c r="F1130" s="1"/>
      <c r="G1130" s="1"/>
    </row>
    <row r="1131" spans="2:7" x14ac:dyDescent="0.25">
      <c r="B1131" s="1"/>
      <c r="C1131" s="1"/>
      <c r="D1131" s="1"/>
      <c r="E1131" s="1"/>
      <c r="F1131" s="1"/>
      <c r="G1131" s="1"/>
    </row>
    <row r="1132" spans="2:7" x14ac:dyDescent="0.25">
      <c r="B1132" s="1"/>
      <c r="C1132" s="1"/>
      <c r="D1132" s="1"/>
      <c r="E1132" s="1"/>
      <c r="F1132" s="1"/>
      <c r="G1132" s="1"/>
    </row>
    <row r="1133" spans="2:7" x14ac:dyDescent="0.25">
      <c r="B1133" s="1"/>
      <c r="C1133" s="1"/>
      <c r="D1133" s="1"/>
      <c r="E1133" s="1"/>
      <c r="F1133" s="1"/>
      <c r="G1133" s="1"/>
    </row>
    <row r="1134" spans="2:7" x14ac:dyDescent="0.25">
      <c r="B1134" s="1"/>
      <c r="C1134" s="1"/>
      <c r="D1134" s="1"/>
      <c r="E1134" s="1"/>
      <c r="F1134" s="1"/>
      <c r="G1134" s="1"/>
    </row>
    <row r="1135" spans="2:7" x14ac:dyDescent="0.25">
      <c r="B1135" s="1"/>
      <c r="C1135" s="1"/>
      <c r="D1135" s="1"/>
      <c r="E1135" s="1"/>
      <c r="F1135" s="1"/>
      <c r="G1135" s="1"/>
    </row>
    <row r="1136" spans="2:7" x14ac:dyDescent="0.25">
      <c r="B1136" s="1"/>
      <c r="C1136" s="1"/>
      <c r="D1136" s="1"/>
      <c r="E1136" s="1"/>
      <c r="F1136" s="1"/>
      <c r="G1136" s="1"/>
    </row>
    <row r="1137" spans="2:7" x14ac:dyDescent="0.25">
      <c r="B1137" s="1"/>
      <c r="C1137" s="1"/>
      <c r="D1137" s="1"/>
      <c r="E1137" s="1"/>
      <c r="F1137" s="1"/>
      <c r="G1137" s="1"/>
    </row>
    <row r="1138" spans="2:7" x14ac:dyDescent="0.25">
      <c r="B1138" s="1"/>
      <c r="C1138" s="1"/>
      <c r="D1138" s="1"/>
      <c r="E1138" s="1"/>
      <c r="F1138" s="1"/>
      <c r="G1138" s="1"/>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row r="1169" spans="2:7" x14ac:dyDescent="0.25">
      <c r="B1169" s="6"/>
      <c r="C1169" s="6"/>
      <c r="D1169" s="6"/>
      <c r="E1169" s="6"/>
      <c r="F1169" s="6"/>
      <c r="G1169" s="6"/>
    </row>
    <row r="1170" spans="2:7" x14ac:dyDescent="0.25">
      <c r="B1170" s="6"/>
      <c r="C1170" s="6"/>
      <c r="D1170" s="6"/>
      <c r="E1170" s="6"/>
      <c r="F1170" s="6"/>
      <c r="G1170" s="6"/>
    </row>
    <row r="1171" spans="2:7" x14ac:dyDescent="0.25">
      <c r="B1171" s="6"/>
      <c r="C1171" s="6"/>
      <c r="D1171" s="6"/>
      <c r="E1171" s="6"/>
      <c r="F1171" s="6"/>
      <c r="G1171" s="6"/>
    </row>
    <row r="1172" spans="2:7" x14ac:dyDescent="0.25">
      <c r="B1172" s="6"/>
      <c r="C1172" s="6"/>
      <c r="D1172" s="6"/>
      <c r="E1172" s="6"/>
      <c r="F1172" s="6"/>
      <c r="G1172" s="6"/>
    </row>
    <row r="1173" spans="2:7" x14ac:dyDescent="0.25">
      <c r="B1173" s="6"/>
      <c r="C1173" s="6"/>
      <c r="D1173" s="6"/>
      <c r="E1173" s="6"/>
      <c r="F1173" s="6"/>
      <c r="G1173" s="6"/>
    </row>
    <row r="1174" spans="2:7" x14ac:dyDescent="0.25">
      <c r="B1174" s="6"/>
      <c r="C1174" s="6"/>
      <c r="D1174" s="6"/>
      <c r="E1174" s="6"/>
      <c r="F1174" s="6"/>
      <c r="G1174" s="6"/>
    </row>
    <row r="1175" spans="2:7" x14ac:dyDescent="0.25">
      <c r="B1175" s="6"/>
      <c r="C1175" s="6"/>
      <c r="D1175" s="6"/>
      <c r="E1175" s="6"/>
      <c r="F1175" s="6"/>
      <c r="G1175" s="6"/>
    </row>
    <row r="1176" spans="2:7" x14ac:dyDescent="0.25">
      <c r="B1176" s="6"/>
      <c r="C1176" s="6"/>
      <c r="D1176" s="6"/>
      <c r="E1176" s="6"/>
      <c r="F1176" s="6"/>
      <c r="G1176" s="6"/>
    </row>
    <row r="1177" spans="2:7" x14ac:dyDescent="0.25">
      <c r="B1177" s="6"/>
      <c r="C1177" s="6"/>
      <c r="D1177" s="6"/>
      <c r="E1177" s="6"/>
      <c r="F1177" s="6"/>
      <c r="G1177" s="6"/>
    </row>
    <row r="1178" spans="2:7" x14ac:dyDescent="0.25">
      <c r="B1178" s="6"/>
      <c r="C1178" s="6"/>
      <c r="D1178" s="6"/>
      <c r="E1178" s="6"/>
      <c r="F1178" s="6"/>
      <c r="G1178" s="6"/>
    </row>
    <row r="1179" spans="2:7" x14ac:dyDescent="0.25">
      <c r="B1179" s="6"/>
      <c r="C1179" s="6"/>
      <c r="D1179" s="6"/>
      <c r="E1179" s="6"/>
      <c r="F1179" s="6"/>
      <c r="G1179" s="6"/>
    </row>
    <row r="1180" spans="2:7" x14ac:dyDescent="0.25">
      <c r="B1180" s="6"/>
      <c r="C1180" s="6"/>
      <c r="D1180" s="6"/>
      <c r="E1180" s="6"/>
      <c r="F1180" s="6"/>
      <c r="G1180" s="6"/>
    </row>
    <row r="1181" spans="2:7" x14ac:dyDescent="0.25">
      <c r="B1181" s="6"/>
      <c r="C1181" s="6"/>
      <c r="D1181" s="6"/>
      <c r="E1181" s="6"/>
      <c r="F1181" s="6"/>
      <c r="G1181" s="6"/>
    </row>
    <row r="1182" spans="2:7" x14ac:dyDescent="0.25">
      <c r="B1182" s="6"/>
      <c r="C1182" s="6"/>
      <c r="D1182" s="6"/>
      <c r="E1182" s="6"/>
      <c r="F1182" s="6"/>
      <c r="G1182" s="6"/>
    </row>
    <row r="1183" spans="2:7" x14ac:dyDescent="0.25">
      <c r="B1183" s="6"/>
      <c r="C1183" s="6"/>
      <c r="D1183" s="6"/>
      <c r="E1183" s="6"/>
      <c r="F1183" s="6"/>
      <c r="G1183" s="6"/>
    </row>
    <row r="1184" spans="2:7" x14ac:dyDescent="0.25">
      <c r="B1184" s="6"/>
      <c r="C1184" s="6"/>
      <c r="D1184" s="6"/>
      <c r="E1184" s="6"/>
      <c r="F1184" s="6"/>
      <c r="G1184" s="6"/>
    </row>
    <row r="1185" spans="2:7" x14ac:dyDescent="0.25">
      <c r="B1185" s="6"/>
      <c r="C1185" s="6"/>
      <c r="D1185" s="6"/>
      <c r="E1185" s="6"/>
      <c r="F1185" s="6"/>
      <c r="G1185" s="6"/>
    </row>
    <row r="1186" spans="2:7" x14ac:dyDescent="0.25">
      <c r="B1186" s="6"/>
      <c r="C1186" s="6"/>
      <c r="D1186" s="6"/>
      <c r="E1186" s="6"/>
      <c r="F1186" s="6"/>
      <c r="G1186" s="6"/>
    </row>
    <row r="1187" spans="2:7" x14ac:dyDescent="0.25">
      <c r="B1187" s="6"/>
      <c r="C1187" s="6"/>
      <c r="D1187" s="6"/>
      <c r="E1187" s="6"/>
      <c r="F1187" s="6"/>
      <c r="G1187" s="6"/>
    </row>
    <row r="1188" spans="2:7" x14ac:dyDescent="0.25">
      <c r="B1188" s="6"/>
      <c r="C1188" s="6"/>
      <c r="D1188" s="6"/>
      <c r="E1188" s="6"/>
      <c r="F1188" s="6"/>
      <c r="G1188" s="6"/>
    </row>
    <row r="1189" spans="2:7" x14ac:dyDescent="0.25">
      <c r="B1189" s="6"/>
      <c r="C1189" s="6"/>
      <c r="D1189" s="6"/>
      <c r="E1189" s="6"/>
      <c r="F1189" s="6"/>
      <c r="G1189" s="6"/>
    </row>
    <row r="1190" spans="2:7" x14ac:dyDescent="0.25">
      <c r="B1190" s="6"/>
      <c r="C1190" s="6"/>
      <c r="D1190" s="6"/>
      <c r="E1190" s="6"/>
      <c r="F1190" s="6"/>
      <c r="G1190" s="6"/>
    </row>
    <row r="1191" spans="2:7" x14ac:dyDescent="0.25">
      <c r="B1191" s="6"/>
      <c r="C1191" s="6"/>
      <c r="D1191" s="6"/>
      <c r="E1191" s="6"/>
      <c r="F1191" s="6"/>
      <c r="G1191" s="6"/>
    </row>
    <row r="1192" spans="2:7" x14ac:dyDescent="0.25">
      <c r="B1192" s="6"/>
      <c r="C1192" s="6"/>
      <c r="D1192" s="6"/>
      <c r="E1192" s="6"/>
      <c r="F1192" s="6"/>
      <c r="G1192" s="6"/>
    </row>
    <row r="1193" spans="2:7" x14ac:dyDescent="0.25">
      <c r="B1193" s="6"/>
      <c r="C1193" s="6"/>
      <c r="D1193" s="6"/>
      <c r="E1193" s="6"/>
      <c r="F1193" s="6"/>
      <c r="G1193" s="6"/>
    </row>
    <row r="1194" spans="2:7" x14ac:dyDescent="0.25">
      <c r="B1194" s="6"/>
      <c r="C1194" s="6"/>
      <c r="D1194" s="6"/>
      <c r="E1194" s="6"/>
      <c r="F1194" s="6"/>
      <c r="G1194" s="6"/>
    </row>
    <row r="1195" spans="2:7" x14ac:dyDescent="0.25">
      <c r="B1195" s="6"/>
      <c r="C1195" s="6"/>
      <c r="D1195" s="6"/>
      <c r="E1195" s="6"/>
      <c r="F1195" s="6"/>
      <c r="G1195" s="6"/>
    </row>
    <row r="1196" spans="2:7" x14ac:dyDescent="0.25">
      <c r="B1196" s="6"/>
      <c r="C1196" s="6"/>
      <c r="D1196" s="6"/>
      <c r="E1196" s="6"/>
      <c r="F1196" s="6"/>
      <c r="G1196" s="6"/>
    </row>
    <row r="1197" spans="2:7" x14ac:dyDescent="0.25">
      <c r="B1197" s="6"/>
      <c r="C1197" s="6"/>
      <c r="D1197" s="6"/>
      <c r="E1197" s="6"/>
      <c r="F1197" s="6"/>
      <c r="G1197" s="6"/>
    </row>
    <row r="1198" spans="2:7" x14ac:dyDescent="0.25">
      <c r="B1198" s="6"/>
      <c r="C1198" s="6"/>
      <c r="D1198" s="6"/>
      <c r="E1198" s="6"/>
      <c r="F1198" s="6"/>
      <c r="G1198" s="6"/>
    </row>
    <row r="1199" spans="2:7" x14ac:dyDescent="0.25">
      <c r="B1199" s="6"/>
      <c r="C1199" s="6"/>
      <c r="D1199" s="6"/>
      <c r="E1199" s="6"/>
      <c r="F1199" s="6"/>
      <c r="G1199" s="6"/>
    </row>
    <row r="1200" spans="2:7" x14ac:dyDescent="0.25">
      <c r="B1200" s="6"/>
      <c r="C1200" s="6"/>
      <c r="D1200" s="6"/>
      <c r="E1200" s="6"/>
      <c r="F1200" s="6"/>
      <c r="G1200" s="6"/>
    </row>
    <row r="1201" spans="2:7" x14ac:dyDescent="0.25">
      <c r="B1201" s="6"/>
      <c r="C1201" s="6"/>
      <c r="D1201" s="6"/>
      <c r="E1201" s="6"/>
      <c r="F1201" s="6"/>
      <c r="G1201" s="6"/>
    </row>
    <row r="1202" spans="2:7" x14ac:dyDescent="0.25">
      <c r="B1202" s="6"/>
      <c r="C1202" s="6"/>
      <c r="D1202" s="6"/>
      <c r="E1202" s="6"/>
      <c r="F1202" s="6"/>
      <c r="G1202" s="6"/>
    </row>
    <row r="1203" spans="2:7" x14ac:dyDescent="0.25">
      <c r="B1203" s="6"/>
      <c r="C1203" s="6"/>
      <c r="D1203" s="6"/>
      <c r="E1203" s="6"/>
      <c r="F1203" s="6"/>
      <c r="G1203" s="6"/>
    </row>
    <row r="1204" spans="2:7" x14ac:dyDescent="0.25">
      <c r="B1204" s="6"/>
      <c r="C1204" s="6"/>
      <c r="D1204" s="6"/>
      <c r="E1204" s="6"/>
      <c r="F1204" s="6"/>
      <c r="G1204" s="6"/>
    </row>
    <row r="1205" spans="2:7" x14ac:dyDescent="0.25">
      <c r="B1205" s="6"/>
      <c r="C1205" s="6"/>
      <c r="D1205" s="6"/>
      <c r="E1205" s="6"/>
      <c r="F1205" s="6"/>
      <c r="G1205" s="6"/>
    </row>
    <row r="1206" spans="2:7" x14ac:dyDescent="0.25">
      <c r="B1206" s="6"/>
      <c r="C1206" s="6"/>
      <c r="D1206" s="6"/>
      <c r="E1206" s="6"/>
      <c r="F1206" s="6"/>
      <c r="G1206" s="6"/>
    </row>
    <row r="1207" spans="2:7" x14ac:dyDescent="0.25">
      <c r="B1207" s="6"/>
      <c r="C1207" s="6"/>
      <c r="D1207" s="6"/>
      <c r="E1207" s="6"/>
      <c r="F1207" s="6"/>
      <c r="G1207" s="6"/>
    </row>
    <row r="1208" spans="2:7" x14ac:dyDescent="0.25">
      <c r="B1208" s="6"/>
      <c r="C1208" s="6"/>
      <c r="D1208" s="6"/>
      <c r="E1208" s="6"/>
      <c r="F1208" s="6"/>
      <c r="G1208" s="6"/>
    </row>
    <row r="1209" spans="2:7" x14ac:dyDescent="0.25">
      <c r="B1209" s="6"/>
      <c r="C1209" s="6"/>
      <c r="D1209" s="6"/>
      <c r="E1209" s="6"/>
      <c r="F1209" s="6"/>
      <c r="G1209" s="6"/>
    </row>
    <row r="1210" spans="2:7" x14ac:dyDescent="0.25">
      <c r="B1210" s="6"/>
      <c r="C1210" s="6"/>
      <c r="D1210" s="6"/>
      <c r="E1210" s="6"/>
      <c r="F1210" s="6"/>
      <c r="G1210" s="6"/>
    </row>
    <row r="1211" spans="2:7" x14ac:dyDescent="0.25">
      <c r="B1211" s="6"/>
      <c r="C1211" s="6"/>
      <c r="D1211" s="6"/>
      <c r="E1211" s="6"/>
      <c r="F1211" s="6"/>
      <c r="G1211" s="6"/>
    </row>
    <row r="1212" spans="2:7" x14ac:dyDescent="0.25">
      <c r="B1212" s="6"/>
      <c r="C1212" s="6"/>
      <c r="D1212" s="6"/>
      <c r="E1212" s="6"/>
      <c r="F1212" s="6"/>
      <c r="G1212" s="6"/>
    </row>
    <row r="1213" spans="2:7" x14ac:dyDescent="0.25">
      <c r="B1213" s="6"/>
      <c r="C1213" s="6"/>
      <c r="D1213" s="6"/>
      <c r="E1213" s="6"/>
      <c r="F1213" s="6"/>
      <c r="G1213" s="6"/>
    </row>
    <row r="1214" spans="2:7" x14ac:dyDescent="0.25">
      <c r="B1214" s="6"/>
      <c r="C1214" s="6"/>
      <c r="D1214" s="6"/>
      <c r="E1214" s="6"/>
      <c r="F1214" s="6"/>
      <c r="G1214" s="6"/>
    </row>
    <row r="1215" spans="2:7" x14ac:dyDescent="0.25">
      <c r="B1215" s="6"/>
      <c r="C1215" s="6"/>
      <c r="D1215" s="6"/>
      <c r="E1215" s="6"/>
      <c r="F1215" s="6"/>
      <c r="G1215" s="6"/>
    </row>
    <row r="1216" spans="2:7" x14ac:dyDescent="0.25">
      <c r="B1216" s="6"/>
      <c r="C1216" s="6"/>
      <c r="D1216" s="6"/>
      <c r="E1216" s="6"/>
      <c r="F1216" s="6"/>
      <c r="G1216" s="6"/>
    </row>
    <row r="1217" spans="2:7" x14ac:dyDescent="0.25">
      <c r="B1217" s="6"/>
      <c r="C1217" s="6"/>
      <c r="D1217" s="6"/>
      <c r="E1217" s="6"/>
      <c r="F1217" s="6"/>
      <c r="G1217" s="6"/>
    </row>
    <row r="1218" spans="2:7" x14ac:dyDescent="0.25">
      <c r="B1218" s="6"/>
      <c r="C1218" s="6"/>
      <c r="D1218" s="6"/>
      <c r="E1218" s="6"/>
      <c r="F1218" s="6"/>
      <c r="G1218" s="6"/>
    </row>
    <row r="1219" spans="2:7" x14ac:dyDescent="0.25">
      <c r="B1219" s="6"/>
      <c r="C1219" s="6"/>
      <c r="D1219" s="6"/>
      <c r="E1219" s="6"/>
      <c r="F1219" s="6"/>
      <c r="G1219" s="6"/>
    </row>
    <row r="1220" spans="2:7" x14ac:dyDescent="0.25">
      <c r="B1220" s="6"/>
      <c r="C1220" s="6"/>
      <c r="D1220" s="6"/>
      <c r="E1220" s="6"/>
      <c r="F1220" s="6"/>
      <c r="G1220" s="6"/>
    </row>
    <row r="1221" spans="2:7" x14ac:dyDescent="0.25">
      <c r="B1221" s="6"/>
      <c r="C1221" s="6"/>
      <c r="D1221" s="6"/>
      <c r="E1221" s="6"/>
      <c r="F1221" s="6"/>
      <c r="G1221" s="6"/>
    </row>
    <row r="1222" spans="2:7" x14ac:dyDescent="0.25">
      <c r="B1222" s="6"/>
      <c r="C1222" s="6"/>
      <c r="D1222" s="6"/>
      <c r="E1222" s="6"/>
      <c r="F1222" s="6"/>
      <c r="G1222" s="6"/>
    </row>
    <row r="1223" spans="2:7" x14ac:dyDescent="0.25">
      <c r="B1223" s="6"/>
      <c r="C1223" s="6"/>
      <c r="D1223" s="6"/>
      <c r="E1223" s="6"/>
      <c r="F1223" s="6"/>
      <c r="G1223" s="6"/>
    </row>
    <row r="1224" spans="2:7" x14ac:dyDescent="0.25">
      <c r="B1224" s="6"/>
      <c r="C1224" s="6"/>
      <c r="D1224" s="6"/>
      <c r="E1224" s="6"/>
      <c r="F1224" s="6"/>
      <c r="G1224" s="6"/>
    </row>
    <row r="1225" spans="2:7" x14ac:dyDescent="0.25">
      <c r="B1225" s="6"/>
      <c r="C1225" s="6"/>
      <c r="D1225" s="6"/>
      <c r="E1225" s="6"/>
      <c r="F1225" s="6"/>
      <c r="G1225" s="6"/>
    </row>
    <row r="1226" spans="2:7" x14ac:dyDescent="0.25">
      <c r="B1226" s="6"/>
      <c r="C1226" s="6"/>
      <c r="D1226" s="6"/>
      <c r="E1226" s="6"/>
      <c r="F1226" s="6"/>
      <c r="G1226" s="6"/>
    </row>
    <row r="1227" spans="2:7" x14ac:dyDescent="0.25">
      <c r="B1227" s="6"/>
      <c r="C1227" s="6"/>
      <c r="D1227" s="6"/>
      <c r="E1227" s="6"/>
      <c r="F1227" s="6"/>
      <c r="G1227" s="6"/>
    </row>
    <row r="1228" spans="2:7" x14ac:dyDescent="0.25">
      <c r="B1228" s="6"/>
      <c r="C1228" s="6"/>
      <c r="D1228" s="6"/>
      <c r="E1228" s="6"/>
      <c r="F1228" s="6"/>
      <c r="G1228" s="6"/>
    </row>
    <row r="1229" spans="2:7" x14ac:dyDescent="0.25">
      <c r="B1229" s="6"/>
      <c r="C1229" s="6"/>
      <c r="D1229" s="6"/>
      <c r="E1229" s="6"/>
      <c r="F1229" s="6"/>
      <c r="G1229" s="6"/>
    </row>
    <row r="1230" spans="2:7" x14ac:dyDescent="0.25">
      <c r="B1230" s="6"/>
      <c r="C1230" s="6"/>
      <c r="D1230" s="6"/>
      <c r="E1230" s="6"/>
      <c r="F1230" s="6"/>
      <c r="G1230" s="6"/>
    </row>
    <row r="1231" spans="2:7" x14ac:dyDescent="0.25">
      <c r="B1231" s="6"/>
      <c r="C1231" s="6"/>
      <c r="D1231" s="6"/>
      <c r="E1231" s="6"/>
      <c r="F1231" s="6"/>
      <c r="G1231" s="6"/>
    </row>
    <row r="1232" spans="2:7" x14ac:dyDescent="0.25">
      <c r="B1232" s="6"/>
      <c r="C1232" s="6"/>
      <c r="D1232" s="6"/>
      <c r="E1232" s="6"/>
      <c r="F1232" s="6"/>
      <c r="G1232" s="6"/>
    </row>
    <row r="1233" spans="2:7" x14ac:dyDescent="0.25">
      <c r="B1233" s="6"/>
      <c r="C1233" s="6"/>
      <c r="D1233" s="6"/>
      <c r="E1233" s="6"/>
      <c r="F1233" s="6"/>
      <c r="G1233" s="6"/>
    </row>
    <row r="1234" spans="2:7" x14ac:dyDescent="0.25">
      <c r="B1234" s="6"/>
      <c r="C1234" s="6"/>
      <c r="D1234" s="6"/>
      <c r="E1234" s="6"/>
      <c r="F1234" s="6"/>
      <c r="G1234" s="6"/>
    </row>
    <row r="1235" spans="2:7" x14ac:dyDescent="0.25">
      <c r="B1235" s="6"/>
      <c r="C1235" s="6"/>
      <c r="D1235" s="6"/>
      <c r="E1235" s="6"/>
      <c r="F1235" s="6"/>
      <c r="G1235" s="6"/>
    </row>
    <row r="1236" spans="2:7" x14ac:dyDescent="0.25">
      <c r="B1236" s="6"/>
      <c r="C1236" s="6"/>
      <c r="D1236" s="6"/>
      <c r="E1236" s="6"/>
      <c r="F1236" s="6"/>
      <c r="G1236" s="6"/>
    </row>
    <row r="1237" spans="2:7" x14ac:dyDescent="0.25">
      <c r="B1237" s="6"/>
      <c r="C1237" s="6"/>
      <c r="D1237" s="6"/>
      <c r="E1237" s="6"/>
      <c r="F1237" s="6"/>
      <c r="G1237" s="6"/>
    </row>
    <row r="1238" spans="2:7" x14ac:dyDescent="0.25">
      <c r="B1238" s="6"/>
      <c r="C1238" s="6"/>
      <c r="D1238" s="6"/>
      <c r="E1238" s="6"/>
      <c r="F1238" s="6"/>
      <c r="G1238" s="6"/>
    </row>
    <row r="1239" spans="2:7" x14ac:dyDescent="0.25">
      <c r="B1239" s="6"/>
      <c r="C1239" s="6"/>
      <c r="D1239" s="6"/>
      <c r="E1239" s="6"/>
      <c r="F1239" s="6"/>
      <c r="G1239" s="6"/>
    </row>
    <row r="1240" spans="2:7" x14ac:dyDescent="0.25">
      <c r="B1240" s="6"/>
      <c r="C1240" s="6"/>
      <c r="D1240" s="6"/>
      <c r="E1240" s="6"/>
      <c r="F1240" s="6"/>
      <c r="G1240" s="6"/>
    </row>
    <row r="1241" spans="2:7" x14ac:dyDescent="0.25">
      <c r="B1241" s="6"/>
      <c r="C1241" s="6"/>
      <c r="D1241" s="6"/>
      <c r="E1241" s="6"/>
      <c r="F1241" s="6"/>
      <c r="G1241" s="6"/>
    </row>
    <row r="1242" spans="2:7" x14ac:dyDescent="0.25">
      <c r="B1242" s="6"/>
      <c r="C1242" s="6"/>
      <c r="D1242" s="6"/>
      <c r="E1242" s="6"/>
      <c r="F1242" s="6"/>
      <c r="G1242" s="6"/>
    </row>
    <row r="1243" spans="2:7" x14ac:dyDescent="0.25">
      <c r="B1243" s="6"/>
      <c r="C1243" s="6"/>
      <c r="D1243" s="6"/>
      <c r="E1243" s="6"/>
      <c r="F1243" s="6"/>
      <c r="G1243" s="6"/>
    </row>
    <row r="1244" spans="2:7" x14ac:dyDescent="0.25">
      <c r="B1244" s="6"/>
      <c r="C1244" s="6"/>
      <c r="D1244" s="6"/>
      <c r="E1244" s="6"/>
      <c r="F1244" s="6"/>
      <c r="G1244" s="6"/>
    </row>
    <row r="1245" spans="2:7" x14ac:dyDescent="0.25">
      <c r="B1245" s="6"/>
      <c r="C1245" s="6"/>
      <c r="D1245" s="6"/>
      <c r="E1245" s="6"/>
      <c r="F1245" s="6"/>
      <c r="G1245" s="6"/>
    </row>
    <row r="1246" spans="2:7" x14ac:dyDescent="0.25">
      <c r="B1246" s="6"/>
      <c r="C1246" s="6"/>
      <c r="D1246" s="6"/>
      <c r="E1246" s="6"/>
      <c r="F1246" s="6"/>
      <c r="G1246" s="6"/>
    </row>
    <row r="1247" spans="2:7" x14ac:dyDescent="0.25">
      <c r="B1247" s="6"/>
      <c r="C1247" s="6"/>
      <c r="D1247" s="6"/>
      <c r="E1247" s="6"/>
      <c r="F1247" s="6"/>
      <c r="G1247" s="6"/>
    </row>
    <row r="1248" spans="2:7" x14ac:dyDescent="0.25">
      <c r="B1248" s="6"/>
      <c r="C1248" s="6"/>
      <c r="D1248" s="6"/>
      <c r="E1248" s="6"/>
      <c r="F1248" s="6"/>
      <c r="G1248" s="6"/>
    </row>
    <row r="1249" spans="2:7" x14ac:dyDescent="0.25">
      <c r="B1249" s="6"/>
      <c r="C1249" s="6"/>
      <c r="D1249" s="6"/>
      <c r="E1249" s="6"/>
      <c r="F1249" s="6"/>
      <c r="G1249" s="6"/>
    </row>
    <row r="1250" spans="2:7" x14ac:dyDescent="0.25">
      <c r="B1250" s="6"/>
      <c r="C1250" s="6"/>
      <c r="D1250" s="6"/>
      <c r="E1250" s="6"/>
      <c r="F1250" s="6"/>
      <c r="G1250" s="6"/>
    </row>
    <row r="1251" spans="2:7" x14ac:dyDescent="0.25">
      <c r="B1251" s="6"/>
      <c r="C1251" s="6"/>
      <c r="D1251" s="6"/>
      <c r="E1251" s="6"/>
      <c r="F1251" s="6"/>
      <c r="G1251" s="6"/>
    </row>
    <row r="1252" spans="2:7" x14ac:dyDescent="0.25">
      <c r="B1252" s="6"/>
      <c r="C1252" s="6"/>
      <c r="D1252" s="6"/>
      <c r="E1252" s="6"/>
      <c r="F1252" s="6"/>
      <c r="G1252" s="6"/>
    </row>
    <row r="1253" spans="2:7" x14ac:dyDescent="0.25">
      <c r="B1253" s="6"/>
      <c r="C1253" s="6"/>
      <c r="D1253" s="6"/>
      <c r="E1253" s="6"/>
      <c r="F1253" s="6"/>
      <c r="G1253" s="6"/>
    </row>
    <row r="1254" spans="2:7" x14ac:dyDescent="0.25">
      <c r="B1254" s="6"/>
      <c r="C1254" s="6"/>
      <c r="D1254" s="6"/>
      <c r="E1254" s="6"/>
      <c r="F1254" s="6"/>
      <c r="G1254" s="6"/>
    </row>
    <row r="1255" spans="2:7" x14ac:dyDescent="0.25">
      <c r="B1255" s="6"/>
      <c r="C1255" s="6"/>
      <c r="D1255" s="6"/>
      <c r="E1255" s="6"/>
      <c r="F1255" s="6"/>
      <c r="G1255" s="6"/>
    </row>
    <row r="1256" spans="2:7" x14ac:dyDescent="0.25">
      <c r="B1256" s="6"/>
      <c r="C1256" s="6"/>
      <c r="D1256" s="6"/>
      <c r="E1256" s="6"/>
      <c r="F1256" s="6"/>
      <c r="G1256" s="6"/>
    </row>
    <row r="1257" spans="2:7" x14ac:dyDescent="0.25">
      <c r="B1257" s="6"/>
      <c r="C1257" s="6"/>
      <c r="D1257" s="6"/>
      <c r="E1257" s="6"/>
      <c r="F1257" s="6"/>
      <c r="G1257" s="6"/>
    </row>
    <row r="1258" spans="2:7" x14ac:dyDescent="0.25">
      <c r="B1258" s="6"/>
      <c r="C1258" s="6"/>
      <c r="D1258" s="6"/>
      <c r="E1258" s="6"/>
      <c r="F1258" s="6"/>
      <c r="G1258" s="6"/>
    </row>
    <row r="1259" spans="2:7" x14ac:dyDescent="0.25">
      <c r="B1259" s="6"/>
      <c r="C1259" s="6"/>
      <c r="D1259" s="6"/>
      <c r="E1259" s="6"/>
      <c r="F1259" s="6"/>
      <c r="G1259" s="6"/>
    </row>
    <row r="1260" spans="2:7" x14ac:dyDescent="0.25">
      <c r="B1260" s="6"/>
      <c r="C1260" s="6"/>
      <c r="D1260" s="6"/>
      <c r="E1260" s="6"/>
      <c r="F1260" s="6"/>
      <c r="G1260" s="6"/>
    </row>
    <row r="1261" spans="2:7" x14ac:dyDescent="0.25">
      <c r="B1261" s="6"/>
      <c r="C1261" s="6"/>
      <c r="D1261" s="6"/>
      <c r="E1261" s="6"/>
      <c r="F1261" s="6"/>
      <c r="G1261" s="6"/>
    </row>
    <row r="1262" spans="2:7" x14ac:dyDescent="0.25">
      <c r="B1262" s="6"/>
      <c r="C1262" s="6"/>
      <c r="D1262" s="6"/>
      <c r="E1262" s="6"/>
      <c r="F1262" s="6"/>
      <c r="G1262" s="6"/>
    </row>
    <row r="1263" spans="2:7" x14ac:dyDescent="0.25">
      <c r="B1263" s="6"/>
      <c r="C1263" s="6"/>
      <c r="D1263" s="6"/>
      <c r="E1263" s="6"/>
      <c r="F1263" s="6"/>
      <c r="G1263" s="6"/>
    </row>
    <row r="1264" spans="2:7" x14ac:dyDescent="0.25">
      <c r="B1264" s="6"/>
      <c r="C1264" s="6"/>
      <c r="D1264" s="6"/>
      <c r="E1264" s="6"/>
      <c r="F1264" s="6"/>
      <c r="G1264" s="6"/>
    </row>
    <row r="1265" spans="2:7" x14ac:dyDescent="0.25">
      <c r="B1265" s="6"/>
      <c r="C1265" s="6"/>
      <c r="D1265" s="6"/>
      <c r="E1265" s="6"/>
      <c r="F1265" s="6"/>
      <c r="G1265" s="6"/>
    </row>
  </sheetData>
  <mergeCells count="4">
    <mergeCell ref="A5:I5"/>
    <mergeCell ref="C2:F2"/>
    <mergeCell ref="C3:F3"/>
    <mergeCell ref="C1:F1"/>
  </mergeCells>
  <conditionalFormatting sqref="I7:I72">
    <cfRule type="containsText" dxfId="0" priority="1" operator="containsText" text="NOT IN GLOSSARY">
      <formula>NOT(ISERROR(SEARCH("NOT IN GLOSSARY",I7)))</formula>
    </cfRule>
  </conditionalFormatting>
  <dataValidations count="1">
    <dataValidation type="list" allowBlank="1" showInputMessage="1" sqref="E7:E72"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5</xdr:col>
                    <xdr:colOff>2324100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6</xdr:col>
                    <xdr:colOff>3009900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H217"/>
  <sheetViews>
    <sheetView tabSelected="1" workbookViewId="0">
      <selection activeCell="F31" sqref="F31"/>
    </sheetView>
  </sheetViews>
  <sheetFormatPr defaultRowHeight="15" x14ac:dyDescent="0.25"/>
  <cols>
    <col min="1" max="1" width="7.42578125" bestFit="1" customWidth="1"/>
    <col min="2" max="2" width="46.28515625" customWidth="1"/>
    <col min="3" max="3" width="45.7109375" customWidth="1"/>
    <col min="4" max="4" width="32.140625" customWidth="1"/>
    <col min="5" max="5" width="22.28515625" customWidth="1"/>
    <col min="6" max="6" width="27.140625" customWidth="1"/>
    <col min="7" max="7" width="13.85546875" customWidth="1"/>
    <col min="8" max="8" width="38.42578125" customWidth="1"/>
  </cols>
  <sheetData>
    <row r="2" spans="1:8" ht="42.75" customHeight="1" x14ac:dyDescent="0.25"/>
    <row r="3" spans="1:8" x14ac:dyDescent="0.25">
      <c r="A3" s="26" t="s">
        <v>1315</v>
      </c>
      <c r="B3" s="26"/>
      <c r="C3" s="26"/>
      <c r="D3" s="26"/>
      <c r="F3" s="12" t="s">
        <v>1316</v>
      </c>
      <c r="H3" s="12" t="s">
        <v>1324</v>
      </c>
    </row>
    <row r="4" spans="1:8" ht="30" x14ac:dyDescent="0.25">
      <c r="A4" s="14" t="s">
        <v>1179</v>
      </c>
      <c r="B4" s="14" t="s">
        <v>5</v>
      </c>
      <c r="C4" s="14" t="s">
        <v>788</v>
      </c>
      <c r="D4" s="14" t="s">
        <v>6</v>
      </c>
      <c r="F4" s="3" t="s">
        <v>1313</v>
      </c>
      <c r="H4" s="35" t="s">
        <v>1323</v>
      </c>
    </row>
    <row r="5" spans="1:8" x14ac:dyDescent="0.25">
      <c r="A5" s="13">
        <v>1</v>
      </c>
      <c r="B5" s="1" t="s">
        <v>151</v>
      </c>
      <c r="C5" s="1" t="s">
        <v>710</v>
      </c>
      <c r="D5" s="1" t="s">
        <v>380</v>
      </c>
      <c r="F5" s="3"/>
      <c r="H5" s="36" t="s">
        <v>711</v>
      </c>
    </row>
    <row r="6" spans="1:8" x14ac:dyDescent="0.25">
      <c r="A6" s="13">
        <f>A5+1</f>
        <v>2</v>
      </c>
      <c r="B6" s="1" t="s">
        <v>314</v>
      </c>
      <c r="C6" t="s">
        <v>728</v>
      </c>
      <c r="D6" s="1" t="s">
        <v>556</v>
      </c>
      <c r="H6" s="36" t="s">
        <v>709</v>
      </c>
    </row>
    <row r="7" spans="1:8" x14ac:dyDescent="0.25">
      <c r="A7" s="13">
        <f>A6+1</f>
        <v>3</v>
      </c>
      <c r="B7" s="1" t="s">
        <v>315</v>
      </c>
      <c r="C7" t="s">
        <v>728</v>
      </c>
      <c r="D7" s="1" t="s">
        <v>557</v>
      </c>
      <c r="H7" s="36" t="s">
        <v>716</v>
      </c>
    </row>
    <row r="8" spans="1:8" x14ac:dyDescent="0.25">
      <c r="A8" s="13">
        <f t="shared" ref="A8:A71" si="0">A7+1</f>
        <v>4</v>
      </c>
      <c r="B8" s="1" t="s">
        <v>283</v>
      </c>
      <c r="C8" s="1" t="s">
        <v>711</v>
      </c>
      <c r="D8" s="1" t="s">
        <v>526</v>
      </c>
      <c r="H8" s="36" t="s">
        <v>712</v>
      </c>
    </row>
    <row r="9" spans="1:8" x14ac:dyDescent="0.25">
      <c r="A9" s="13">
        <f t="shared" si="0"/>
        <v>5</v>
      </c>
      <c r="B9" s="1" t="s">
        <v>291</v>
      </c>
      <c r="C9" t="s">
        <v>715</v>
      </c>
      <c r="D9" s="1" t="s">
        <v>533</v>
      </c>
      <c r="H9" s="36" t="s">
        <v>710</v>
      </c>
    </row>
    <row r="10" spans="1:8" x14ac:dyDescent="0.25">
      <c r="A10" s="13">
        <f t="shared" si="0"/>
        <v>6</v>
      </c>
      <c r="B10" s="1" t="s">
        <v>147</v>
      </c>
      <c r="C10" s="1" t="s">
        <v>711</v>
      </c>
      <c r="D10" s="1" t="s">
        <v>376</v>
      </c>
      <c r="H10" s="36" t="s">
        <v>728</v>
      </c>
    </row>
    <row r="11" spans="1:8" x14ac:dyDescent="0.25">
      <c r="A11" s="13">
        <f t="shared" si="0"/>
        <v>7</v>
      </c>
      <c r="B11" s="1" t="s">
        <v>292</v>
      </c>
      <c r="C11" t="s">
        <v>711</v>
      </c>
      <c r="D11" s="1" t="s">
        <v>534</v>
      </c>
      <c r="H11" s="36" t="s">
        <v>727</v>
      </c>
    </row>
    <row r="12" spans="1:8" x14ac:dyDescent="0.25">
      <c r="A12" s="13">
        <f t="shared" si="0"/>
        <v>8</v>
      </c>
      <c r="B12" s="1" t="s">
        <v>162</v>
      </c>
      <c r="C12" t="s">
        <v>711</v>
      </c>
      <c r="D12" s="1" t="s">
        <v>391</v>
      </c>
      <c r="H12" s="36" t="s">
        <v>714</v>
      </c>
    </row>
    <row r="13" spans="1:8" x14ac:dyDescent="0.25">
      <c r="A13" s="13">
        <f t="shared" si="0"/>
        <v>9</v>
      </c>
      <c r="B13" t="s">
        <v>245</v>
      </c>
      <c r="C13" t="s">
        <v>711</v>
      </c>
      <c r="D13" t="s">
        <v>486</v>
      </c>
      <c r="H13" s="36" t="s">
        <v>717</v>
      </c>
    </row>
    <row r="14" spans="1:8" x14ac:dyDescent="0.25">
      <c r="A14" s="13">
        <f t="shared" si="0"/>
        <v>10</v>
      </c>
      <c r="B14" t="s">
        <v>226</v>
      </c>
      <c r="C14" t="s">
        <v>711</v>
      </c>
      <c r="D14" t="s">
        <v>462</v>
      </c>
      <c r="H14" s="36" t="s">
        <v>719</v>
      </c>
    </row>
    <row r="15" spans="1:8" x14ac:dyDescent="0.25">
      <c r="A15" s="13">
        <f t="shared" si="0"/>
        <v>11</v>
      </c>
      <c r="B15" t="s">
        <v>224</v>
      </c>
      <c r="C15" t="s">
        <v>708</v>
      </c>
      <c r="D15" t="s">
        <v>391</v>
      </c>
      <c r="H15" s="36" t="s">
        <v>718</v>
      </c>
    </row>
    <row r="16" spans="1:8" x14ac:dyDescent="0.25">
      <c r="A16" s="13">
        <f t="shared" si="0"/>
        <v>12</v>
      </c>
      <c r="B16" s="1" t="s">
        <v>305</v>
      </c>
      <c r="C16" t="s">
        <v>712</v>
      </c>
      <c r="D16" s="1" t="s">
        <v>547</v>
      </c>
      <c r="H16" s="36" t="s">
        <v>715</v>
      </c>
    </row>
    <row r="17" spans="1:8" x14ac:dyDescent="0.25">
      <c r="A17" s="13">
        <f t="shared" si="0"/>
        <v>13</v>
      </c>
      <c r="B17" t="s">
        <v>238</v>
      </c>
      <c r="C17" t="s">
        <v>708</v>
      </c>
      <c r="D17" t="s">
        <v>479</v>
      </c>
      <c r="H17" s="36" t="s">
        <v>726</v>
      </c>
    </row>
    <row r="18" spans="1:8" x14ac:dyDescent="0.25">
      <c r="A18" s="13">
        <f t="shared" si="0"/>
        <v>14</v>
      </c>
      <c r="B18" t="s">
        <v>243</v>
      </c>
      <c r="C18" t="s">
        <v>712</v>
      </c>
      <c r="D18" t="s">
        <v>484</v>
      </c>
      <c r="H18" s="36" t="s">
        <v>723</v>
      </c>
    </row>
    <row r="19" spans="1:8" x14ac:dyDescent="0.25">
      <c r="A19" s="13">
        <f t="shared" si="0"/>
        <v>15</v>
      </c>
      <c r="B19" t="s">
        <v>231</v>
      </c>
      <c r="C19" t="s">
        <v>711</v>
      </c>
      <c r="D19" t="s">
        <v>473</v>
      </c>
      <c r="H19" s="36" t="s">
        <v>708</v>
      </c>
    </row>
    <row r="20" spans="1:8" x14ac:dyDescent="0.25">
      <c r="A20" s="13">
        <f t="shared" si="0"/>
        <v>16</v>
      </c>
      <c r="B20" s="1" t="s">
        <v>280</v>
      </c>
      <c r="C20" s="1" t="s">
        <v>711</v>
      </c>
      <c r="D20" s="1" t="s">
        <v>523</v>
      </c>
      <c r="H20" s="36" t="s">
        <v>724</v>
      </c>
    </row>
    <row r="21" spans="1:8" x14ac:dyDescent="0.25">
      <c r="A21" s="13">
        <f t="shared" si="0"/>
        <v>17</v>
      </c>
      <c r="B21" s="1" t="s">
        <v>277</v>
      </c>
      <c r="C21" s="1" t="s">
        <v>708</v>
      </c>
      <c r="D21" s="1" t="s">
        <v>520</v>
      </c>
      <c r="H21" s="36" t="s">
        <v>713</v>
      </c>
    </row>
    <row r="22" spans="1:8" x14ac:dyDescent="0.25">
      <c r="A22" s="13">
        <f t="shared" si="0"/>
        <v>18</v>
      </c>
      <c r="B22" s="1" t="s">
        <v>268</v>
      </c>
      <c r="C22" t="s">
        <v>711</v>
      </c>
      <c r="D22" s="1" t="s">
        <v>509</v>
      </c>
      <c r="H22" s="36" t="s">
        <v>725</v>
      </c>
    </row>
    <row r="23" spans="1:8" x14ac:dyDescent="0.25">
      <c r="A23" s="13">
        <f t="shared" si="0"/>
        <v>19</v>
      </c>
      <c r="B23" s="1" t="s">
        <v>249</v>
      </c>
      <c r="C23" s="1" t="s">
        <v>711</v>
      </c>
      <c r="D23" s="1" t="s">
        <v>490</v>
      </c>
      <c r="H23" s="36" t="s">
        <v>720</v>
      </c>
    </row>
    <row r="24" spans="1:8" x14ac:dyDescent="0.25">
      <c r="A24" s="13">
        <f t="shared" si="0"/>
        <v>20</v>
      </c>
      <c r="B24" s="1" t="s">
        <v>342</v>
      </c>
      <c r="C24" s="1" t="s">
        <v>716</v>
      </c>
      <c r="D24" s="1" t="s">
        <v>396</v>
      </c>
      <c r="H24" s="36" t="s">
        <v>721</v>
      </c>
    </row>
    <row r="25" spans="1:8" x14ac:dyDescent="0.25">
      <c r="A25" s="13">
        <f t="shared" si="0"/>
        <v>21</v>
      </c>
      <c r="B25" t="s">
        <v>213</v>
      </c>
      <c r="C25" t="s">
        <v>708</v>
      </c>
      <c r="D25" t="s">
        <v>319</v>
      </c>
      <c r="H25" s="36" t="s">
        <v>722</v>
      </c>
    </row>
    <row r="26" spans="1:8" x14ac:dyDescent="0.25">
      <c r="A26" s="13">
        <f t="shared" si="0"/>
        <v>22</v>
      </c>
      <c r="B26" s="1" t="s">
        <v>182</v>
      </c>
      <c r="C26" s="1" t="s">
        <v>716</v>
      </c>
      <c r="D26" s="1" t="s">
        <v>413</v>
      </c>
    </row>
    <row r="27" spans="1:8" x14ac:dyDescent="0.25">
      <c r="A27" s="13">
        <f t="shared" si="0"/>
        <v>23</v>
      </c>
      <c r="B27" s="1" t="s">
        <v>302</v>
      </c>
      <c r="C27" s="1" t="s">
        <v>716</v>
      </c>
      <c r="D27" s="1" t="s">
        <v>544</v>
      </c>
    </row>
    <row r="28" spans="1:8" x14ac:dyDescent="0.25">
      <c r="A28" s="13">
        <f t="shared" si="0"/>
        <v>24</v>
      </c>
      <c r="B28" s="1" t="s">
        <v>275</v>
      </c>
      <c r="C28" t="s">
        <v>709</v>
      </c>
      <c r="D28" s="1" t="s">
        <v>518</v>
      </c>
    </row>
    <row r="29" spans="1:8" x14ac:dyDescent="0.25">
      <c r="A29" s="13">
        <f t="shared" si="0"/>
        <v>25</v>
      </c>
      <c r="B29" s="1" t="s">
        <v>289</v>
      </c>
      <c r="C29" t="s">
        <v>709</v>
      </c>
      <c r="D29" s="1" t="s">
        <v>531</v>
      </c>
    </row>
    <row r="30" spans="1:8" x14ac:dyDescent="0.25">
      <c r="A30" s="13">
        <f t="shared" si="0"/>
        <v>26</v>
      </c>
      <c r="B30" s="5" t="s">
        <v>154</v>
      </c>
      <c r="C30" t="s">
        <v>709</v>
      </c>
      <c r="D30" s="1" t="s">
        <v>383</v>
      </c>
    </row>
    <row r="31" spans="1:8" x14ac:dyDescent="0.25">
      <c r="A31" s="13">
        <f t="shared" si="0"/>
        <v>27</v>
      </c>
      <c r="B31" s="1" t="s">
        <v>252</v>
      </c>
      <c r="C31" t="s">
        <v>709</v>
      </c>
      <c r="D31" s="1" t="s">
        <v>493</v>
      </c>
    </row>
    <row r="32" spans="1:8" x14ac:dyDescent="0.25">
      <c r="A32" s="13">
        <f t="shared" si="0"/>
        <v>28</v>
      </c>
      <c r="B32" s="1" t="s">
        <v>282</v>
      </c>
      <c r="C32" t="s">
        <v>709</v>
      </c>
      <c r="D32" s="1" t="s">
        <v>525</v>
      </c>
    </row>
    <row r="33" spans="1:4" x14ac:dyDescent="0.25">
      <c r="A33" s="13">
        <f t="shared" si="0"/>
        <v>29</v>
      </c>
      <c r="B33" s="1" t="s">
        <v>286</v>
      </c>
      <c r="C33" t="s">
        <v>713</v>
      </c>
      <c r="D33" s="1" t="s">
        <v>528</v>
      </c>
    </row>
    <row r="34" spans="1:4" x14ac:dyDescent="0.25">
      <c r="A34" s="13">
        <f t="shared" si="0"/>
        <v>30</v>
      </c>
      <c r="B34" s="1" t="s">
        <v>281</v>
      </c>
      <c r="C34" t="s">
        <v>709</v>
      </c>
      <c r="D34" s="1" t="s">
        <v>524</v>
      </c>
    </row>
    <row r="35" spans="1:4" x14ac:dyDescent="0.25">
      <c r="A35" s="13">
        <f t="shared" si="0"/>
        <v>31</v>
      </c>
      <c r="B35" s="1" t="s">
        <v>189</v>
      </c>
      <c r="C35" t="s">
        <v>713</v>
      </c>
      <c r="D35" s="1" t="s">
        <v>425</v>
      </c>
    </row>
    <row r="36" spans="1:4" x14ac:dyDescent="0.25">
      <c r="A36" s="13">
        <f t="shared" si="0"/>
        <v>32</v>
      </c>
      <c r="B36" s="1" t="s">
        <v>340</v>
      </c>
      <c r="C36" t="s">
        <v>713</v>
      </c>
      <c r="D36" s="1" t="s">
        <v>375</v>
      </c>
    </row>
    <row r="37" spans="1:4" x14ac:dyDescent="0.25">
      <c r="A37" s="13">
        <f t="shared" si="0"/>
        <v>33</v>
      </c>
      <c r="B37" s="1" t="s">
        <v>308</v>
      </c>
      <c r="C37" t="s">
        <v>714</v>
      </c>
      <c r="D37" s="1" t="s">
        <v>550</v>
      </c>
    </row>
    <row r="38" spans="1:4" x14ac:dyDescent="0.25">
      <c r="A38" s="13">
        <f t="shared" si="0"/>
        <v>34</v>
      </c>
      <c r="B38" t="s">
        <v>214</v>
      </c>
      <c r="C38" t="s">
        <v>712</v>
      </c>
      <c r="D38" t="s">
        <v>453</v>
      </c>
    </row>
    <row r="39" spans="1:4" x14ac:dyDescent="0.25">
      <c r="A39" s="13">
        <f t="shared" si="0"/>
        <v>35</v>
      </c>
      <c r="B39" t="s">
        <v>206</v>
      </c>
      <c r="C39" t="s">
        <v>715</v>
      </c>
      <c r="D39" t="s">
        <v>443</v>
      </c>
    </row>
    <row r="40" spans="1:4" x14ac:dyDescent="0.25">
      <c r="A40" s="13">
        <f t="shared" si="0"/>
        <v>36</v>
      </c>
      <c r="B40" t="s">
        <v>239</v>
      </c>
      <c r="C40" t="s">
        <v>716</v>
      </c>
      <c r="D40" t="s">
        <v>480</v>
      </c>
    </row>
    <row r="41" spans="1:4" x14ac:dyDescent="0.25">
      <c r="A41" s="13">
        <f t="shared" si="0"/>
        <v>37</v>
      </c>
      <c r="B41" s="1" t="s">
        <v>150</v>
      </c>
      <c r="C41" t="s">
        <v>716</v>
      </c>
      <c r="D41" s="1" t="s">
        <v>379</v>
      </c>
    </row>
    <row r="42" spans="1:4" x14ac:dyDescent="0.25">
      <c r="A42" s="13">
        <f t="shared" si="0"/>
        <v>38</v>
      </c>
      <c r="B42" t="s">
        <v>227</v>
      </c>
      <c r="C42" t="s">
        <v>713</v>
      </c>
      <c r="D42" t="s">
        <v>463</v>
      </c>
    </row>
    <row r="43" spans="1:4" x14ac:dyDescent="0.25">
      <c r="A43" s="13">
        <f t="shared" si="0"/>
        <v>39</v>
      </c>
      <c r="B43" s="1" t="s">
        <v>152</v>
      </c>
      <c r="C43" t="s">
        <v>713</v>
      </c>
      <c r="D43" s="1" t="s">
        <v>381</v>
      </c>
    </row>
    <row r="44" spans="1:4" x14ac:dyDescent="0.25">
      <c r="A44" s="13">
        <f t="shared" si="0"/>
        <v>40</v>
      </c>
      <c r="B44" s="1" t="s">
        <v>288</v>
      </c>
      <c r="C44" t="s">
        <v>713</v>
      </c>
      <c r="D44" s="1" t="s">
        <v>530</v>
      </c>
    </row>
    <row r="45" spans="1:4" x14ac:dyDescent="0.25">
      <c r="A45" s="13">
        <f t="shared" si="0"/>
        <v>41</v>
      </c>
      <c r="B45" s="1" t="s">
        <v>253</v>
      </c>
      <c r="C45" t="s">
        <v>713</v>
      </c>
      <c r="D45" s="1" t="s">
        <v>494</v>
      </c>
    </row>
    <row r="46" spans="1:4" x14ac:dyDescent="0.25">
      <c r="A46" s="13">
        <f t="shared" si="0"/>
        <v>42</v>
      </c>
      <c r="B46" t="s">
        <v>244</v>
      </c>
      <c r="C46" t="s">
        <v>714</v>
      </c>
      <c r="D46" t="s">
        <v>485</v>
      </c>
    </row>
    <row r="47" spans="1:4" x14ac:dyDescent="0.25">
      <c r="A47" s="13">
        <f t="shared" si="0"/>
        <v>43</v>
      </c>
      <c r="B47" t="s">
        <v>211</v>
      </c>
      <c r="C47" t="s">
        <v>712</v>
      </c>
      <c r="D47" t="s">
        <v>452</v>
      </c>
    </row>
    <row r="48" spans="1:4" x14ac:dyDescent="0.25">
      <c r="A48" s="13">
        <f t="shared" si="0"/>
        <v>44</v>
      </c>
      <c r="B48" t="s">
        <v>237</v>
      </c>
      <c r="C48" t="s">
        <v>712</v>
      </c>
      <c r="D48" t="s">
        <v>478</v>
      </c>
    </row>
    <row r="49" spans="1:4" x14ac:dyDescent="0.25">
      <c r="A49" s="13">
        <f t="shared" si="0"/>
        <v>45</v>
      </c>
      <c r="B49" s="1" t="s">
        <v>176</v>
      </c>
      <c r="C49" t="s">
        <v>709</v>
      </c>
      <c r="D49" s="1" t="s">
        <v>407</v>
      </c>
    </row>
    <row r="50" spans="1:4" x14ac:dyDescent="0.25">
      <c r="A50" s="13">
        <f t="shared" si="0"/>
        <v>46</v>
      </c>
      <c r="B50" t="s">
        <v>217</v>
      </c>
      <c r="C50" t="s">
        <v>712</v>
      </c>
      <c r="D50" t="s">
        <v>456</v>
      </c>
    </row>
    <row r="51" spans="1:4" x14ac:dyDescent="0.25">
      <c r="A51" s="13">
        <f t="shared" si="0"/>
        <v>47</v>
      </c>
      <c r="B51" t="s">
        <v>233</v>
      </c>
      <c r="C51" t="s">
        <v>709</v>
      </c>
      <c r="D51" t="s">
        <v>474</v>
      </c>
    </row>
    <row r="52" spans="1:4" x14ac:dyDescent="0.25">
      <c r="A52" s="13">
        <f t="shared" si="0"/>
        <v>48</v>
      </c>
      <c r="B52" s="1" t="s">
        <v>346</v>
      </c>
      <c r="C52" t="s">
        <v>709</v>
      </c>
      <c r="D52" s="1" t="s">
        <v>420</v>
      </c>
    </row>
    <row r="53" spans="1:4" x14ac:dyDescent="0.25">
      <c r="A53" s="13">
        <f t="shared" si="0"/>
        <v>49</v>
      </c>
      <c r="B53" s="1" t="s">
        <v>303</v>
      </c>
      <c r="C53" t="s">
        <v>716</v>
      </c>
      <c r="D53" s="1" t="s">
        <v>545</v>
      </c>
    </row>
    <row r="54" spans="1:4" x14ac:dyDescent="0.25">
      <c r="A54" s="13">
        <f t="shared" si="0"/>
        <v>50</v>
      </c>
      <c r="B54" s="1" t="s">
        <v>263</v>
      </c>
      <c r="C54" t="s">
        <v>714</v>
      </c>
      <c r="D54" s="1" t="s">
        <v>504</v>
      </c>
    </row>
    <row r="55" spans="1:4" x14ac:dyDescent="0.25">
      <c r="A55" s="13">
        <f t="shared" si="0"/>
        <v>51</v>
      </c>
      <c r="B55" s="1" t="s">
        <v>163</v>
      </c>
      <c r="C55" t="s">
        <v>714</v>
      </c>
      <c r="D55" s="1" t="s">
        <v>392</v>
      </c>
    </row>
    <row r="56" spans="1:4" x14ac:dyDescent="0.25">
      <c r="A56" s="13">
        <f t="shared" si="0"/>
        <v>52</v>
      </c>
      <c r="B56" t="s">
        <v>203</v>
      </c>
      <c r="C56" t="s">
        <v>714</v>
      </c>
      <c r="D56" t="s">
        <v>440</v>
      </c>
    </row>
    <row r="57" spans="1:4" x14ac:dyDescent="0.25">
      <c r="A57" s="13">
        <f t="shared" si="0"/>
        <v>53</v>
      </c>
      <c r="B57" t="s">
        <v>357</v>
      </c>
      <c r="C57" t="s">
        <v>709</v>
      </c>
      <c r="D57" t="s">
        <v>467</v>
      </c>
    </row>
    <row r="58" spans="1:4" x14ac:dyDescent="0.25">
      <c r="A58" s="13">
        <f t="shared" si="0"/>
        <v>54</v>
      </c>
      <c r="B58" t="s">
        <v>196</v>
      </c>
      <c r="C58" t="s">
        <v>710</v>
      </c>
      <c r="D58" t="s">
        <v>433</v>
      </c>
    </row>
    <row r="59" spans="1:4" x14ac:dyDescent="0.25">
      <c r="A59" s="13">
        <f t="shared" si="0"/>
        <v>55</v>
      </c>
      <c r="B59" s="1" t="s">
        <v>318</v>
      </c>
      <c r="C59" s="1" t="s">
        <v>710</v>
      </c>
      <c r="D59" s="1" t="s">
        <v>560</v>
      </c>
    </row>
    <row r="60" spans="1:4" x14ac:dyDescent="0.25">
      <c r="A60" s="13">
        <f t="shared" si="0"/>
        <v>56</v>
      </c>
      <c r="B60" s="1" t="s">
        <v>312</v>
      </c>
      <c r="C60" t="s">
        <v>728</v>
      </c>
      <c r="D60" s="1" t="s">
        <v>554</v>
      </c>
    </row>
    <row r="61" spans="1:4" x14ac:dyDescent="0.25">
      <c r="A61" s="13">
        <f t="shared" si="0"/>
        <v>57</v>
      </c>
      <c r="B61" s="1" t="s">
        <v>325</v>
      </c>
      <c r="C61" s="1" t="s">
        <v>710</v>
      </c>
      <c r="D61" s="1" t="s">
        <v>363</v>
      </c>
    </row>
    <row r="62" spans="1:4" x14ac:dyDescent="0.25">
      <c r="A62" s="13">
        <f t="shared" si="0"/>
        <v>58</v>
      </c>
      <c r="B62" s="1" t="s">
        <v>311</v>
      </c>
      <c r="C62" s="1" t="s">
        <v>710</v>
      </c>
      <c r="D62" s="1" t="s">
        <v>553</v>
      </c>
    </row>
    <row r="63" spans="1:4" x14ac:dyDescent="0.25">
      <c r="A63" s="13">
        <f t="shared" si="0"/>
        <v>59</v>
      </c>
      <c r="B63" s="1" t="s">
        <v>140</v>
      </c>
      <c r="C63" s="1" t="s">
        <v>716</v>
      </c>
      <c r="D63" s="1" t="s">
        <v>367</v>
      </c>
    </row>
    <row r="64" spans="1:4" x14ac:dyDescent="0.25">
      <c r="A64" s="13">
        <f t="shared" si="0"/>
        <v>60</v>
      </c>
      <c r="B64" s="1" t="s">
        <v>187</v>
      </c>
      <c r="C64" t="s">
        <v>708</v>
      </c>
      <c r="D64" s="1" t="s">
        <v>422</v>
      </c>
    </row>
    <row r="65" spans="1:4" x14ac:dyDescent="0.25">
      <c r="A65" s="13">
        <f t="shared" si="0"/>
        <v>61</v>
      </c>
      <c r="B65" t="s">
        <v>220</v>
      </c>
      <c r="C65" s="1" t="s">
        <v>721</v>
      </c>
      <c r="D65" t="s">
        <v>459</v>
      </c>
    </row>
    <row r="66" spans="1:4" x14ac:dyDescent="0.25">
      <c r="A66" s="13">
        <f t="shared" si="0"/>
        <v>62</v>
      </c>
      <c r="B66" s="1" t="s">
        <v>166</v>
      </c>
      <c r="C66" s="1" t="s">
        <v>721</v>
      </c>
      <c r="D66" s="1" t="s">
        <v>398</v>
      </c>
    </row>
    <row r="67" spans="1:4" x14ac:dyDescent="0.25">
      <c r="A67" s="13">
        <f t="shared" si="0"/>
        <v>63</v>
      </c>
      <c r="B67" s="1" t="s">
        <v>266</v>
      </c>
      <c r="C67" t="s">
        <v>709</v>
      </c>
      <c r="D67" s="1" t="s">
        <v>507</v>
      </c>
    </row>
    <row r="68" spans="1:4" x14ac:dyDescent="0.25">
      <c r="A68" s="13">
        <f t="shared" si="0"/>
        <v>64</v>
      </c>
      <c r="B68" s="1" t="s">
        <v>294</v>
      </c>
      <c r="C68" s="1" t="s">
        <v>721</v>
      </c>
      <c r="D68" s="1" t="s">
        <v>536</v>
      </c>
    </row>
    <row r="69" spans="1:4" x14ac:dyDescent="0.25">
      <c r="A69" s="13">
        <f t="shared" si="0"/>
        <v>65</v>
      </c>
      <c r="B69" s="1" t="s">
        <v>293</v>
      </c>
      <c r="C69" s="1" t="s">
        <v>716</v>
      </c>
      <c r="D69" s="1" t="s">
        <v>535</v>
      </c>
    </row>
    <row r="70" spans="1:4" x14ac:dyDescent="0.25">
      <c r="A70" s="13">
        <f t="shared" si="0"/>
        <v>66</v>
      </c>
      <c r="B70" s="1" t="s">
        <v>137</v>
      </c>
      <c r="C70" t="s">
        <v>715</v>
      </c>
      <c r="D70" s="1" t="s">
        <v>317</v>
      </c>
    </row>
    <row r="71" spans="1:4" x14ac:dyDescent="0.25">
      <c r="A71" s="13">
        <f t="shared" si="0"/>
        <v>67</v>
      </c>
      <c r="B71" s="1" t="s">
        <v>310</v>
      </c>
      <c r="C71" t="s">
        <v>708</v>
      </c>
      <c r="D71" s="1" t="s">
        <v>552</v>
      </c>
    </row>
    <row r="72" spans="1:4" x14ac:dyDescent="0.25">
      <c r="A72" s="13">
        <f t="shared" ref="A72:A135" si="1">A71+1</f>
        <v>68</v>
      </c>
      <c r="B72" s="1" t="s">
        <v>138</v>
      </c>
      <c r="C72" t="s">
        <v>708</v>
      </c>
      <c r="D72" s="1" t="s">
        <v>365</v>
      </c>
    </row>
    <row r="73" spans="1:4" x14ac:dyDescent="0.25">
      <c r="A73" s="13">
        <f t="shared" si="1"/>
        <v>69</v>
      </c>
      <c r="B73" s="1" t="s">
        <v>148</v>
      </c>
      <c r="C73" t="s">
        <v>712</v>
      </c>
      <c r="D73" s="1" t="s">
        <v>377</v>
      </c>
    </row>
    <row r="74" spans="1:4" x14ac:dyDescent="0.25">
      <c r="A74" s="13">
        <f t="shared" si="1"/>
        <v>70</v>
      </c>
      <c r="B74" t="s">
        <v>232</v>
      </c>
      <c r="C74" t="s">
        <v>712</v>
      </c>
      <c r="D74" t="s">
        <v>399</v>
      </c>
    </row>
    <row r="75" spans="1:4" x14ac:dyDescent="0.25">
      <c r="A75" s="13">
        <f t="shared" si="1"/>
        <v>71</v>
      </c>
      <c r="B75" s="1" t="s">
        <v>157</v>
      </c>
      <c r="C75" s="1" t="s">
        <v>723</v>
      </c>
      <c r="D75" s="1" t="s">
        <v>386</v>
      </c>
    </row>
    <row r="76" spans="1:4" x14ac:dyDescent="0.25">
      <c r="A76" s="13">
        <f t="shared" si="1"/>
        <v>72</v>
      </c>
      <c r="B76" s="1" t="s">
        <v>177</v>
      </c>
      <c r="C76" s="1" t="s">
        <v>723</v>
      </c>
      <c r="D76" s="1" t="s">
        <v>408</v>
      </c>
    </row>
    <row r="77" spans="1:4" x14ac:dyDescent="0.25">
      <c r="A77" s="13">
        <f t="shared" si="1"/>
        <v>73</v>
      </c>
      <c r="B77" t="s">
        <v>241</v>
      </c>
      <c r="C77" t="s">
        <v>714</v>
      </c>
      <c r="D77" t="s">
        <v>482</v>
      </c>
    </row>
    <row r="78" spans="1:4" x14ac:dyDescent="0.25">
      <c r="A78" s="13">
        <f t="shared" si="1"/>
        <v>74</v>
      </c>
      <c r="B78" s="1" t="s">
        <v>301</v>
      </c>
      <c r="C78" t="s">
        <v>713</v>
      </c>
      <c r="D78" s="1" t="s">
        <v>543</v>
      </c>
    </row>
    <row r="79" spans="1:4" x14ac:dyDescent="0.25">
      <c r="A79" s="13">
        <f t="shared" si="1"/>
        <v>75</v>
      </c>
      <c r="B79" s="1" t="s">
        <v>168</v>
      </c>
      <c r="C79" s="1" t="s">
        <v>714</v>
      </c>
      <c r="D79" s="1" t="s">
        <v>399</v>
      </c>
    </row>
    <row r="80" spans="1:4" x14ac:dyDescent="0.25">
      <c r="A80" s="13">
        <f t="shared" si="1"/>
        <v>76</v>
      </c>
      <c r="B80" t="s">
        <v>202</v>
      </c>
      <c r="C80" t="s">
        <v>717</v>
      </c>
      <c r="D80" t="s">
        <v>439</v>
      </c>
    </row>
    <row r="81" spans="1:4" x14ac:dyDescent="0.25">
      <c r="A81" s="13">
        <f t="shared" si="1"/>
        <v>77</v>
      </c>
      <c r="B81" s="1" t="s">
        <v>184</v>
      </c>
      <c r="C81" t="s">
        <v>717</v>
      </c>
      <c r="D81" s="1" t="s">
        <v>417</v>
      </c>
    </row>
    <row r="82" spans="1:4" x14ac:dyDescent="0.25">
      <c r="A82" s="13">
        <f t="shared" si="1"/>
        <v>78</v>
      </c>
      <c r="B82" s="1" t="s">
        <v>145</v>
      </c>
      <c r="C82" t="s">
        <v>716</v>
      </c>
      <c r="D82" s="1" t="s">
        <v>373</v>
      </c>
    </row>
    <row r="83" spans="1:4" x14ac:dyDescent="0.25">
      <c r="A83" s="13">
        <f t="shared" si="1"/>
        <v>79</v>
      </c>
      <c r="B83" s="1" t="s">
        <v>185</v>
      </c>
      <c r="C83" t="s">
        <v>716</v>
      </c>
      <c r="D83" s="1" t="s">
        <v>419</v>
      </c>
    </row>
    <row r="84" spans="1:4" x14ac:dyDescent="0.25">
      <c r="A84" s="13">
        <f t="shared" si="1"/>
        <v>80</v>
      </c>
      <c r="B84" t="s">
        <v>355</v>
      </c>
      <c r="C84" t="s">
        <v>716</v>
      </c>
      <c r="D84" t="s">
        <v>465</v>
      </c>
    </row>
    <row r="85" spans="1:4" x14ac:dyDescent="0.25">
      <c r="A85" s="13">
        <f t="shared" si="1"/>
        <v>81</v>
      </c>
      <c r="B85" t="s">
        <v>199</v>
      </c>
      <c r="C85" t="s">
        <v>718</v>
      </c>
      <c r="D85" t="s">
        <v>436</v>
      </c>
    </row>
    <row r="86" spans="1:4" x14ac:dyDescent="0.25">
      <c r="A86" s="13">
        <f t="shared" si="1"/>
        <v>82</v>
      </c>
      <c r="B86" s="1" t="s">
        <v>158</v>
      </c>
      <c r="C86" s="1" t="s">
        <v>712</v>
      </c>
      <c r="D86" s="1" t="s">
        <v>394</v>
      </c>
    </row>
    <row r="87" spans="1:4" x14ac:dyDescent="0.25">
      <c r="A87" s="13">
        <f t="shared" si="1"/>
        <v>83</v>
      </c>
      <c r="B87" t="s">
        <v>222</v>
      </c>
      <c r="C87" t="s">
        <v>712</v>
      </c>
      <c r="D87" t="s">
        <v>459</v>
      </c>
    </row>
    <row r="88" spans="1:4" x14ac:dyDescent="0.25">
      <c r="A88" s="13">
        <f t="shared" si="1"/>
        <v>84</v>
      </c>
      <c r="B88" s="1" t="s">
        <v>285</v>
      </c>
      <c r="C88" s="1" t="s">
        <v>711</v>
      </c>
      <c r="D88" s="1" t="s">
        <v>527</v>
      </c>
    </row>
    <row r="89" spans="1:4" x14ac:dyDescent="0.25">
      <c r="A89" s="13">
        <f t="shared" si="1"/>
        <v>85</v>
      </c>
      <c r="B89" s="1" t="s">
        <v>272</v>
      </c>
      <c r="C89" t="s">
        <v>711</v>
      </c>
      <c r="D89" s="1" t="s">
        <v>514</v>
      </c>
    </row>
    <row r="90" spans="1:4" x14ac:dyDescent="0.25">
      <c r="A90" s="13">
        <f t="shared" si="1"/>
        <v>86</v>
      </c>
      <c r="B90" t="s">
        <v>205</v>
      </c>
      <c r="C90" t="s">
        <v>711</v>
      </c>
      <c r="D90" t="s">
        <v>442</v>
      </c>
    </row>
    <row r="91" spans="1:4" x14ac:dyDescent="0.25">
      <c r="A91" s="13">
        <f t="shared" si="1"/>
        <v>87</v>
      </c>
      <c r="B91" t="s">
        <v>207</v>
      </c>
      <c r="C91" t="s">
        <v>711</v>
      </c>
      <c r="D91" t="s">
        <v>445</v>
      </c>
    </row>
    <row r="92" spans="1:4" x14ac:dyDescent="0.25">
      <c r="A92" s="13">
        <f t="shared" si="1"/>
        <v>88</v>
      </c>
      <c r="B92" s="1" t="s">
        <v>164</v>
      </c>
      <c r="C92" t="s">
        <v>711</v>
      </c>
      <c r="D92" s="1" t="s">
        <v>393</v>
      </c>
    </row>
    <row r="93" spans="1:4" x14ac:dyDescent="0.25">
      <c r="A93" s="13">
        <f t="shared" si="1"/>
        <v>89</v>
      </c>
      <c r="B93" s="1" t="s">
        <v>264</v>
      </c>
      <c r="C93" t="s">
        <v>728</v>
      </c>
      <c r="D93" s="1" t="s">
        <v>505</v>
      </c>
    </row>
    <row r="94" spans="1:4" x14ac:dyDescent="0.25">
      <c r="A94" s="13">
        <f t="shared" si="1"/>
        <v>90</v>
      </c>
      <c r="B94" s="1" t="s">
        <v>256</v>
      </c>
      <c r="C94" t="s">
        <v>719</v>
      </c>
      <c r="D94" s="1" t="s">
        <v>497</v>
      </c>
    </row>
    <row r="95" spans="1:4" x14ac:dyDescent="0.25">
      <c r="A95" s="13">
        <f t="shared" si="1"/>
        <v>91</v>
      </c>
      <c r="B95" s="1" t="s">
        <v>257</v>
      </c>
      <c r="C95" t="s">
        <v>719</v>
      </c>
      <c r="D95" s="1" t="s">
        <v>498</v>
      </c>
    </row>
    <row r="96" spans="1:4" x14ac:dyDescent="0.25">
      <c r="A96" s="13">
        <f t="shared" si="1"/>
        <v>92</v>
      </c>
      <c r="B96" t="s">
        <v>223</v>
      </c>
      <c r="C96" t="s">
        <v>719</v>
      </c>
      <c r="D96" t="s">
        <v>460</v>
      </c>
    </row>
    <row r="97" spans="1:4" x14ac:dyDescent="0.25">
      <c r="A97" s="13">
        <f t="shared" si="1"/>
        <v>93</v>
      </c>
      <c r="B97" s="1" t="s">
        <v>260</v>
      </c>
      <c r="C97" t="s">
        <v>719</v>
      </c>
      <c r="D97" s="1" t="s">
        <v>501</v>
      </c>
    </row>
    <row r="98" spans="1:4" x14ac:dyDescent="0.25">
      <c r="A98" s="13">
        <f t="shared" si="1"/>
        <v>94</v>
      </c>
      <c r="B98" s="1" t="s">
        <v>304</v>
      </c>
      <c r="C98" t="s">
        <v>712</v>
      </c>
      <c r="D98" s="1" t="s">
        <v>546</v>
      </c>
    </row>
    <row r="99" spans="1:4" x14ac:dyDescent="0.25">
      <c r="A99" s="13">
        <f t="shared" si="1"/>
        <v>95</v>
      </c>
      <c r="B99" s="1" t="s">
        <v>265</v>
      </c>
      <c r="C99" t="s">
        <v>712</v>
      </c>
      <c r="D99" s="1" t="s">
        <v>506</v>
      </c>
    </row>
    <row r="100" spans="1:4" x14ac:dyDescent="0.25">
      <c r="A100" s="13">
        <f t="shared" si="1"/>
        <v>96</v>
      </c>
      <c r="B100" s="1" t="s">
        <v>271</v>
      </c>
      <c r="C100" t="s">
        <v>710</v>
      </c>
      <c r="D100" s="1" t="s">
        <v>512</v>
      </c>
    </row>
    <row r="101" spans="1:4" x14ac:dyDescent="0.25">
      <c r="A101" s="13">
        <f t="shared" si="1"/>
        <v>97</v>
      </c>
      <c r="B101" s="1" t="s">
        <v>172</v>
      </c>
      <c r="C101" t="s">
        <v>717</v>
      </c>
      <c r="D101" s="1" t="s">
        <v>403</v>
      </c>
    </row>
    <row r="102" spans="1:4" x14ac:dyDescent="0.25">
      <c r="A102" s="13">
        <f t="shared" si="1"/>
        <v>98</v>
      </c>
      <c r="B102" s="1" t="s">
        <v>250</v>
      </c>
      <c r="C102" t="s">
        <v>710</v>
      </c>
      <c r="D102" s="1" t="s">
        <v>491</v>
      </c>
    </row>
    <row r="103" spans="1:4" x14ac:dyDescent="0.25">
      <c r="A103" s="13">
        <f t="shared" si="1"/>
        <v>99</v>
      </c>
      <c r="B103" s="1" t="s">
        <v>169</v>
      </c>
      <c r="C103" t="s">
        <v>710</v>
      </c>
      <c r="D103" s="1" t="s">
        <v>400</v>
      </c>
    </row>
    <row r="104" spans="1:4" x14ac:dyDescent="0.25">
      <c r="A104" s="13">
        <f t="shared" si="1"/>
        <v>100</v>
      </c>
      <c r="B104" t="s">
        <v>198</v>
      </c>
      <c r="C104" t="s">
        <v>710</v>
      </c>
      <c r="D104" t="s">
        <v>435</v>
      </c>
    </row>
    <row r="105" spans="1:4" x14ac:dyDescent="0.25">
      <c r="A105" s="13">
        <f t="shared" si="1"/>
        <v>101</v>
      </c>
      <c r="B105" t="s">
        <v>193</v>
      </c>
      <c r="C105" t="s">
        <v>710</v>
      </c>
      <c r="D105" t="s">
        <v>429</v>
      </c>
    </row>
    <row r="106" spans="1:4" x14ac:dyDescent="0.25">
      <c r="A106" s="13">
        <f t="shared" si="1"/>
        <v>102</v>
      </c>
      <c r="B106" s="1" t="s">
        <v>259</v>
      </c>
      <c r="C106" s="1" t="s">
        <v>712</v>
      </c>
      <c r="D106" s="1" t="s">
        <v>500</v>
      </c>
    </row>
    <row r="107" spans="1:4" x14ac:dyDescent="0.25">
      <c r="A107" s="13">
        <f t="shared" si="1"/>
        <v>103</v>
      </c>
      <c r="B107" s="1" t="s">
        <v>179</v>
      </c>
      <c r="C107" s="1" t="s">
        <v>710</v>
      </c>
      <c r="D107" s="1" t="s">
        <v>410</v>
      </c>
    </row>
    <row r="108" spans="1:4" x14ac:dyDescent="0.25">
      <c r="A108" s="13">
        <f t="shared" si="1"/>
        <v>104</v>
      </c>
      <c r="B108" s="1" t="s">
        <v>156</v>
      </c>
      <c r="C108" s="1" t="s">
        <v>718</v>
      </c>
      <c r="D108" s="1" t="s">
        <v>385</v>
      </c>
    </row>
    <row r="109" spans="1:4" x14ac:dyDescent="0.25">
      <c r="A109" s="13">
        <f t="shared" si="1"/>
        <v>105</v>
      </c>
      <c r="B109" t="s">
        <v>236</v>
      </c>
      <c r="C109" s="1" t="s">
        <v>718</v>
      </c>
      <c r="D109" t="s">
        <v>477</v>
      </c>
    </row>
    <row r="110" spans="1:4" x14ac:dyDescent="0.25">
      <c r="A110" s="13">
        <f t="shared" si="1"/>
        <v>106</v>
      </c>
      <c r="B110" t="s">
        <v>204</v>
      </c>
      <c r="C110" s="1" t="s">
        <v>721</v>
      </c>
      <c r="D110" t="s">
        <v>441</v>
      </c>
    </row>
    <row r="111" spans="1:4" x14ac:dyDescent="0.25">
      <c r="A111" s="13">
        <f t="shared" si="1"/>
        <v>107</v>
      </c>
      <c r="B111" s="1" t="s">
        <v>296</v>
      </c>
      <c r="C111" s="1" t="s">
        <v>721</v>
      </c>
      <c r="D111" s="1" t="s">
        <v>538</v>
      </c>
    </row>
    <row r="112" spans="1:4" x14ac:dyDescent="0.25">
      <c r="A112" s="13">
        <f t="shared" si="1"/>
        <v>108</v>
      </c>
      <c r="B112" s="1" t="s">
        <v>323</v>
      </c>
      <c r="C112" s="1" t="s">
        <v>721</v>
      </c>
      <c r="D112" s="1" t="s">
        <v>565</v>
      </c>
    </row>
    <row r="113" spans="1:4" x14ac:dyDescent="0.25">
      <c r="A113" s="13">
        <f t="shared" si="1"/>
        <v>109</v>
      </c>
      <c r="B113" s="1" t="s">
        <v>321</v>
      </c>
      <c r="C113" s="1" t="s">
        <v>710</v>
      </c>
      <c r="D113" s="1" t="s">
        <v>563</v>
      </c>
    </row>
    <row r="114" spans="1:4" x14ac:dyDescent="0.25">
      <c r="A114" s="13">
        <f t="shared" si="1"/>
        <v>110</v>
      </c>
      <c r="B114" s="1" t="s">
        <v>344</v>
      </c>
      <c r="C114" s="1" t="s">
        <v>716</v>
      </c>
      <c r="D114" s="1" t="s">
        <v>415</v>
      </c>
    </row>
    <row r="115" spans="1:4" x14ac:dyDescent="0.25">
      <c r="A115" s="13">
        <f t="shared" si="1"/>
        <v>111</v>
      </c>
      <c r="B115" s="1" t="s">
        <v>149</v>
      </c>
      <c r="C115" s="1" t="s">
        <v>721</v>
      </c>
      <c r="D115" s="1" t="s">
        <v>378</v>
      </c>
    </row>
    <row r="116" spans="1:4" x14ac:dyDescent="0.25">
      <c r="A116" s="13">
        <f t="shared" si="1"/>
        <v>112</v>
      </c>
      <c r="B116" s="1" t="s">
        <v>188</v>
      </c>
      <c r="C116" s="1" t="s">
        <v>721</v>
      </c>
      <c r="D116" s="1" t="s">
        <v>423</v>
      </c>
    </row>
    <row r="117" spans="1:4" x14ac:dyDescent="0.25">
      <c r="A117" s="13">
        <f t="shared" si="1"/>
        <v>113</v>
      </c>
      <c r="B117" s="1" t="s">
        <v>316</v>
      </c>
      <c r="C117" s="1" t="s">
        <v>721</v>
      </c>
      <c r="D117" s="1" t="s">
        <v>558</v>
      </c>
    </row>
    <row r="118" spans="1:4" x14ac:dyDescent="0.25">
      <c r="A118" s="13">
        <f t="shared" si="1"/>
        <v>114</v>
      </c>
      <c r="B118" s="1" t="s">
        <v>287</v>
      </c>
      <c r="C118" s="1" t="s">
        <v>716</v>
      </c>
      <c r="D118" s="1" t="s">
        <v>529</v>
      </c>
    </row>
    <row r="119" spans="1:4" x14ac:dyDescent="0.25">
      <c r="A119" s="13">
        <f t="shared" si="1"/>
        <v>115</v>
      </c>
      <c r="B119" s="1" t="s">
        <v>307</v>
      </c>
      <c r="C119" s="1" t="s">
        <v>721</v>
      </c>
      <c r="D119" s="1" t="s">
        <v>549</v>
      </c>
    </row>
    <row r="120" spans="1:4" x14ac:dyDescent="0.25">
      <c r="A120" s="13">
        <f t="shared" si="1"/>
        <v>116</v>
      </c>
      <c r="B120" s="1" t="s">
        <v>309</v>
      </c>
      <c r="C120" s="1" t="s">
        <v>721</v>
      </c>
      <c r="D120" s="1" t="s">
        <v>551</v>
      </c>
    </row>
    <row r="121" spans="1:4" x14ac:dyDescent="0.25">
      <c r="A121" s="13">
        <f t="shared" si="1"/>
        <v>117</v>
      </c>
      <c r="B121" s="1" t="s">
        <v>295</v>
      </c>
      <c r="C121" s="1" t="s">
        <v>721</v>
      </c>
      <c r="D121" s="1" t="s">
        <v>537</v>
      </c>
    </row>
    <row r="122" spans="1:4" x14ac:dyDescent="0.25">
      <c r="A122" s="13">
        <f t="shared" si="1"/>
        <v>118</v>
      </c>
      <c r="B122" s="1" t="s">
        <v>155</v>
      </c>
      <c r="C122" s="1" t="s">
        <v>721</v>
      </c>
      <c r="D122" s="1" t="s">
        <v>384</v>
      </c>
    </row>
    <row r="123" spans="1:4" x14ac:dyDescent="0.25">
      <c r="A123" s="13">
        <f t="shared" si="1"/>
        <v>119</v>
      </c>
      <c r="B123" t="s">
        <v>230</v>
      </c>
      <c r="C123" t="s">
        <v>712</v>
      </c>
      <c r="D123" t="s">
        <v>472</v>
      </c>
    </row>
    <row r="124" spans="1:4" x14ac:dyDescent="0.25">
      <c r="A124" s="13">
        <f t="shared" si="1"/>
        <v>120</v>
      </c>
      <c r="B124" s="1" t="s">
        <v>165</v>
      </c>
      <c r="C124" s="1" t="s">
        <v>714</v>
      </c>
      <c r="D124" s="1" t="s">
        <v>395</v>
      </c>
    </row>
    <row r="125" spans="1:4" x14ac:dyDescent="0.25">
      <c r="A125" s="13">
        <f t="shared" si="1"/>
        <v>121</v>
      </c>
      <c r="B125" s="1" t="s">
        <v>267</v>
      </c>
      <c r="C125" s="1" t="s">
        <v>714</v>
      </c>
      <c r="D125" s="1" t="s">
        <v>508</v>
      </c>
    </row>
    <row r="126" spans="1:4" x14ac:dyDescent="0.25">
      <c r="A126" s="13">
        <f t="shared" si="1"/>
        <v>122</v>
      </c>
      <c r="B126" t="s">
        <v>201</v>
      </c>
      <c r="C126" t="s">
        <v>720</v>
      </c>
      <c r="D126" t="s">
        <v>438</v>
      </c>
    </row>
    <row r="127" spans="1:4" x14ac:dyDescent="0.25">
      <c r="A127" s="13">
        <f t="shared" si="1"/>
        <v>123</v>
      </c>
      <c r="B127" t="s">
        <v>200</v>
      </c>
      <c r="C127" s="1" t="s">
        <v>710</v>
      </c>
      <c r="D127" t="s">
        <v>437</v>
      </c>
    </row>
    <row r="128" spans="1:4" x14ac:dyDescent="0.25">
      <c r="A128" s="13">
        <f t="shared" si="1"/>
        <v>124</v>
      </c>
      <c r="B128" t="s">
        <v>209</v>
      </c>
      <c r="C128" t="s">
        <v>720</v>
      </c>
      <c r="D128" t="s">
        <v>450</v>
      </c>
    </row>
    <row r="129" spans="1:4" x14ac:dyDescent="0.25">
      <c r="A129" s="13">
        <f t="shared" si="1"/>
        <v>125</v>
      </c>
      <c r="B129" s="1" t="s">
        <v>297</v>
      </c>
      <c r="C129" s="1" t="s">
        <v>710</v>
      </c>
      <c r="D129" s="1" t="s">
        <v>539</v>
      </c>
    </row>
    <row r="130" spans="1:4" x14ac:dyDescent="0.25">
      <c r="A130" s="13">
        <f t="shared" si="1"/>
        <v>126</v>
      </c>
      <c r="B130" s="1" t="s">
        <v>274</v>
      </c>
      <c r="C130" s="1" t="s">
        <v>721</v>
      </c>
      <c r="D130" s="1" t="s">
        <v>517</v>
      </c>
    </row>
    <row r="131" spans="1:4" x14ac:dyDescent="0.25">
      <c r="A131" s="13">
        <f t="shared" si="1"/>
        <v>127</v>
      </c>
      <c r="B131" s="1" t="s">
        <v>142</v>
      </c>
      <c r="C131" s="1" t="s">
        <v>714</v>
      </c>
      <c r="D131" s="1" t="s">
        <v>369</v>
      </c>
    </row>
    <row r="132" spans="1:4" x14ac:dyDescent="0.25">
      <c r="A132" s="13">
        <f t="shared" si="1"/>
        <v>128</v>
      </c>
      <c r="B132" s="1" t="s">
        <v>360</v>
      </c>
      <c r="C132" s="1" t="s">
        <v>722</v>
      </c>
      <c r="D132" s="1" t="s">
        <v>513</v>
      </c>
    </row>
    <row r="133" spans="1:4" x14ac:dyDescent="0.25">
      <c r="A133" s="13">
        <f t="shared" si="1"/>
        <v>129</v>
      </c>
      <c r="B133" s="1" t="s">
        <v>175</v>
      </c>
      <c r="C133" s="1" t="s">
        <v>710</v>
      </c>
      <c r="D133" s="1" t="s">
        <v>406</v>
      </c>
    </row>
    <row r="134" spans="1:4" x14ac:dyDescent="0.25">
      <c r="A134" s="13">
        <f t="shared" si="1"/>
        <v>130</v>
      </c>
      <c r="B134" s="1" t="s">
        <v>290</v>
      </c>
      <c r="C134" s="1" t="s">
        <v>722</v>
      </c>
      <c r="D134" s="1" t="s">
        <v>532</v>
      </c>
    </row>
    <row r="135" spans="1:4" x14ac:dyDescent="0.25">
      <c r="A135" s="13">
        <f t="shared" si="1"/>
        <v>131</v>
      </c>
      <c r="B135" s="1" t="s">
        <v>192</v>
      </c>
      <c r="C135" s="1" t="s">
        <v>717</v>
      </c>
      <c r="D135" s="1" t="s">
        <v>428</v>
      </c>
    </row>
    <row r="136" spans="1:4" x14ac:dyDescent="0.25">
      <c r="A136" s="13">
        <f t="shared" ref="A136:A199" si="2">A135+1</f>
        <v>132</v>
      </c>
      <c r="B136" s="1" t="s">
        <v>306</v>
      </c>
      <c r="C136" s="1" t="s">
        <v>723</v>
      </c>
      <c r="D136" s="1" t="s">
        <v>548</v>
      </c>
    </row>
    <row r="137" spans="1:4" x14ac:dyDescent="0.25">
      <c r="A137" s="13">
        <f t="shared" si="2"/>
        <v>133</v>
      </c>
      <c r="B137" s="1" t="s">
        <v>159</v>
      </c>
      <c r="C137" s="1" t="s">
        <v>715</v>
      </c>
      <c r="D137" s="1" t="s">
        <v>388</v>
      </c>
    </row>
    <row r="138" spans="1:4" x14ac:dyDescent="0.25">
      <c r="A138" s="13">
        <f t="shared" si="2"/>
        <v>134</v>
      </c>
      <c r="B138" s="1" t="s">
        <v>320</v>
      </c>
      <c r="C138" s="1" t="s">
        <v>722</v>
      </c>
      <c r="D138" s="1" t="s">
        <v>562</v>
      </c>
    </row>
    <row r="139" spans="1:4" x14ac:dyDescent="0.25">
      <c r="A139" s="13">
        <f t="shared" si="2"/>
        <v>135</v>
      </c>
      <c r="B139" s="1" t="s">
        <v>254</v>
      </c>
      <c r="C139" s="1" t="s">
        <v>710</v>
      </c>
      <c r="D139" s="1" t="s">
        <v>495</v>
      </c>
    </row>
    <row r="140" spans="1:4" x14ac:dyDescent="0.25">
      <c r="A140" s="13">
        <f t="shared" si="2"/>
        <v>136</v>
      </c>
      <c r="B140" t="s">
        <v>240</v>
      </c>
      <c r="C140" t="s">
        <v>709</v>
      </c>
      <c r="D140" t="s">
        <v>481</v>
      </c>
    </row>
    <row r="141" spans="1:4" x14ac:dyDescent="0.25">
      <c r="A141" s="13">
        <f t="shared" si="2"/>
        <v>137</v>
      </c>
      <c r="B141" t="s">
        <v>219</v>
      </c>
      <c r="C141" t="s">
        <v>715</v>
      </c>
      <c r="D141" t="s">
        <v>458</v>
      </c>
    </row>
    <row r="142" spans="1:4" x14ac:dyDescent="0.25">
      <c r="A142" s="13">
        <f t="shared" si="2"/>
        <v>138</v>
      </c>
      <c r="B142" t="s">
        <v>246</v>
      </c>
      <c r="C142" t="s">
        <v>720</v>
      </c>
      <c r="D142" t="s">
        <v>487</v>
      </c>
    </row>
    <row r="143" spans="1:4" x14ac:dyDescent="0.25">
      <c r="A143" s="13">
        <f t="shared" si="2"/>
        <v>139</v>
      </c>
      <c r="B143" t="s">
        <v>359</v>
      </c>
      <c r="C143" t="s">
        <v>724</v>
      </c>
      <c r="D143" t="s">
        <v>469</v>
      </c>
    </row>
    <row r="144" spans="1:4" x14ac:dyDescent="0.25">
      <c r="A144" s="13">
        <f t="shared" si="2"/>
        <v>140</v>
      </c>
      <c r="B144" s="1" t="s">
        <v>139</v>
      </c>
      <c r="C144" s="1" t="s">
        <v>718</v>
      </c>
      <c r="D144" s="1" t="s">
        <v>366</v>
      </c>
    </row>
    <row r="145" spans="1:4" x14ac:dyDescent="0.25">
      <c r="A145" s="13">
        <f t="shared" si="2"/>
        <v>141</v>
      </c>
      <c r="B145" s="1" t="s">
        <v>146</v>
      </c>
      <c r="C145" s="1" t="s">
        <v>720</v>
      </c>
      <c r="D145" s="1" t="s">
        <v>374</v>
      </c>
    </row>
    <row r="146" spans="1:4" x14ac:dyDescent="0.25">
      <c r="A146" s="13">
        <f t="shared" si="2"/>
        <v>142</v>
      </c>
      <c r="B146" s="1" t="s">
        <v>141</v>
      </c>
      <c r="C146" s="1" t="s">
        <v>722</v>
      </c>
      <c r="D146" s="1" t="s">
        <v>368</v>
      </c>
    </row>
    <row r="147" spans="1:4" x14ac:dyDescent="0.25">
      <c r="A147" s="13">
        <f t="shared" si="2"/>
        <v>143</v>
      </c>
      <c r="B147" s="1" t="s">
        <v>343</v>
      </c>
      <c r="C147" s="1" t="s">
        <v>725</v>
      </c>
      <c r="D147" s="1" t="s">
        <v>414</v>
      </c>
    </row>
    <row r="148" spans="1:4" x14ac:dyDescent="0.25">
      <c r="A148" s="13">
        <f t="shared" si="2"/>
        <v>144</v>
      </c>
      <c r="B148" t="s">
        <v>350</v>
      </c>
      <c r="C148" t="s">
        <v>725</v>
      </c>
      <c r="D148" t="s">
        <v>447</v>
      </c>
    </row>
    <row r="149" spans="1:4" x14ac:dyDescent="0.25">
      <c r="A149" s="13">
        <f t="shared" si="2"/>
        <v>145</v>
      </c>
      <c r="B149" s="1" t="s">
        <v>153</v>
      </c>
      <c r="C149" s="1" t="s">
        <v>725</v>
      </c>
      <c r="D149" s="1" t="s">
        <v>382</v>
      </c>
    </row>
    <row r="150" spans="1:4" x14ac:dyDescent="0.25">
      <c r="A150" s="13">
        <f t="shared" si="2"/>
        <v>146</v>
      </c>
      <c r="B150" s="1" t="s">
        <v>251</v>
      </c>
      <c r="C150" s="1" t="s">
        <v>725</v>
      </c>
      <c r="D150" s="1" t="s">
        <v>492</v>
      </c>
    </row>
    <row r="151" spans="1:4" x14ac:dyDescent="0.25">
      <c r="A151" s="13">
        <f t="shared" si="2"/>
        <v>147</v>
      </c>
      <c r="B151" t="s">
        <v>353</v>
      </c>
      <c r="C151" t="s">
        <v>714</v>
      </c>
      <c r="D151" t="s">
        <v>464</v>
      </c>
    </row>
    <row r="152" spans="1:4" x14ac:dyDescent="0.25">
      <c r="A152" s="13">
        <f t="shared" si="2"/>
        <v>148</v>
      </c>
      <c r="B152" t="s">
        <v>229</v>
      </c>
      <c r="C152" t="s">
        <v>715</v>
      </c>
      <c r="D152" t="s">
        <v>471</v>
      </c>
    </row>
    <row r="153" spans="1:4" x14ac:dyDescent="0.25">
      <c r="A153" s="13">
        <f t="shared" si="2"/>
        <v>149</v>
      </c>
      <c r="B153" t="s">
        <v>247</v>
      </c>
      <c r="C153" t="s">
        <v>715</v>
      </c>
      <c r="D153" t="s">
        <v>488</v>
      </c>
    </row>
    <row r="154" spans="1:4" x14ac:dyDescent="0.25">
      <c r="A154" s="13">
        <f t="shared" si="2"/>
        <v>150</v>
      </c>
      <c r="B154" s="1" t="s">
        <v>319</v>
      </c>
      <c r="C154" s="1" t="s">
        <v>723</v>
      </c>
      <c r="D154" s="1" t="s">
        <v>561</v>
      </c>
    </row>
    <row r="155" spans="1:4" x14ac:dyDescent="0.25">
      <c r="A155" s="13">
        <f t="shared" si="2"/>
        <v>151</v>
      </c>
      <c r="B155" s="1" t="s">
        <v>278</v>
      </c>
      <c r="C155" t="s">
        <v>724</v>
      </c>
      <c r="D155" s="1" t="s">
        <v>521</v>
      </c>
    </row>
    <row r="156" spans="1:4" x14ac:dyDescent="0.25">
      <c r="A156" s="13">
        <f t="shared" si="2"/>
        <v>152</v>
      </c>
      <c r="B156" s="1" t="s">
        <v>345</v>
      </c>
      <c r="C156" t="s">
        <v>724</v>
      </c>
      <c r="D156" s="1" t="s">
        <v>418</v>
      </c>
    </row>
    <row r="157" spans="1:4" x14ac:dyDescent="0.25">
      <c r="A157" s="13">
        <f t="shared" si="2"/>
        <v>153</v>
      </c>
      <c r="B157" t="s">
        <v>215</v>
      </c>
      <c r="C157" t="s">
        <v>724</v>
      </c>
      <c r="D157" t="s">
        <v>454</v>
      </c>
    </row>
    <row r="158" spans="1:4" x14ac:dyDescent="0.25">
      <c r="A158" s="13">
        <f t="shared" si="2"/>
        <v>154</v>
      </c>
      <c r="B158" s="1" t="s">
        <v>171</v>
      </c>
      <c r="C158" s="1" t="s">
        <v>726</v>
      </c>
      <c r="D158" s="1" t="s">
        <v>402</v>
      </c>
    </row>
    <row r="159" spans="1:4" x14ac:dyDescent="0.25">
      <c r="A159" s="13">
        <f t="shared" si="2"/>
        <v>155</v>
      </c>
      <c r="B159" s="1" t="s">
        <v>269</v>
      </c>
      <c r="C159" s="1" t="s">
        <v>716</v>
      </c>
      <c r="D159" s="1" t="s">
        <v>510</v>
      </c>
    </row>
    <row r="160" spans="1:4" x14ac:dyDescent="0.25">
      <c r="A160" s="13">
        <f t="shared" si="2"/>
        <v>156</v>
      </c>
      <c r="B160" s="1" t="s">
        <v>144</v>
      </c>
      <c r="C160" s="1" t="s">
        <v>715</v>
      </c>
      <c r="D160" s="1" t="s">
        <v>371</v>
      </c>
    </row>
    <row r="161" spans="1:4" x14ac:dyDescent="0.25">
      <c r="A161" s="13">
        <f t="shared" si="2"/>
        <v>157</v>
      </c>
      <c r="B161" t="s">
        <v>216</v>
      </c>
      <c r="C161" t="s">
        <v>715</v>
      </c>
      <c r="D161" t="s">
        <v>455</v>
      </c>
    </row>
    <row r="162" spans="1:4" x14ac:dyDescent="0.25">
      <c r="A162" s="13">
        <f t="shared" si="2"/>
        <v>158</v>
      </c>
      <c r="B162" t="s">
        <v>349</v>
      </c>
      <c r="C162" t="s">
        <v>715</v>
      </c>
      <c r="D162" t="s">
        <v>444</v>
      </c>
    </row>
    <row r="163" spans="1:4" x14ac:dyDescent="0.25">
      <c r="A163" s="13">
        <f t="shared" si="2"/>
        <v>159</v>
      </c>
      <c r="B163" t="s">
        <v>242</v>
      </c>
      <c r="C163" t="s">
        <v>715</v>
      </c>
      <c r="D163" t="s">
        <v>483</v>
      </c>
    </row>
    <row r="164" spans="1:4" x14ac:dyDescent="0.25">
      <c r="A164" s="13">
        <f t="shared" si="2"/>
        <v>160</v>
      </c>
      <c r="B164" t="s">
        <v>228</v>
      </c>
      <c r="C164" t="s">
        <v>724</v>
      </c>
      <c r="D164" t="s">
        <v>470</v>
      </c>
    </row>
    <row r="165" spans="1:4" x14ac:dyDescent="0.25">
      <c r="A165" s="13">
        <f t="shared" si="2"/>
        <v>161</v>
      </c>
      <c r="B165" s="1" t="s">
        <v>248</v>
      </c>
      <c r="C165" t="s">
        <v>726</v>
      </c>
      <c r="D165" s="1" t="s">
        <v>489</v>
      </c>
    </row>
    <row r="166" spans="1:4" x14ac:dyDescent="0.25">
      <c r="A166" s="13">
        <f t="shared" si="2"/>
        <v>162</v>
      </c>
      <c r="B166" s="1" t="s">
        <v>255</v>
      </c>
      <c r="C166" s="1" t="s">
        <v>716</v>
      </c>
      <c r="D166" s="1" t="s">
        <v>496</v>
      </c>
    </row>
    <row r="167" spans="1:4" x14ac:dyDescent="0.25">
      <c r="A167" s="13">
        <f t="shared" si="2"/>
        <v>163</v>
      </c>
      <c r="B167" s="1" t="s">
        <v>170</v>
      </c>
      <c r="C167" s="1" t="s">
        <v>708</v>
      </c>
      <c r="D167" s="1" t="s">
        <v>401</v>
      </c>
    </row>
    <row r="168" spans="1:4" x14ac:dyDescent="0.25">
      <c r="A168" s="13">
        <f t="shared" si="2"/>
        <v>164</v>
      </c>
      <c r="B168" s="1" t="s">
        <v>183</v>
      </c>
      <c r="C168" s="1" t="s">
        <v>708</v>
      </c>
      <c r="D168" s="1" t="s">
        <v>416</v>
      </c>
    </row>
    <row r="169" spans="1:4" x14ac:dyDescent="0.25">
      <c r="A169" s="13">
        <f t="shared" si="2"/>
        <v>165</v>
      </c>
      <c r="B169" s="1" t="s">
        <v>298</v>
      </c>
      <c r="C169" s="1" t="s">
        <v>708</v>
      </c>
      <c r="D169" s="1" t="s">
        <v>540</v>
      </c>
    </row>
    <row r="170" spans="1:4" x14ac:dyDescent="0.25">
      <c r="A170" s="13">
        <f t="shared" si="2"/>
        <v>166</v>
      </c>
      <c r="B170" s="1" t="s">
        <v>181</v>
      </c>
      <c r="C170" s="1" t="s">
        <v>708</v>
      </c>
      <c r="D170" s="1" t="s">
        <v>412</v>
      </c>
    </row>
    <row r="171" spans="1:4" x14ac:dyDescent="0.25">
      <c r="A171" s="13">
        <f t="shared" si="2"/>
        <v>167</v>
      </c>
      <c r="B171" s="1" t="s">
        <v>322</v>
      </c>
      <c r="C171" s="1" t="s">
        <v>708</v>
      </c>
      <c r="D171" s="1" t="s">
        <v>564</v>
      </c>
    </row>
    <row r="172" spans="1:4" x14ac:dyDescent="0.25">
      <c r="A172" s="13">
        <f t="shared" si="2"/>
        <v>168</v>
      </c>
      <c r="B172" s="1" t="s">
        <v>191</v>
      </c>
      <c r="C172" s="1" t="s">
        <v>708</v>
      </c>
      <c r="D172" s="1" t="s">
        <v>427</v>
      </c>
    </row>
    <row r="173" spans="1:4" x14ac:dyDescent="0.25">
      <c r="A173" s="13">
        <f t="shared" si="2"/>
        <v>169</v>
      </c>
      <c r="B173" s="1" t="s">
        <v>361</v>
      </c>
      <c r="C173" s="1" t="s">
        <v>726</v>
      </c>
      <c r="D173" s="1" t="s">
        <v>516</v>
      </c>
    </row>
    <row r="174" spans="1:4" x14ac:dyDescent="0.25">
      <c r="A174" s="13">
        <f t="shared" si="2"/>
        <v>170</v>
      </c>
      <c r="B174" s="1" t="s">
        <v>270</v>
      </c>
      <c r="C174" s="1" t="s">
        <v>726</v>
      </c>
      <c r="D174" s="1" t="s">
        <v>511</v>
      </c>
    </row>
    <row r="175" spans="1:4" x14ac:dyDescent="0.25">
      <c r="A175" s="13">
        <f t="shared" si="2"/>
        <v>171</v>
      </c>
      <c r="B175" t="s">
        <v>348</v>
      </c>
      <c r="C175" s="1" t="s">
        <v>710</v>
      </c>
      <c r="D175" t="s">
        <v>364</v>
      </c>
    </row>
    <row r="176" spans="1:4" x14ac:dyDescent="0.25">
      <c r="A176" s="13">
        <f t="shared" si="2"/>
        <v>172</v>
      </c>
      <c r="B176" s="1" t="s">
        <v>167</v>
      </c>
      <c r="C176" t="s">
        <v>724</v>
      </c>
      <c r="D176" s="1" t="s">
        <v>397</v>
      </c>
    </row>
    <row r="177" spans="1:4" x14ac:dyDescent="0.25">
      <c r="A177" s="13">
        <f t="shared" si="2"/>
        <v>173</v>
      </c>
      <c r="B177" t="s">
        <v>208</v>
      </c>
      <c r="C177" s="1" t="s">
        <v>720</v>
      </c>
      <c r="D177" t="s">
        <v>446</v>
      </c>
    </row>
    <row r="178" spans="1:4" x14ac:dyDescent="0.25">
      <c r="A178" s="13">
        <f t="shared" si="2"/>
        <v>174</v>
      </c>
      <c r="B178" s="1" t="s">
        <v>300</v>
      </c>
      <c r="C178" s="1" t="s">
        <v>723</v>
      </c>
      <c r="D178" s="1" t="s">
        <v>542</v>
      </c>
    </row>
    <row r="179" spans="1:4" x14ac:dyDescent="0.25">
      <c r="A179" s="13">
        <f t="shared" si="2"/>
        <v>175</v>
      </c>
      <c r="B179" s="1" t="s">
        <v>261</v>
      </c>
      <c r="C179" t="s">
        <v>728</v>
      </c>
      <c r="D179" s="1" t="s">
        <v>502</v>
      </c>
    </row>
    <row r="180" spans="1:4" x14ac:dyDescent="0.25">
      <c r="A180" s="13">
        <f t="shared" si="2"/>
        <v>176</v>
      </c>
      <c r="B180" t="s">
        <v>347</v>
      </c>
      <c r="C180" s="1" t="s">
        <v>712</v>
      </c>
      <c r="D180" t="s">
        <v>430</v>
      </c>
    </row>
    <row r="181" spans="1:4" x14ac:dyDescent="0.25">
      <c r="A181" s="13">
        <f t="shared" si="2"/>
        <v>177</v>
      </c>
      <c r="B181" t="s">
        <v>218</v>
      </c>
      <c r="C181" t="s">
        <v>724</v>
      </c>
      <c r="D181" t="s">
        <v>457</v>
      </c>
    </row>
    <row r="182" spans="1:4" x14ac:dyDescent="0.25">
      <c r="A182" s="13">
        <f t="shared" si="2"/>
        <v>178</v>
      </c>
      <c r="B182" t="s">
        <v>212</v>
      </c>
      <c r="C182" s="1" t="s">
        <v>723</v>
      </c>
      <c r="D182" t="s">
        <v>275</v>
      </c>
    </row>
    <row r="183" spans="1:4" x14ac:dyDescent="0.25">
      <c r="A183" s="13">
        <f t="shared" si="2"/>
        <v>179</v>
      </c>
      <c r="B183" s="1" t="s">
        <v>299</v>
      </c>
      <c r="C183" t="s">
        <v>727</v>
      </c>
      <c r="D183" s="1" t="s">
        <v>541</v>
      </c>
    </row>
    <row r="184" spans="1:4" x14ac:dyDescent="0.25">
      <c r="A184" s="13">
        <f t="shared" si="2"/>
        <v>180</v>
      </c>
      <c r="B184" t="s">
        <v>351</v>
      </c>
      <c r="C184" s="1" t="s">
        <v>727</v>
      </c>
      <c r="D184" t="s">
        <v>448</v>
      </c>
    </row>
    <row r="185" spans="1:4" x14ac:dyDescent="0.25">
      <c r="A185" s="13">
        <f t="shared" si="2"/>
        <v>181</v>
      </c>
      <c r="B185" s="1" t="s">
        <v>273</v>
      </c>
      <c r="C185" t="s">
        <v>710</v>
      </c>
      <c r="D185" s="1" t="s">
        <v>515</v>
      </c>
    </row>
    <row r="186" spans="1:4" x14ac:dyDescent="0.25">
      <c r="A186" s="13">
        <f t="shared" si="2"/>
        <v>182</v>
      </c>
      <c r="B186" s="1" t="s">
        <v>279</v>
      </c>
      <c r="C186" s="1" t="s">
        <v>714</v>
      </c>
      <c r="D186" s="1" t="s">
        <v>522</v>
      </c>
    </row>
    <row r="187" spans="1:4" x14ac:dyDescent="0.25">
      <c r="A187" s="13">
        <f t="shared" si="2"/>
        <v>183</v>
      </c>
      <c r="B187" t="s">
        <v>195</v>
      </c>
      <c r="C187" s="1" t="s">
        <v>722</v>
      </c>
      <c r="D187" t="s">
        <v>432</v>
      </c>
    </row>
    <row r="188" spans="1:4" x14ac:dyDescent="0.25">
      <c r="A188" s="13">
        <f t="shared" si="2"/>
        <v>184</v>
      </c>
      <c r="B188" s="1" t="s">
        <v>276</v>
      </c>
      <c r="C188" s="1" t="s">
        <v>727</v>
      </c>
      <c r="D188" s="1" t="s">
        <v>519</v>
      </c>
    </row>
    <row r="189" spans="1:4" x14ac:dyDescent="0.25">
      <c r="A189" s="13">
        <f t="shared" si="2"/>
        <v>185</v>
      </c>
      <c r="B189" s="1" t="s">
        <v>324</v>
      </c>
      <c r="C189" s="1" t="s">
        <v>715</v>
      </c>
      <c r="D189" s="1" t="s">
        <v>363</v>
      </c>
    </row>
    <row r="190" spans="1:4" x14ac:dyDescent="0.25">
      <c r="A190" s="13">
        <f t="shared" si="2"/>
        <v>186</v>
      </c>
      <c r="B190" s="1" t="s">
        <v>362</v>
      </c>
      <c r="C190" s="1" t="s">
        <v>710</v>
      </c>
      <c r="D190" s="1" t="s">
        <v>424</v>
      </c>
    </row>
    <row r="191" spans="1:4" x14ac:dyDescent="0.25">
      <c r="A191" s="13">
        <f t="shared" si="2"/>
        <v>187</v>
      </c>
      <c r="B191" s="1" t="s">
        <v>190</v>
      </c>
      <c r="C191" s="1" t="s">
        <v>710</v>
      </c>
      <c r="D191" s="1" t="s">
        <v>426</v>
      </c>
    </row>
    <row r="192" spans="1:4" x14ac:dyDescent="0.25">
      <c r="A192" s="13">
        <f t="shared" si="2"/>
        <v>188</v>
      </c>
      <c r="B192" s="1" t="s">
        <v>284</v>
      </c>
      <c r="C192" s="1" t="s">
        <v>713</v>
      </c>
      <c r="D192" s="1" t="s">
        <v>494</v>
      </c>
    </row>
    <row r="193" spans="1:4" x14ac:dyDescent="0.25">
      <c r="A193" s="13">
        <f t="shared" si="2"/>
        <v>189</v>
      </c>
      <c r="B193" s="1" t="s">
        <v>160</v>
      </c>
      <c r="C193" s="1" t="s">
        <v>727</v>
      </c>
      <c r="D193" s="1" t="s">
        <v>389</v>
      </c>
    </row>
    <row r="194" spans="1:4" x14ac:dyDescent="0.25">
      <c r="A194" s="13">
        <f t="shared" si="2"/>
        <v>190</v>
      </c>
      <c r="B194" t="s">
        <v>356</v>
      </c>
      <c r="C194" s="1" t="s">
        <v>709</v>
      </c>
      <c r="D194" t="s">
        <v>466</v>
      </c>
    </row>
    <row r="195" spans="1:4" x14ac:dyDescent="0.25">
      <c r="A195" s="13">
        <f t="shared" si="2"/>
        <v>191</v>
      </c>
      <c r="B195" s="1" t="s">
        <v>262</v>
      </c>
      <c r="C195" t="s">
        <v>708</v>
      </c>
      <c r="D195" s="1" t="s">
        <v>503</v>
      </c>
    </row>
    <row r="196" spans="1:4" x14ac:dyDescent="0.25">
      <c r="A196" s="13">
        <f t="shared" si="2"/>
        <v>192</v>
      </c>
      <c r="B196" s="1" t="s">
        <v>174</v>
      </c>
      <c r="C196" s="1" t="s">
        <v>712</v>
      </c>
      <c r="D196" s="1" t="s">
        <v>405</v>
      </c>
    </row>
    <row r="197" spans="1:4" x14ac:dyDescent="0.25">
      <c r="A197" s="13">
        <f t="shared" si="2"/>
        <v>193</v>
      </c>
      <c r="B197" t="s">
        <v>225</v>
      </c>
      <c r="C197" s="1" t="s">
        <v>726</v>
      </c>
      <c r="D197" t="s">
        <v>461</v>
      </c>
    </row>
    <row r="198" spans="1:4" x14ac:dyDescent="0.25">
      <c r="A198" s="13">
        <f t="shared" si="2"/>
        <v>194</v>
      </c>
      <c r="B198" s="1" t="s">
        <v>161</v>
      </c>
      <c r="C198" t="s">
        <v>712</v>
      </c>
      <c r="D198" s="1" t="s">
        <v>390</v>
      </c>
    </row>
    <row r="199" spans="1:4" x14ac:dyDescent="0.25">
      <c r="A199" s="13">
        <f t="shared" si="2"/>
        <v>195</v>
      </c>
      <c r="B199" t="s">
        <v>234</v>
      </c>
      <c r="C199" t="s">
        <v>712</v>
      </c>
      <c r="D199" t="s">
        <v>475</v>
      </c>
    </row>
    <row r="200" spans="1:4" x14ac:dyDescent="0.25">
      <c r="A200" s="13">
        <f t="shared" ref="A200:A217" si="3">A199+1</f>
        <v>196</v>
      </c>
      <c r="B200" s="1" t="s">
        <v>143</v>
      </c>
      <c r="C200" t="s">
        <v>726</v>
      </c>
      <c r="D200" s="1" t="s">
        <v>370</v>
      </c>
    </row>
    <row r="201" spans="1:4" x14ac:dyDescent="0.25">
      <c r="A201" s="13">
        <f t="shared" si="3"/>
        <v>197</v>
      </c>
      <c r="B201" t="s">
        <v>235</v>
      </c>
      <c r="C201" s="1" t="s">
        <v>726</v>
      </c>
      <c r="D201" t="s">
        <v>476</v>
      </c>
    </row>
    <row r="202" spans="1:4" x14ac:dyDescent="0.25">
      <c r="A202" s="13">
        <f t="shared" si="3"/>
        <v>198</v>
      </c>
      <c r="B202" t="s">
        <v>358</v>
      </c>
      <c r="C202" s="1" t="s">
        <v>722</v>
      </c>
      <c r="D202" t="s">
        <v>468</v>
      </c>
    </row>
    <row r="203" spans="1:4" x14ac:dyDescent="0.25">
      <c r="A203" s="13">
        <f t="shared" si="3"/>
        <v>199</v>
      </c>
      <c r="B203" s="1" t="s">
        <v>341</v>
      </c>
      <c r="C203" t="s">
        <v>721</v>
      </c>
      <c r="D203" s="1" t="s">
        <v>387</v>
      </c>
    </row>
    <row r="204" spans="1:4" x14ac:dyDescent="0.25">
      <c r="A204" s="13">
        <f t="shared" si="3"/>
        <v>200</v>
      </c>
      <c r="B204" t="s">
        <v>194</v>
      </c>
      <c r="C204" s="1" t="s">
        <v>717</v>
      </c>
      <c r="D204" t="s">
        <v>431</v>
      </c>
    </row>
    <row r="205" spans="1:4" x14ac:dyDescent="0.25">
      <c r="A205" s="13">
        <f t="shared" si="3"/>
        <v>201</v>
      </c>
      <c r="B205" t="s">
        <v>210</v>
      </c>
      <c r="C205" t="s">
        <v>726</v>
      </c>
      <c r="D205" t="s">
        <v>451</v>
      </c>
    </row>
    <row r="206" spans="1:4" x14ac:dyDescent="0.25">
      <c r="A206" s="13">
        <f t="shared" si="3"/>
        <v>202</v>
      </c>
      <c r="B206" s="1" t="s">
        <v>339</v>
      </c>
      <c r="C206" t="s">
        <v>720</v>
      </c>
      <c r="D206" s="1" t="s">
        <v>372</v>
      </c>
    </row>
    <row r="207" spans="1:4" x14ac:dyDescent="0.25">
      <c r="A207" s="13">
        <f t="shared" si="3"/>
        <v>203</v>
      </c>
      <c r="B207" s="1" t="s">
        <v>173</v>
      </c>
      <c r="C207" s="1" t="s">
        <v>721</v>
      </c>
      <c r="D207" s="1" t="s">
        <v>404</v>
      </c>
    </row>
    <row r="208" spans="1:4" x14ac:dyDescent="0.25">
      <c r="A208" s="13">
        <f t="shared" si="3"/>
        <v>204</v>
      </c>
      <c r="B208" s="1" t="s">
        <v>180</v>
      </c>
      <c r="C208" s="1" t="s">
        <v>715</v>
      </c>
      <c r="D208" s="1" t="s">
        <v>411</v>
      </c>
    </row>
    <row r="209" spans="1:4" x14ac:dyDescent="0.25">
      <c r="A209" s="13">
        <f t="shared" si="3"/>
        <v>205</v>
      </c>
      <c r="B209" s="1" t="s">
        <v>313</v>
      </c>
      <c r="C209" s="1" t="s">
        <v>715</v>
      </c>
      <c r="D209" s="1" t="s">
        <v>555</v>
      </c>
    </row>
    <row r="210" spans="1:4" x14ac:dyDescent="0.25">
      <c r="A210" s="13">
        <f t="shared" si="3"/>
        <v>206</v>
      </c>
      <c r="B210" s="1" t="s">
        <v>317</v>
      </c>
      <c r="C210" s="1" t="s">
        <v>721</v>
      </c>
      <c r="D210" s="1" t="s">
        <v>559</v>
      </c>
    </row>
    <row r="211" spans="1:4" x14ac:dyDescent="0.25">
      <c r="A211" s="13">
        <f t="shared" si="3"/>
        <v>207</v>
      </c>
      <c r="B211" s="1" t="s">
        <v>258</v>
      </c>
      <c r="C211" t="s">
        <v>728</v>
      </c>
      <c r="D211" s="1" t="s">
        <v>499</v>
      </c>
    </row>
    <row r="212" spans="1:4" x14ac:dyDescent="0.25">
      <c r="A212" s="13">
        <f t="shared" si="3"/>
        <v>208</v>
      </c>
      <c r="B212" t="s">
        <v>197</v>
      </c>
      <c r="C212" s="1" t="s">
        <v>720</v>
      </c>
      <c r="D212" t="s">
        <v>434</v>
      </c>
    </row>
    <row r="213" spans="1:4" x14ac:dyDescent="0.25">
      <c r="A213" s="13">
        <f t="shared" si="3"/>
        <v>209</v>
      </c>
      <c r="B213" t="s">
        <v>354</v>
      </c>
      <c r="C213" t="s">
        <v>712</v>
      </c>
      <c r="D213" t="s">
        <v>409</v>
      </c>
    </row>
    <row r="214" spans="1:4" x14ac:dyDescent="0.25">
      <c r="A214" s="13">
        <f t="shared" si="3"/>
        <v>210</v>
      </c>
      <c r="B214" s="1" t="s">
        <v>178</v>
      </c>
      <c r="C214" t="s">
        <v>715</v>
      </c>
      <c r="D214" s="1" t="s">
        <v>409</v>
      </c>
    </row>
    <row r="215" spans="1:4" x14ac:dyDescent="0.25">
      <c r="A215" s="13">
        <f t="shared" si="3"/>
        <v>211</v>
      </c>
      <c r="B215" t="s">
        <v>352</v>
      </c>
      <c r="C215" s="1" t="s">
        <v>723</v>
      </c>
      <c r="D215" t="s">
        <v>449</v>
      </c>
    </row>
    <row r="216" spans="1:4" x14ac:dyDescent="0.25">
      <c r="A216" s="13">
        <f t="shared" si="3"/>
        <v>212</v>
      </c>
      <c r="B216" s="1" t="s">
        <v>186</v>
      </c>
      <c r="C216" s="1" t="s">
        <v>715</v>
      </c>
      <c r="D216" s="1" t="s">
        <v>421</v>
      </c>
    </row>
    <row r="217" spans="1:4" x14ac:dyDescent="0.25">
      <c r="A217" s="13">
        <f t="shared" si="3"/>
        <v>213</v>
      </c>
      <c r="B217" t="s">
        <v>221</v>
      </c>
      <c r="C217" s="1" t="s">
        <v>722</v>
      </c>
      <c r="D217" t="s">
        <v>458</v>
      </c>
    </row>
  </sheetData>
  <mergeCells count="1">
    <mergeCell ref="A3:D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5</xdr:col>
                    <xdr:colOff>76200</xdr:colOff>
                    <xdr:row>1</xdr:row>
                    <xdr:rowOff>95250</xdr:rowOff>
                  </from>
                  <to>
                    <xdr:col>5</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7</xdr:col>
                    <xdr:colOff>400050</xdr:colOff>
                    <xdr:row>1</xdr:row>
                    <xdr:rowOff>47625</xdr:rowOff>
                  </from>
                  <to>
                    <xdr:col>7</xdr:col>
                    <xdr:colOff>2028825</xdr:colOff>
                    <xdr:row>1</xdr:row>
                    <xdr:rowOff>438150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2:D209"/>
  <sheetViews>
    <sheetView workbookViewId="0">
      <selection activeCell="A3" sqref="A3"/>
    </sheetView>
  </sheetViews>
  <sheetFormatPr defaultRowHeight="15" x14ac:dyDescent="0.25"/>
  <cols>
    <col min="1" max="1" width="7.42578125" style="2" bestFit="1" customWidth="1"/>
    <col min="2" max="2" width="34.28515625" bestFit="1" customWidth="1"/>
    <col min="3" max="3" width="51" customWidth="1"/>
    <col min="4" max="4" width="52.140625" customWidth="1"/>
  </cols>
  <sheetData>
    <row r="2" spans="1:4" x14ac:dyDescent="0.25">
      <c r="A2" s="32" t="s">
        <v>1325</v>
      </c>
      <c r="B2" s="32"/>
      <c r="C2" s="32"/>
      <c r="D2" s="32"/>
    </row>
    <row r="3" spans="1:4" x14ac:dyDescent="0.25">
      <c r="A3" s="2" t="s">
        <v>1179</v>
      </c>
      <c r="B3" s="11" t="s">
        <v>6</v>
      </c>
      <c r="C3" s="11" t="s">
        <v>789</v>
      </c>
      <c r="D3" s="11" t="s">
        <v>790</v>
      </c>
    </row>
    <row r="4" spans="1:4" ht="30" x14ac:dyDescent="0.25">
      <c r="A4" s="2">
        <v>1</v>
      </c>
      <c r="B4" s="6" t="s">
        <v>417</v>
      </c>
      <c r="C4" s="6" t="s">
        <v>417</v>
      </c>
      <c r="D4" s="1" t="s">
        <v>1093</v>
      </c>
    </row>
    <row r="5" spans="1:4" ht="30" x14ac:dyDescent="0.25">
      <c r="A5" s="2">
        <f>A4+1</f>
        <v>2</v>
      </c>
      <c r="B5" s="6" t="s">
        <v>422</v>
      </c>
      <c r="C5" s="6" t="s">
        <v>422</v>
      </c>
      <c r="D5" s="1" t="s">
        <v>1132</v>
      </c>
    </row>
    <row r="6" spans="1:4" ht="30" x14ac:dyDescent="0.25">
      <c r="A6" s="2">
        <f t="shared" ref="A6:A69" si="0">A5+1</f>
        <v>3</v>
      </c>
      <c r="B6" s="6" t="s">
        <v>368</v>
      </c>
      <c r="C6" s="6" t="s">
        <v>960</v>
      </c>
      <c r="D6" s="1" t="s">
        <v>1176</v>
      </c>
    </row>
    <row r="7" spans="1:4" ht="45" x14ac:dyDescent="0.25">
      <c r="A7" s="2">
        <f t="shared" si="0"/>
        <v>4</v>
      </c>
      <c r="B7" s="6" t="s">
        <v>384</v>
      </c>
      <c r="C7" s="6" t="s">
        <v>814</v>
      </c>
      <c r="D7" s="1" t="s">
        <v>998</v>
      </c>
    </row>
    <row r="8" spans="1:4" ht="30" x14ac:dyDescent="0.25">
      <c r="A8" s="2">
        <f t="shared" si="0"/>
        <v>5</v>
      </c>
      <c r="B8" s="6" t="s">
        <v>532</v>
      </c>
      <c r="C8" s="6" t="s">
        <v>974</v>
      </c>
      <c r="D8" s="1" t="s">
        <v>1175</v>
      </c>
    </row>
    <row r="9" spans="1:4" ht="45" x14ac:dyDescent="0.25">
      <c r="A9" s="2">
        <f t="shared" si="0"/>
        <v>6</v>
      </c>
      <c r="B9" s="6" t="s">
        <v>531</v>
      </c>
      <c r="C9" s="6" t="s">
        <v>830</v>
      </c>
      <c r="D9" s="1" t="s">
        <v>1014</v>
      </c>
    </row>
    <row r="10" spans="1:4" ht="30" x14ac:dyDescent="0.25">
      <c r="A10" s="2">
        <f t="shared" si="0"/>
        <v>7</v>
      </c>
      <c r="B10" s="6" t="s">
        <v>515</v>
      </c>
      <c r="C10" s="6" t="s">
        <v>880</v>
      </c>
      <c r="D10" s="1" t="s">
        <v>1069</v>
      </c>
    </row>
    <row r="11" spans="1:4" ht="45" x14ac:dyDescent="0.25">
      <c r="A11" s="2">
        <f t="shared" si="0"/>
        <v>8</v>
      </c>
      <c r="B11" s="6" t="s">
        <v>412</v>
      </c>
      <c r="C11" s="6" t="s">
        <v>791</v>
      </c>
      <c r="D11" s="1" t="s">
        <v>975</v>
      </c>
    </row>
    <row r="12" spans="1:4" ht="30" x14ac:dyDescent="0.25">
      <c r="A12" s="2">
        <f t="shared" si="0"/>
        <v>9</v>
      </c>
      <c r="B12" s="6" t="s">
        <v>527</v>
      </c>
      <c r="C12" s="6" t="s">
        <v>825</v>
      </c>
      <c r="D12" s="1" t="s">
        <v>1009</v>
      </c>
    </row>
    <row r="13" spans="1:4" ht="30" x14ac:dyDescent="0.25">
      <c r="A13" s="2">
        <f t="shared" si="0"/>
        <v>10</v>
      </c>
      <c r="B13" s="6" t="s">
        <v>564</v>
      </c>
      <c r="C13" s="6" t="s">
        <v>936</v>
      </c>
      <c r="D13" s="1" t="s">
        <v>1051</v>
      </c>
    </row>
    <row r="14" spans="1:4" ht="30" x14ac:dyDescent="0.25">
      <c r="A14" s="2">
        <f t="shared" si="0"/>
        <v>11</v>
      </c>
      <c r="B14" s="6" t="s">
        <v>415</v>
      </c>
      <c r="C14" s="6" t="s">
        <v>415</v>
      </c>
      <c r="D14" s="1" t="s">
        <v>1036</v>
      </c>
    </row>
    <row r="15" spans="1:4" ht="30" x14ac:dyDescent="0.25">
      <c r="A15" s="2">
        <f t="shared" si="0"/>
        <v>12</v>
      </c>
      <c r="B15" s="6" t="s">
        <v>406</v>
      </c>
      <c r="C15" s="6" t="s">
        <v>877</v>
      </c>
      <c r="D15" s="1" t="s">
        <v>1066</v>
      </c>
    </row>
    <row r="16" spans="1:4" ht="30" x14ac:dyDescent="0.25">
      <c r="A16" s="2">
        <f t="shared" si="0"/>
        <v>13</v>
      </c>
      <c r="B16" s="6" t="s">
        <v>369</v>
      </c>
      <c r="C16" s="6" t="s">
        <v>896</v>
      </c>
      <c r="D16" s="1" t="s">
        <v>1089</v>
      </c>
    </row>
    <row r="17" spans="1:4" ht="30" x14ac:dyDescent="0.25">
      <c r="A17" s="2">
        <f t="shared" si="0"/>
        <v>14</v>
      </c>
      <c r="B17" s="6" t="s">
        <v>451</v>
      </c>
      <c r="C17" s="6" t="s">
        <v>925</v>
      </c>
      <c r="D17" s="1" t="s">
        <v>1156</v>
      </c>
    </row>
    <row r="18" spans="1:4" ht="30" x14ac:dyDescent="0.25">
      <c r="A18" s="2">
        <f t="shared" si="0"/>
        <v>15</v>
      </c>
      <c r="B18" s="6" t="s">
        <v>419</v>
      </c>
      <c r="C18" s="6" t="s">
        <v>848</v>
      </c>
      <c r="D18" s="1" t="s">
        <v>1034</v>
      </c>
    </row>
    <row r="19" spans="1:4" ht="30" x14ac:dyDescent="0.25">
      <c r="A19" s="2">
        <f t="shared" si="0"/>
        <v>16</v>
      </c>
      <c r="B19" s="6" t="s">
        <v>504</v>
      </c>
      <c r="C19" s="6" t="s">
        <v>891</v>
      </c>
      <c r="D19" s="1" t="s">
        <v>1082</v>
      </c>
    </row>
    <row r="20" spans="1:4" ht="30" x14ac:dyDescent="0.25">
      <c r="A20" s="2">
        <f t="shared" si="0"/>
        <v>17</v>
      </c>
      <c r="B20" s="6" t="s">
        <v>364</v>
      </c>
      <c r="C20" s="6" t="s">
        <v>879</v>
      </c>
      <c r="D20" s="1" t="s">
        <v>1068</v>
      </c>
    </row>
    <row r="21" spans="1:4" ht="30" x14ac:dyDescent="0.25">
      <c r="A21" s="2">
        <f t="shared" si="0"/>
        <v>18</v>
      </c>
      <c r="B21" s="6" t="s">
        <v>395</v>
      </c>
      <c r="C21" s="6" t="s">
        <v>894</v>
      </c>
      <c r="D21" s="1" t="s">
        <v>1087</v>
      </c>
    </row>
    <row r="22" spans="1:4" ht="30" x14ac:dyDescent="0.25">
      <c r="A22" s="2">
        <f t="shared" si="0"/>
        <v>19</v>
      </c>
      <c r="B22" s="6" t="s">
        <v>508</v>
      </c>
      <c r="C22" s="6" t="s">
        <v>895</v>
      </c>
      <c r="D22" s="1" t="s">
        <v>1088</v>
      </c>
    </row>
    <row r="23" spans="1:4" ht="30" x14ac:dyDescent="0.25">
      <c r="A23" s="2">
        <f t="shared" si="0"/>
        <v>20</v>
      </c>
      <c r="B23" s="6" t="s">
        <v>495</v>
      </c>
      <c r="C23" s="6" t="s">
        <v>878</v>
      </c>
      <c r="D23" s="1" t="s">
        <v>1067</v>
      </c>
    </row>
    <row r="24" spans="1:4" ht="30" x14ac:dyDescent="0.25">
      <c r="A24" s="2">
        <f t="shared" si="0"/>
        <v>21</v>
      </c>
      <c r="B24" s="6" t="s">
        <v>373</v>
      </c>
      <c r="C24" s="6" t="s">
        <v>847</v>
      </c>
      <c r="D24" s="1" t="s">
        <v>1033</v>
      </c>
    </row>
    <row r="25" spans="1:4" ht="45" x14ac:dyDescent="0.25">
      <c r="A25" s="2">
        <f t="shared" si="0"/>
        <v>22</v>
      </c>
      <c r="B25" s="6" t="s">
        <v>462</v>
      </c>
      <c r="C25" s="6" t="s">
        <v>820</v>
      </c>
      <c r="D25" s="1" t="s">
        <v>1004</v>
      </c>
    </row>
    <row r="26" spans="1:4" ht="45" x14ac:dyDescent="0.25">
      <c r="A26" s="2">
        <f t="shared" si="0"/>
        <v>23</v>
      </c>
      <c r="B26" s="6" t="s">
        <v>275</v>
      </c>
      <c r="C26" s="6" t="s">
        <v>810</v>
      </c>
      <c r="D26" s="1" t="s">
        <v>1160</v>
      </c>
    </row>
    <row r="27" spans="1:4" ht="30" x14ac:dyDescent="0.25">
      <c r="A27" s="2">
        <f t="shared" si="0"/>
        <v>24</v>
      </c>
      <c r="B27" s="6" t="s">
        <v>489</v>
      </c>
      <c r="C27" s="6" t="s">
        <v>921</v>
      </c>
      <c r="D27" s="1" t="s">
        <v>1118</v>
      </c>
    </row>
    <row r="28" spans="1:4" ht="30" x14ac:dyDescent="0.25">
      <c r="A28" s="2">
        <f t="shared" si="0"/>
        <v>25</v>
      </c>
      <c r="B28" s="6" t="s">
        <v>539</v>
      </c>
      <c r="C28" s="6" t="s">
        <v>876</v>
      </c>
      <c r="D28" s="1" t="s">
        <v>1065</v>
      </c>
    </row>
    <row r="29" spans="1:4" ht="30" x14ac:dyDescent="0.25">
      <c r="A29" s="2">
        <f t="shared" si="0"/>
        <v>26</v>
      </c>
      <c r="B29" s="6" t="s">
        <v>425</v>
      </c>
      <c r="C29" s="6" t="s">
        <v>425</v>
      </c>
      <c r="D29" s="1" t="s">
        <v>1127</v>
      </c>
    </row>
    <row r="30" spans="1:4" ht="30" x14ac:dyDescent="0.25">
      <c r="A30" s="2">
        <f t="shared" si="0"/>
        <v>27</v>
      </c>
      <c r="B30" s="6" t="s">
        <v>541</v>
      </c>
      <c r="C30" s="6" t="s">
        <v>887</v>
      </c>
      <c r="D30" s="1" t="s">
        <v>1076</v>
      </c>
    </row>
    <row r="31" spans="1:4" ht="30" x14ac:dyDescent="0.25">
      <c r="A31" s="2">
        <f t="shared" si="0"/>
        <v>28</v>
      </c>
      <c r="B31" s="6" t="s">
        <v>443</v>
      </c>
      <c r="C31" s="6" t="s">
        <v>909</v>
      </c>
      <c r="D31" s="1" t="s">
        <v>1105</v>
      </c>
    </row>
    <row r="32" spans="1:4" ht="30" x14ac:dyDescent="0.25">
      <c r="A32" s="2">
        <f t="shared" si="0"/>
        <v>29</v>
      </c>
      <c r="B32" s="6" t="s">
        <v>554</v>
      </c>
      <c r="C32" s="6" t="s">
        <v>806</v>
      </c>
      <c r="D32" s="1" t="s">
        <v>990</v>
      </c>
    </row>
    <row r="33" spans="1:4" ht="45" x14ac:dyDescent="0.25">
      <c r="A33" s="2">
        <f t="shared" si="0"/>
        <v>30</v>
      </c>
      <c r="B33" s="6" t="s">
        <v>398</v>
      </c>
      <c r="C33" s="6" t="s">
        <v>951</v>
      </c>
      <c r="D33" s="1" t="s">
        <v>1150</v>
      </c>
    </row>
    <row r="34" spans="1:4" ht="30" x14ac:dyDescent="0.25">
      <c r="A34" s="2">
        <f t="shared" si="0"/>
        <v>31</v>
      </c>
      <c r="B34" s="6" t="s">
        <v>476</v>
      </c>
      <c r="C34" s="6" t="s">
        <v>924</v>
      </c>
      <c r="D34" s="1" t="s">
        <v>1155</v>
      </c>
    </row>
    <row r="35" spans="1:4" ht="30" x14ac:dyDescent="0.25">
      <c r="A35" s="2">
        <f t="shared" si="0"/>
        <v>32</v>
      </c>
      <c r="B35" s="6" t="s">
        <v>439</v>
      </c>
      <c r="C35" s="6" t="s">
        <v>898</v>
      </c>
      <c r="D35" s="1" t="s">
        <v>1092</v>
      </c>
    </row>
    <row r="36" spans="1:4" ht="30" x14ac:dyDescent="0.25">
      <c r="A36" s="2">
        <f t="shared" si="0"/>
        <v>33</v>
      </c>
      <c r="B36" s="6" t="s">
        <v>438</v>
      </c>
      <c r="C36" s="6" t="s">
        <v>947</v>
      </c>
      <c r="D36" s="1" t="s">
        <v>1144</v>
      </c>
    </row>
    <row r="37" spans="1:4" ht="30" x14ac:dyDescent="0.25">
      <c r="A37" s="2">
        <f t="shared" si="0"/>
        <v>34</v>
      </c>
      <c r="B37" s="6" t="s">
        <v>420</v>
      </c>
      <c r="C37" s="6" t="s">
        <v>835</v>
      </c>
      <c r="D37" s="1" t="s">
        <v>1019</v>
      </c>
    </row>
    <row r="38" spans="1:4" ht="45" x14ac:dyDescent="0.25">
      <c r="A38" s="2">
        <f t="shared" si="0"/>
        <v>35</v>
      </c>
      <c r="B38" s="6" t="s">
        <v>493</v>
      </c>
      <c r="C38" s="6" t="s">
        <v>831</v>
      </c>
      <c r="D38" s="1" t="s">
        <v>1015</v>
      </c>
    </row>
    <row r="39" spans="1:4" ht="30" x14ac:dyDescent="0.25">
      <c r="A39" s="2">
        <f t="shared" si="0"/>
        <v>36</v>
      </c>
      <c r="B39" s="6" t="s">
        <v>471</v>
      </c>
      <c r="C39" s="6" t="s">
        <v>912</v>
      </c>
      <c r="D39" s="1" t="s">
        <v>1108</v>
      </c>
    </row>
    <row r="40" spans="1:4" ht="30" x14ac:dyDescent="0.25">
      <c r="A40" s="2">
        <f t="shared" si="0"/>
        <v>37</v>
      </c>
      <c r="B40" s="6" t="s">
        <v>441</v>
      </c>
      <c r="C40" s="6" t="s">
        <v>953</v>
      </c>
      <c r="D40" s="1" t="s">
        <v>1167</v>
      </c>
    </row>
    <row r="41" spans="1:4" ht="45" x14ac:dyDescent="0.25">
      <c r="A41" s="2">
        <f t="shared" si="0"/>
        <v>38</v>
      </c>
      <c r="B41" s="6" t="s">
        <v>405</v>
      </c>
      <c r="C41" s="6" t="s">
        <v>804</v>
      </c>
      <c r="D41" s="1" t="s">
        <v>988</v>
      </c>
    </row>
    <row r="42" spans="1:4" ht="30" x14ac:dyDescent="0.25">
      <c r="A42" s="2">
        <f t="shared" si="0"/>
        <v>39</v>
      </c>
      <c r="B42" s="6" t="s">
        <v>545</v>
      </c>
      <c r="C42" s="6" t="s">
        <v>844</v>
      </c>
      <c r="D42" s="1" t="s">
        <v>1030</v>
      </c>
    </row>
    <row r="43" spans="1:4" ht="30" x14ac:dyDescent="0.25">
      <c r="A43" s="2">
        <f t="shared" si="0"/>
        <v>40</v>
      </c>
      <c r="B43" s="6" t="s">
        <v>434</v>
      </c>
      <c r="C43" s="6" t="s">
        <v>950</v>
      </c>
      <c r="D43" s="1" t="s">
        <v>1149</v>
      </c>
    </row>
    <row r="44" spans="1:4" ht="30" x14ac:dyDescent="0.25">
      <c r="A44" s="2">
        <f t="shared" si="0"/>
        <v>41</v>
      </c>
      <c r="B44" s="6" t="s">
        <v>558</v>
      </c>
      <c r="C44" s="6" t="s">
        <v>957</v>
      </c>
      <c r="D44" s="1" t="s">
        <v>1170</v>
      </c>
    </row>
    <row r="45" spans="1:4" ht="45" x14ac:dyDescent="0.25">
      <c r="A45" s="2">
        <f t="shared" si="0"/>
        <v>42</v>
      </c>
      <c r="B45" s="6" t="s">
        <v>424</v>
      </c>
      <c r="C45" s="6" t="s">
        <v>797</v>
      </c>
      <c r="D45" s="1" t="s">
        <v>981</v>
      </c>
    </row>
    <row r="46" spans="1:4" ht="30" x14ac:dyDescent="0.25">
      <c r="A46" s="2">
        <f t="shared" si="0"/>
        <v>43</v>
      </c>
      <c r="B46" s="6" t="s">
        <v>556</v>
      </c>
      <c r="C46" s="6" t="s">
        <v>882</v>
      </c>
      <c r="D46" s="1" t="s">
        <v>1071</v>
      </c>
    </row>
    <row r="47" spans="1:4" ht="30" x14ac:dyDescent="0.25">
      <c r="A47" s="2">
        <f t="shared" si="0"/>
        <v>44</v>
      </c>
      <c r="B47" s="6" t="s">
        <v>477</v>
      </c>
      <c r="C47" s="6" t="s">
        <v>906</v>
      </c>
      <c r="D47" s="1" t="s">
        <v>1102</v>
      </c>
    </row>
    <row r="48" spans="1:4" ht="30" x14ac:dyDescent="0.25">
      <c r="A48" s="2">
        <f t="shared" si="0"/>
        <v>45</v>
      </c>
      <c r="B48" s="6" t="s">
        <v>385</v>
      </c>
      <c r="C48" s="6" t="s">
        <v>905</v>
      </c>
      <c r="D48" s="1" t="s">
        <v>1101</v>
      </c>
    </row>
    <row r="49" spans="1:4" ht="30" x14ac:dyDescent="0.25">
      <c r="A49" s="2">
        <f t="shared" si="0"/>
        <v>46</v>
      </c>
      <c r="B49" s="6" t="s">
        <v>538</v>
      </c>
      <c r="C49" s="6" t="s">
        <v>954</v>
      </c>
      <c r="D49" s="1" t="s">
        <v>1168</v>
      </c>
    </row>
    <row r="50" spans="1:4" ht="45" x14ac:dyDescent="0.25">
      <c r="A50" s="2">
        <f t="shared" si="0"/>
        <v>47</v>
      </c>
      <c r="B50" s="6" t="s">
        <v>514</v>
      </c>
      <c r="C50" s="6" t="s">
        <v>826</v>
      </c>
      <c r="D50" s="1" t="s">
        <v>1010</v>
      </c>
    </row>
    <row r="51" spans="1:4" ht="30" x14ac:dyDescent="0.25">
      <c r="A51" s="2">
        <f t="shared" si="0"/>
        <v>48</v>
      </c>
      <c r="B51" s="6" t="s">
        <v>400</v>
      </c>
      <c r="C51" s="6" t="s">
        <v>871</v>
      </c>
      <c r="D51" s="1" t="s">
        <v>1060</v>
      </c>
    </row>
    <row r="52" spans="1:4" ht="30" x14ac:dyDescent="0.25">
      <c r="A52" s="2">
        <f t="shared" si="0"/>
        <v>49</v>
      </c>
      <c r="B52" s="6" t="s">
        <v>492</v>
      </c>
      <c r="C52" s="6" t="s">
        <v>946</v>
      </c>
      <c r="D52" s="1" t="s">
        <v>1143</v>
      </c>
    </row>
    <row r="53" spans="1:4" ht="30" x14ac:dyDescent="0.25">
      <c r="A53" s="2">
        <f t="shared" si="0"/>
        <v>50</v>
      </c>
      <c r="B53" s="6" t="s">
        <v>560</v>
      </c>
      <c r="C53" s="6" t="s">
        <v>866</v>
      </c>
      <c r="D53" s="1" t="s">
        <v>1055</v>
      </c>
    </row>
    <row r="54" spans="1:4" ht="30" x14ac:dyDescent="0.25">
      <c r="A54" s="2">
        <f t="shared" si="0"/>
        <v>51</v>
      </c>
      <c r="B54" s="6" t="s">
        <v>440</v>
      </c>
      <c r="C54" s="6" t="s">
        <v>892</v>
      </c>
      <c r="D54" s="1" t="s">
        <v>1084</v>
      </c>
    </row>
    <row r="55" spans="1:4" ht="30" x14ac:dyDescent="0.25">
      <c r="A55" s="2">
        <f t="shared" si="0"/>
        <v>52</v>
      </c>
      <c r="B55" s="6" t="s">
        <v>427</v>
      </c>
      <c r="C55" s="6" t="s">
        <v>937</v>
      </c>
      <c r="D55" s="1" t="s">
        <v>1123</v>
      </c>
    </row>
    <row r="56" spans="1:4" ht="30" x14ac:dyDescent="0.25">
      <c r="A56" s="2">
        <f t="shared" si="0"/>
        <v>53</v>
      </c>
      <c r="B56" s="6" t="s">
        <v>389</v>
      </c>
      <c r="C56" s="6" t="s">
        <v>889</v>
      </c>
      <c r="D56" s="1" t="s">
        <v>1079</v>
      </c>
    </row>
    <row r="57" spans="1:4" ht="30" x14ac:dyDescent="0.25">
      <c r="A57" s="2">
        <f t="shared" si="0"/>
        <v>54</v>
      </c>
      <c r="B57" s="6" t="s">
        <v>519</v>
      </c>
      <c r="C57" s="6" t="s">
        <v>963</v>
      </c>
      <c r="D57" s="1" t="s">
        <v>1078</v>
      </c>
    </row>
    <row r="58" spans="1:4" ht="30" x14ac:dyDescent="0.25">
      <c r="A58" s="2">
        <f t="shared" si="0"/>
        <v>55</v>
      </c>
      <c r="B58" s="6" t="s">
        <v>502</v>
      </c>
      <c r="C58" s="6" t="s">
        <v>885</v>
      </c>
      <c r="D58" s="1" t="s">
        <v>1074</v>
      </c>
    </row>
    <row r="59" spans="1:4" ht="30" x14ac:dyDescent="0.25">
      <c r="A59" s="2">
        <f t="shared" si="0"/>
        <v>56</v>
      </c>
      <c r="B59" s="6" t="s">
        <v>510</v>
      </c>
      <c r="C59" s="6" t="s">
        <v>795</v>
      </c>
      <c r="D59" s="1" t="s">
        <v>979</v>
      </c>
    </row>
    <row r="60" spans="1:4" ht="30" x14ac:dyDescent="0.25">
      <c r="A60" s="2">
        <f t="shared" si="0"/>
        <v>57</v>
      </c>
      <c r="B60" s="6" t="s">
        <v>535</v>
      </c>
      <c r="C60" s="6" t="s">
        <v>846</v>
      </c>
      <c r="D60" s="1" t="s">
        <v>1032</v>
      </c>
    </row>
    <row r="61" spans="1:4" ht="30" x14ac:dyDescent="0.25">
      <c r="A61" s="2">
        <f t="shared" si="0"/>
        <v>58</v>
      </c>
      <c r="B61" s="6" t="s">
        <v>467</v>
      </c>
      <c r="C61" s="6" t="s">
        <v>836</v>
      </c>
      <c r="D61" s="1" t="s">
        <v>1020</v>
      </c>
    </row>
    <row r="62" spans="1:4" ht="30" x14ac:dyDescent="0.25">
      <c r="A62" s="2">
        <f t="shared" si="0"/>
        <v>59</v>
      </c>
      <c r="B62" s="6" t="s">
        <v>392</v>
      </c>
      <c r="C62" s="6" t="s">
        <v>467</v>
      </c>
      <c r="D62" s="1" t="s">
        <v>1083</v>
      </c>
    </row>
    <row r="63" spans="1:4" ht="45" x14ac:dyDescent="0.25">
      <c r="A63" s="2">
        <f t="shared" si="0"/>
        <v>60</v>
      </c>
      <c r="B63" s="6" t="s">
        <v>509</v>
      </c>
      <c r="C63" s="6" t="s">
        <v>823</v>
      </c>
      <c r="D63" s="1" t="s">
        <v>1007</v>
      </c>
    </row>
    <row r="64" spans="1:4" ht="30" x14ac:dyDescent="0.25">
      <c r="A64" s="2">
        <f t="shared" si="0"/>
        <v>61</v>
      </c>
      <c r="B64" s="6" t="s">
        <v>433</v>
      </c>
      <c r="C64" s="6" t="s">
        <v>865</v>
      </c>
      <c r="D64" s="1" t="s">
        <v>1054</v>
      </c>
    </row>
    <row r="65" spans="1:4" ht="45" x14ac:dyDescent="0.25">
      <c r="A65" s="2">
        <f t="shared" si="0"/>
        <v>62</v>
      </c>
      <c r="B65" s="6" t="s">
        <v>428</v>
      </c>
      <c r="C65" s="6" t="s">
        <v>798</v>
      </c>
      <c r="D65" s="1" t="s">
        <v>982</v>
      </c>
    </row>
    <row r="66" spans="1:4" ht="30" x14ac:dyDescent="0.25">
      <c r="A66" s="2">
        <f t="shared" si="0"/>
        <v>63</v>
      </c>
      <c r="B66" s="6" t="s">
        <v>382</v>
      </c>
      <c r="C66" s="6" t="s">
        <v>945</v>
      </c>
      <c r="D66" s="1" t="s">
        <v>1142</v>
      </c>
    </row>
    <row r="67" spans="1:4" ht="30" x14ac:dyDescent="0.25">
      <c r="A67" s="2">
        <f t="shared" si="0"/>
        <v>64</v>
      </c>
      <c r="B67" s="6" t="s">
        <v>431</v>
      </c>
      <c r="C67" s="6" t="s">
        <v>900</v>
      </c>
      <c r="D67" s="1" t="s">
        <v>1095</v>
      </c>
    </row>
    <row r="68" spans="1:4" ht="30" x14ac:dyDescent="0.25">
      <c r="A68" s="2">
        <f t="shared" si="0"/>
        <v>65</v>
      </c>
      <c r="B68" s="6" t="s">
        <v>454</v>
      </c>
      <c r="C68" s="6" t="s">
        <v>940</v>
      </c>
      <c r="D68" s="1" t="s">
        <v>1126</v>
      </c>
    </row>
    <row r="69" spans="1:4" ht="45" x14ac:dyDescent="0.25">
      <c r="A69" s="2">
        <f t="shared" si="0"/>
        <v>66</v>
      </c>
      <c r="B69" s="6" t="s">
        <v>391</v>
      </c>
      <c r="C69" s="6" t="s">
        <v>800</v>
      </c>
      <c r="D69" s="1" t="s">
        <v>984</v>
      </c>
    </row>
    <row r="70" spans="1:4" ht="45" x14ac:dyDescent="0.25">
      <c r="A70" s="2">
        <f t="shared" ref="A70:A133" si="1">A69+1</f>
        <v>67</v>
      </c>
      <c r="B70" s="6" t="s">
        <v>526</v>
      </c>
      <c r="C70" s="6" t="s">
        <v>817</v>
      </c>
      <c r="D70" s="1" t="s">
        <v>1001</v>
      </c>
    </row>
    <row r="71" spans="1:4" ht="45" x14ac:dyDescent="0.25">
      <c r="A71" s="2">
        <f t="shared" si="1"/>
        <v>68</v>
      </c>
      <c r="B71" s="6" t="s">
        <v>370</v>
      </c>
      <c r="C71" s="6" t="s">
        <v>799</v>
      </c>
      <c r="D71" s="1" t="s">
        <v>983</v>
      </c>
    </row>
    <row r="72" spans="1:4" ht="45" x14ac:dyDescent="0.25">
      <c r="A72" s="2">
        <f t="shared" si="1"/>
        <v>69</v>
      </c>
      <c r="B72" s="6" t="s">
        <v>407</v>
      </c>
      <c r="C72" s="6" t="s">
        <v>802</v>
      </c>
      <c r="D72" s="1" t="s">
        <v>986</v>
      </c>
    </row>
    <row r="73" spans="1:4" ht="30" x14ac:dyDescent="0.25">
      <c r="A73" s="2">
        <f t="shared" si="1"/>
        <v>70</v>
      </c>
      <c r="B73" s="6" t="s">
        <v>372</v>
      </c>
      <c r="C73" s="6" t="s">
        <v>802</v>
      </c>
      <c r="D73" s="1" t="s">
        <v>1148</v>
      </c>
    </row>
    <row r="74" spans="1:4" ht="30" x14ac:dyDescent="0.25">
      <c r="A74" s="2">
        <f t="shared" si="1"/>
        <v>71</v>
      </c>
      <c r="B74" s="6" t="s">
        <v>363</v>
      </c>
      <c r="C74" s="6" t="s">
        <v>867</v>
      </c>
      <c r="D74" s="1" t="s">
        <v>1056</v>
      </c>
    </row>
    <row r="75" spans="1:4" ht="45" x14ac:dyDescent="0.25">
      <c r="A75" s="2">
        <f t="shared" si="1"/>
        <v>72</v>
      </c>
      <c r="B75" s="6" t="s">
        <v>463</v>
      </c>
      <c r="C75" s="6" t="s">
        <v>967</v>
      </c>
      <c r="D75" s="1" t="s">
        <v>1137</v>
      </c>
    </row>
    <row r="76" spans="1:4" ht="45" x14ac:dyDescent="0.25">
      <c r="A76" s="2">
        <f t="shared" si="1"/>
        <v>73</v>
      </c>
      <c r="B76" s="6" t="s">
        <v>468</v>
      </c>
      <c r="C76" s="6" t="s">
        <v>962</v>
      </c>
      <c r="D76" s="1" t="s">
        <v>1178</v>
      </c>
    </row>
    <row r="77" spans="1:4" ht="30" x14ac:dyDescent="0.25">
      <c r="A77" s="2">
        <f t="shared" si="1"/>
        <v>74</v>
      </c>
      <c r="B77" s="6" t="s">
        <v>408</v>
      </c>
      <c r="C77" s="6" t="s">
        <v>893</v>
      </c>
      <c r="D77" s="1" t="s">
        <v>1085</v>
      </c>
    </row>
    <row r="78" spans="1:4" ht="30" x14ac:dyDescent="0.25">
      <c r="A78" s="2">
        <f t="shared" si="1"/>
        <v>75</v>
      </c>
      <c r="B78" s="6" t="s">
        <v>499</v>
      </c>
      <c r="C78" s="6" t="s">
        <v>886</v>
      </c>
      <c r="D78" s="1" t="s">
        <v>1075</v>
      </c>
    </row>
    <row r="79" spans="1:4" ht="30" x14ac:dyDescent="0.25">
      <c r="A79" s="2">
        <f t="shared" si="1"/>
        <v>76</v>
      </c>
      <c r="B79" s="6" t="s">
        <v>543</v>
      </c>
      <c r="C79" s="6" t="s">
        <v>969</v>
      </c>
      <c r="D79" s="1" t="s">
        <v>1140</v>
      </c>
    </row>
    <row r="80" spans="1:4" ht="30" x14ac:dyDescent="0.25">
      <c r="A80" s="2">
        <f t="shared" si="1"/>
        <v>77</v>
      </c>
      <c r="B80" s="6" t="s">
        <v>491</v>
      </c>
      <c r="C80" s="6" t="s">
        <v>870</v>
      </c>
      <c r="D80" s="1" t="s">
        <v>1059</v>
      </c>
    </row>
    <row r="81" spans="1:4" ht="30" x14ac:dyDescent="0.25">
      <c r="A81" s="2">
        <f t="shared" si="1"/>
        <v>78</v>
      </c>
      <c r="B81" s="6" t="s">
        <v>475</v>
      </c>
      <c r="C81" s="6" t="s">
        <v>863</v>
      </c>
      <c r="D81" s="1" t="s">
        <v>1018</v>
      </c>
    </row>
    <row r="82" spans="1:4" ht="30" x14ac:dyDescent="0.25">
      <c r="A82" s="2">
        <f t="shared" si="1"/>
        <v>79</v>
      </c>
      <c r="B82" s="6" t="s">
        <v>474</v>
      </c>
      <c r="C82" s="6" t="s">
        <v>834</v>
      </c>
      <c r="D82" s="1" t="s">
        <v>1018</v>
      </c>
    </row>
    <row r="83" spans="1:4" ht="30" x14ac:dyDescent="0.25">
      <c r="A83" s="2">
        <f t="shared" si="1"/>
        <v>80</v>
      </c>
      <c r="B83" s="6" t="s">
        <v>482</v>
      </c>
      <c r="C83" s="6" t="s">
        <v>482</v>
      </c>
      <c r="D83" s="1" t="s">
        <v>1086</v>
      </c>
    </row>
    <row r="84" spans="1:4" ht="30" x14ac:dyDescent="0.25">
      <c r="A84" s="2">
        <f t="shared" si="1"/>
        <v>81</v>
      </c>
      <c r="B84" s="6" t="s">
        <v>416</v>
      </c>
      <c r="C84" s="6" t="s">
        <v>935</v>
      </c>
      <c r="D84" s="1" t="s">
        <v>1165</v>
      </c>
    </row>
    <row r="85" spans="1:4" ht="30" x14ac:dyDescent="0.25">
      <c r="A85" s="2">
        <f t="shared" si="1"/>
        <v>82</v>
      </c>
      <c r="B85" s="6" t="s">
        <v>498</v>
      </c>
      <c r="C85" s="6" t="s">
        <v>902</v>
      </c>
      <c r="D85" s="1" t="s">
        <v>1097</v>
      </c>
    </row>
    <row r="86" spans="1:4" ht="30" x14ac:dyDescent="0.25">
      <c r="A86" s="2">
        <f t="shared" si="1"/>
        <v>83</v>
      </c>
      <c r="B86" s="6" t="s">
        <v>505</v>
      </c>
      <c r="C86" s="6" t="s">
        <v>884</v>
      </c>
      <c r="D86" s="1" t="s">
        <v>1073</v>
      </c>
    </row>
    <row r="87" spans="1:4" ht="30" x14ac:dyDescent="0.25">
      <c r="A87" s="2">
        <f t="shared" si="1"/>
        <v>84</v>
      </c>
      <c r="B87" s="6" t="s">
        <v>507</v>
      </c>
      <c r="C87" s="6" t="s">
        <v>837</v>
      </c>
      <c r="D87" s="1" t="s">
        <v>1021</v>
      </c>
    </row>
    <row r="88" spans="1:4" ht="30" x14ac:dyDescent="0.25">
      <c r="A88" s="2">
        <f t="shared" si="1"/>
        <v>85</v>
      </c>
      <c r="B88" s="6" t="s">
        <v>460</v>
      </c>
      <c r="C88" s="6" t="s">
        <v>903</v>
      </c>
      <c r="D88" s="1" t="s">
        <v>1098</v>
      </c>
    </row>
    <row r="89" spans="1:4" ht="45" x14ac:dyDescent="0.25">
      <c r="A89" s="2">
        <f t="shared" si="1"/>
        <v>86</v>
      </c>
      <c r="B89" s="6" t="s">
        <v>393</v>
      </c>
      <c r="C89" s="6" t="s">
        <v>801</v>
      </c>
      <c r="D89" s="1" t="s">
        <v>985</v>
      </c>
    </row>
    <row r="90" spans="1:4" ht="30" x14ac:dyDescent="0.25">
      <c r="A90" s="2">
        <f t="shared" si="1"/>
        <v>87</v>
      </c>
      <c r="B90" s="6" t="s">
        <v>528</v>
      </c>
      <c r="C90" s="6" t="s">
        <v>966</v>
      </c>
      <c r="D90" s="1" t="s">
        <v>1136</v>
      </c>
    </row>
    <row r="91" spans="1:4" ht="30" x14ac:dyDescent="0.25">
      <c r="A91" s="2">
        <f t="shared" si="1"/>
        <v>88</v>
      </c>
      <c r="B91" s="6" t="s">
        <v>436</v>
      </c>
      <c r="C91" s="6" t="s">
        <v>904</v>
      </c>
      <c r="D91" s="1" t="s">
        <v>1100</v>
      </c>
    </row>
    <row r="92" spans="1:4" ht="30" x14ac:dyDescent="0.25">
      <c r="A92" s="2">
        <f t="shared" si="1"/>
        <v>89</v>
      </c>
      <c r="B92" s="6" t="s">
        <v>371</v>
      </c>
      <c r="C92" s="6" t="s">
        <v>914</v>
      </c>
      <c r="D92" s="1" t="s">
        <v>1110</v>
      </c>
    </row>
    <row r="93" spans="1:4" ht="30" x14ac:dyDescent="0.25">
      <c r="A93" s="2">
        <f t="shared" si="1"/>
        <v>90</v>
      </c>
      <c r="B93" s="6" t="s">
        <v>488</v>
      </c>
      <c r="C93" s="6" t="s">
        <v>913</v>
      </c>
      <c r="D93" s="1" t="s">
        <v>1109</v>
      </c>
    </row>
    <row r="94" spans="1:4" ht="30" x14ac:dyDescent="0.25">
      <c r="A94" s="2">
        <f t="shared" si="1"/>
        <v>91</v>
      </c>
      <c r="B94" s="6" t="s">
        <v>386</v>
      </c>
      <c r="C94" s="6" t="s">
        <v>926</v>
      </c>
      <c r="D94" s="1" t="s">
        <v>1157</v>
      </c>
    </row>
    <row r="95" spans="1:4" ht="30" x14ac:dyDescent="0.25">
      <c r="A95" s="2">
        <f t="shared" si="1"/>
        <v>92</v>
      </c>
      <c r="B95" s="6" t="s">
        <v>496</v>
      </c>
      <c r="C95" s="6" t="s">
        <v>849</v>
      </c>
      <c r="D95" s="1" t="s">
        <v>1038</v>
      </c>
    </row>
    <row r="96" spans="1:4" ht="30" x14ac:dyDescent="0.25">
      <c r="A96" s="2">
        <f t="shared" si="1"/>
        <v>93</v>
      </c>
      <c r="B96" s="6" t="s">
        <v>540</v>
      </c>
      <c r="C96" s="6" t="s">
        <v>181</v>
      </c>
      <c r="D96" s="1" t="s">
        <v>1122</v>
      </c>
    </row>
    <row r="97" spans="1:4" ht="30" x14ac:dyDescent="0.25">
      <c r="A97" s="2">
        <f t="shared" si="1"/>
        <v>94</v>
      </c>
      <c r="B97" s="6" t="s">
        <v>435</v>
      </c>
      <c r="C97" s="6" t="s">
        <v>872</v>
      </c>
      <c r="D97" s="1" t="s">
        <v>1061</v>
      </c>
    </row>
    <row r="98" spans="1:4" ht="30" x14ac:dyDescent="0.25">
      <c r="A98" s="2">
        <f t="shared" si="1"/>
        <v>95</v>
      </c>
      <c r="B98" s="6" t="s">
        <v>444</v>
      </c>
      <c r="C98" s="6" t="s">
        <v>916</v>
      </c>
      <c r="D98" s="1" t="s">
        <v>1112</v>
      </c>
    </row>
    <row r="99" spans="1:4" ht="30" x14ac:dyDescent="0.25">
      <c r="A99" s="2">
        <f t="shared" si="1"/>
        <v>96</v>
      </c>
      <c r="B99" s="6" t="s">
        <v>503</v>
      </c>
      <c r="C99" s="6" t="s">
        <v>938</v>
      </c>
      <c r="D99" s="1" t="s">
        <v>1124</v>
      </c>
    </row>
    <row r="100" spans="1:4" ht="30" x14ac:dyDescent="0.25">
      <c r="A100" s="2">
        <f t="shared" si="1"/>
        <v>97</v>
      </c>
      <c r="B100" s="6" t="s">
        <v>465</v>
      </c>
      <c r="C100" s="6" t="s">
        <v>818</v>
      </c>
      <c r="D100" s="1" t="s">
        <v>1035</v>
      </c>
    </row>
    <row r="101" spans="1:4" ht="30" x14ac:dyDescent="0.25">
      <c r="A101" s="2">
        <f t="shared" si="1"/>
        <v>98</v>
      </c>
      <c r="B101" s="6" t="s">
        <v>396</v>
      </c>
      <c r="C101" s="6" t="s">
        <v>839</v>
      </c>
      <c r="D101" s="1" t="s">
        <v>1025</v>
      </c>
    </row>
    <row r="102" spans="1:4" ht="45" x14ac:dyDescent="0.25">
      <c r="A102" s="2">
        <f t="shared" si="1"/>
        <v>99</v>
      </c>
      <c r="B102" s="6" t="s">
        <v>423</v>
      </c>
      <c r="C102" s="6" t="s">
        <v>423</v>
      </c>
      <c r="D102" s="1" t="s">
        <v>1169</v>
      </c>
    </row>
    <row r="103" spans="1:4" ht="30" x14ac:dyDescent="0.25">
      <c r="A103" s="2">
        <f t="shared" si="1"/>
        <v>100</v>
      </c>
      <c r="B103" s="6" t="s">
        <v>388</v>
      </c>
      <c r="C103" s="6" t="s">
        <v>911</v>
      </c>
      <c r="D103" s="1" t="s">
        <v>1107</v>
      </c>
    </row>
    <row r="104" spans="1:4" ht="30" x14ac:dyDescent="0.25">
      <c r="A104" s="2">
        <f t="shared" si="1"/>
        <v>101</v>
      </c>
      <c r="B104" s="6" t="s">
        <v>366</v>
      </c>
      <c r="C104" s="6" t="s">
        <v>907</v>
      </c>
      <c r="D104" s="1" t="s">
        <v>1103</v>
      </c>
    </row>
    <row r="105" spans="1:4" ht="30" x14ac:dyDescent="0.25">
      <c r="A105" s="2">
        <f t="shared" si="1"/>
        <v>102</v>
      </c>
      <c r="B105" s="6" t="s">
        <v>445</v>
      </c>
      <c r="C105" s="6" t="s">
        <v>828</v>
      </c>
      <c r="D105" s="1" t="s">
        <v>1012</v>
      </c>
    </row>
    <row r="106" spans="1:4" ht="45" x14ac:dyDescent="0.25">
      <c r="A106" s="2">
        <f t="shared" si="1"/>
        <v>103</v>
      </c>
      <c r="B106" s="6" t="s">
        <v>410</v>
      </c>
      <c r="C106" s="6" t="s">
        <v>793</v>
      </c>
      <c r="D106" s="1" t="s">
        <v>977</v>
      </c>
    </row>
    <row r="107" spans="1:4" ht="30" x14ac:dyDescent="0.25">
      <c r="A107" s="2">
        <f t="shared" si="1"/>
        <v>104</v>
      </c>
      <c r="B107" s="6" t="s">
        <v>430</v>
      </c>
      <c r="C107" s="6" t="s">
        <v>861</v>
      </c>
      <c r="D107" s="1" t="s">
        <v>1051</v>
      </c>
    </row>
    <row r="108" spans="1:4" ht="30" x14ac:dyDescent="0.25">
      <c r="A108" s="2">
        <f t="shared" si="1"/>
        <v>105</v>
      </c>
      <c r="B108" s="6" t="s">
        <v>484</v>
      </c>
      <c r="C108" s="6" t="s">
        <v>851</v>
      </c>
      <c r="D108" s="1" t="s">
        <v>1040</v>
      </c>
    </row>
    <row r="109" spans="1:4" ht="30" x14ac:dyDescent="0.25">
      <c r="A109" s="2">
        <f t="shared" si="1"/>
        <v>106</v>
      </c>
      <c r="B109" s="6" t="s">
        <v>563</v>
      </c>
      <c r="C109" s="6" t="s">
        <v>874</v>
      </c>
      <c r="D109" s="1" t="s">
        <v>1063</v>
      </c>
    </row>
    <row r="110" spans="1:4" ht="45" x14ac:dyDescent="0.25">
      <c r="A110" s="2">
        <f t="shared" si="1"/>
        <v>107</v>
      </c>
      <c r="B110" s="6" t="s">
        <v>490</v>
      </c>
      <c r="C110" s="6" t="s">
        <v>824</v>
      </c>
      <c r="D110" s="1" t="s">
        <v>1008</v>
      </c>
    </row>
    <row r="111" spans="1:4" ht="30" x14ac:dyDescent="0.25">
      <c r="A111" s="2">
        <f t="shared" si="1"/>
        <v>108</v>
      </c>
      <c r="B111" s="6" t="s">
        <v>520</v>
      </c>
      <c r="C111" s="6" t="s">
        <v>931</v>
      </c>
      <c r="D111" s="1" t="s">
        <v>1121</v>
      </c>
    </row>
    <row r="112" spans="1:4" ht="45" x14ac:dyDescent="0.25">
      <c r="A112" s="2">
        <f t="shared" si="1"/>
        <v>109</v>
      </c>
      <c r="B112" s="6" t="s">
        <v>450</v>
      </c>
      <c r="C112" s="6" t="s">
        <v>812</v>
      </c>
      <c r="D112" s="1" t="s">
        <v>996</v>
      </c>
    </row>
    <row r="113" spans="1:4" ht="30" x14ac:dyDescent="0.25">
      <c r="A113" s="2">
        <f t="shared" si="1"/>
        <v>110</v>
      </c>
      <c r="B113" s="6" t="s">
        <v>399</v>
      </c>
      <c r="C113" s="6" t="s">
        <v>796</v>
      </c>
      <c r="D113" s="1" t="s">
        <v>980</v>
      </c>
    </row>
    <row r="114" spans="1:4" ht="30" x14ac:dyDescent="0.25">
      <c r="A114" s="2">
        <f t="shared" si="1"/>
        <v>111</v>
      </c>
      <c r="B114" s="6" t="s">
        <v>377</v>
      </c>
      <c r="C114" s="6" t="s">
        <v>855</v>
      </c>
      <c r="D114" s="1" t="s">
        <v>1045</v>
      </c>
    </row>
    <row r="115" spans="1:4" ht="30" x14ac:dyDescent="0.25">
      <c r="A115" s="2">
        <f t="shared" si="1"/>
        <v>112</v>
      </c>
      <c r="B115" s="6" t="s">
        <v>500</v>
      </c>
      <c r="C115" s="6" t="s">
        <v>859</v>
      </c>
      <c r="D115" s="1" t="s">
        <v>1049</v>
      </c>
    </row>
    <row r="116" spans="1:4" ht="30" x14ac:dyDescent="0.25">
      <c r="A116" s="2">
        <f t="shared" si="1"/>
        <v>113</v>
      </c>
      <c r="B116" s="6" t="s">
        <v>452</v>
      </c>
      <c r="C116" s="6" t="s">
        <v>853</v>
      </c>
      <c r="D116" s="1" t="s">
        <v>1042</v>
      </c>
    </row>
    <row r="117" spans="1:4" ht="45" x14ac:dyDescent="0.25">
      <c r="A117" s="2">
        <f t="shared" si="1"/>
        <v>114</v>
      </c>
      <c r="B117" s="6" t="s">
        <v>459</v>
      </c>
      <c r="C117" s="6" t="s">
        <v>803</v>
      </c>
      <c r="D117" s="1" t="s">
        <v>987</v>
      </c>
    </row>
    <row r="118" spans="1:4" ht="45" x14ac:dyDescent="0.25">
      <c r="A118" s="2">
        <f t="shared" si="1"/>
        <v>115</v>
      </c>
      <c r="B118" s="6" t="s">
        <v>486</v>
      </c>
      <c r="C118" s="6" t="s">
        <v>819</v>
      </c>
      <c r="D118" s="1" t="s">
        <v>1003</v>
      </c>
    </row>
    <row r="119" spans="1:4" ht="30" x14ac:dyDescent="0.25">
      <c r="A119" s="2">
        <f t="shared" si="1"/>
        <v>116</v>
      </c>
      <c r="B119" s="6" t="s">
        <v>394</v>
      </c>
      <c r="C119" s="6" t="s">
        <v>856</v>
      </c>
      <c r="D119" s="1" t="s">
        <v>1046</v>
      </c>
    </row>
    <row r="120" spans="1:4" ht="30" x14ac:dyDescent="0.25">
      <c r="A120" s="2">
        <f t="shared" si="1"/>
        <v>117</v>
      </c>
      <c r="B120" s="6" t="s">
        <v>557</v>
      </c>
      <c r="C120" s="6" t="s">
        <v>883</v>
      </c>
      <c r="D120" s="1" t="s">
        <v>1072</v>
      </c>
    </row>
    <row r="121" spans="1:4" ht="30" x14ac:dyDescent="0.25">
      <c r="A121" s="2">
        <f t="shared" si="1"/>
        <v>118</v>
      </c>
      <c r="B121" s="6" t="s">
        <v>470</v>
      </c>
      <c r="C121" s="6" t="s">
        <v>941</v>
      </c>
      <c r="D121" s="1" t="s">
        <v>1135</v>
      </c>
    </row>
    <row r="122" spans="1:4" ht="30" x14ac:dyDescent="0.25">
      <c r="A122" s="2">
        <f t="shared" si="1"/>
        <v>119</v>
      </c>
      <c r="B122" s="6" t="s">
        <v>319</v>
      </c>
      <c r="C122" s="6" t="s">
        <v>932</v>
      </c>
      <c r="D122" s="1" t="s">
        <v>1131</v>
      </c>
    </row>
    <row r="123" spans="1:4" ht="30" x14ac:dyDescent="0.25">
      <c r="A123" s="2">
        <f t="shared" si="1"/>
        <v>120</v>
      </c>
      <c r="B123" s="6" t="s">
        <v>464</v>
      </c>
      <c r="C123" s="6" t="s">
        <v>470</v>
      </c>
      <c r="D123" s="1" t="s">
        <v>1090</v>
      </c>
    </row>
    <row r="124" spans="1:4" ht="30" x14ac:dyDescent="0.25">
      <c r="A124" s="2">
        <f t="shared" si="1"/>
        <v>121</v>
      </c>
      <c r="B124" s="6" t="s">
        <v>455</v>
      </c>
      <c r="C124" s="6" t="s">
        <v>915</v>
      </c>
      <c r="D124" s="1" t="s">
        <v>1111</v>
      </c>
    </row>
    <row r="125" spans="1:4" ht="45" x14ac:dyDescent="0.25">
      <c r="A125" s="2">
        <f t="shared" si="1"/>
        <v>122</v>
      </c>
      <c r="B125" s="6" t="s">
        <v>442</v>
      </c>
      <c r="C125" s="6" t="s">
        <v>827</v>
      </c>
      <c r="D125" s="1" t="s">
        <v>1011</v>
      </c>
    </row>
    <row r="126" spans="1:4" ht="30" x14ac:dyDescent="0.25">
      <c r="A126" s="2">
        <f t="shared" si="1"/>
        <v>123</v>
      </c>
      <c r="B126" s="6" t="s">
        <v>544</v>
      </c>
      <c r="C126" s="6" t="s">
        <v>841</v>
      </c>
      <c r="D126" s="1" t="s">
        <v>1027</v>
      </c>
    </row>
    <row r="127" spans="1:4" ht="30" x14ac:dyDescent="0.25">
      <c r="A127" s="2">
        <f t="shared" si="1"/>
        <v>124</v>
      </c>
      <c r="B127" s="6" t="s">
        <v>421</v>
      </c>
      <c r="C127" s="6" t="s">
        <v>874</v>
      </c>
      <c r="D127" s="1" t="s">
        <v>1116</v>
      </c>
    </row>
    <row r="128" spans="1:4" ht="30" x14ac:dyDescent="0.25">
      <c r="A128" s="2">
        <f t="shared" si="1"/>
        <v>125</v>
      </c>
      <c r="B128" s="6" t="s">
        <v>480</v>
      </c>
      <c r="C128" s="6" t="s">
        <v>842</v>
      </c>
      <c r="D128" s="1" t="s">
        <v>1028</v>
      </c>
    </row>
    <row r="129" spans="1:4" ht="30" x14ac:dyDescent="0.25">
      <c r="A129" s="2">
        <f t="shared" si="1"/>
        <v>126</v>
      </c>
      <c r="B129" s="6" t="s">
        <v>548</v>
      </c>
      <c r="C129" s="6" t="s">
        <v>927</v>
      </c>
      <c r="D129" s="1" t="s">
        <v>1158</v>
      </c>
    </row>
    <row r="130" spans="1:4" ht="30" x14ac:dyDescent="0.25">
      <c r="A130" s="2">
        <f t="shared" si="1"/>
        <v>127</v>
      </c>
      <c r="B130" s="6" t="s">
        <v>542</v>
      </c>
      <c r="C130" s="6" t="s">
        <v>928</v>
      </c>
      <c r="D130" s="1" t="s">
        <v>1159</v>
      </c>
    </row>
    <row r="131" spans="1:4" ht="30" x14ac:dyDescent="0.25">
      <c r="A131" s="2">
        <f t="shared" si="1"/>
        <v>128</v>
      </c>
      <c r="B131" s="6" t="s">
        <v>387</v>
      </c>
      <c r="C131" s="6" t="s">
        <v>812</v>
      </c>
      <c r="D131" s="1" t="s">
        <v>1173</v>
      </c>
    </row>
    <row r="132" spans="1:4" ht="30" x14ac:dyDescent="0.25">
      <c r="A132" s="2">
        <f t="shared" si="1"/>
        <v>129</v>
      </c>
      <c r="B132" s="6" t="s">
        <v>553</v>
      </c>
      <c r="C132" s="6" t="s">
        <v>868</v>
      </c>
      <c r="D132" s="1" t="s">
        <v>1057</v>
      </c>
    </row>
    <row r="133" spans="1:4" ht="30" x14ac:dyDescent="0.25">
      <c r="A133" s="2">
        <f t="shared" si="1"/>
        <v>130</v>
      </c>
      <c r="B133" s="6" t="s">
        <v>497</v>
      </c>
      <c r="C133" s="6" t="s">
        <v>901</v>
      </c>
      <c r="D133" s="1" t="s">
        <v>1096</v>
      </c>
    </row>
    <row r="134" spans="1:4" ht="30" x14ac:dyDescent="0.25">
      <c r="A134" s="2">
        <f t="shared" ref="A134:A197" si="2">A133+1</f>
        <v>131</v>
      </c>
      <c r="B134" s="6" t="s">
        <v>565</v>
      </c>
      <c r="C134" s="6" t="s">
        <v>819</v>
      </c>
      <c r="D134" s="1" t="s">
        <v>1130</v>
      </c>
    </row>
    <row r="135" spans="1:4" ht="30" x14ac:dyDescent="0.25">
      <c r="A135" s="2">
        <f t="shared" si="2"/>
        <v>132</v>
      </c>
      <c r="B135" s="6" t="s">
        <v>555</v>
      </c>
      <c r="C135" s="6" t="s">
        <v>919</v>
      </c>
      <c r="D135" s="1" t="s">
        <v>1115</v>
      </c>
    </row>
    <row r="136" spans="1:4" ht="30" x14ac:dyDescent="0.25">
      <c r="A136" s="2">
        <f t="shared" si="2"/>
        <v>133</v>
      </c>
      <c r="B136" s="6" t="s">
        <v>483</v>
      </c>
      <c r="C136" s="6" t="s">
        <v>917</v>
      </c>
      <c r="D136" s="1" t="s">
        <v>1113</v>
      </c>
    </row>
    <row r="137" spans="1:4" ht="30" x14ac:dyDescent="0.25">
      <c r="A137" s="2">
        <f t="shared" si="2"/>
        <v>134</v>
      </c>
      <c r="B137" s="6" t="s">
        <v>432</v>
      </c>
      <c r="C137" s="6" t="s">
        <v>961</v>
      </c>
      <c r="D137" s="1" t="s">
        <v>1177</v>
      </c>
    </row>
    <row r="138" spans="1:4" ht="30" x14ac:dyDescent="0.25">
      <c r="A138" s="2">
        <f t="shared" si="2"/>
        <v>135</v>
      </c>
      <c r="B138" s="6" t="s">
        <v>517</v>
      </c>
      <c r="C138" s="6" t="s">
        <v>972</v>
      </c>
      <c r="D138" s="1" t="s">
        <v>1152</v>
      </c>
    </row>
    <row r="139" spans="1:4" ht="30" x14ac:dyDescent="0.25">
      <c r="A139" s="2">
        <f t="shared" si="2"/>
        <v>136</v>
      </c>
      <c r="B139" s="6" t="s">
        <v>379</v>
      </c>
      <c r="C139" s="6" t="s">
        <v>843</v>
      </c>
      <c r="D139" s="1" t="s">
        <v>1029</v>
      </c>
    </row>
    <row r="140" spans="1:4" ht="30" x14ac:dyDescent="0.25">
      <c r="A140" s="2">
        <f t="shared" si="2"/>
        <v>137</v>
      </c>
      <c r="B140" s="6" t="s">
        <v>547</v>
      </c>
      <c r="C140" s="6" t="s">
        <v>850</v>
      </c>
      <c r="D140" s="1" t="s">
        <v>1039</v>
      </c>
    </row>
    <row r="141" spans="1:4" ht="30" x14ac:dyDescent="0.25">
      <c r="A141" s="2">
        <f t="shared" si="2"/>
        <v>138</v>
      </c>
      <c r="B141" s="6" t="s">
        <v>533</v>
      </c>
      <c r="C141" s="6" t="s">
        <v>908</v>
      </c>
      <c r="D141" s="1" t="s">
        <v>1104</v>
      </c>
    </row>
    <row r="142" spans="1:4" ht="30" x14ac:dyDescent="0.25">
      <c r="A142" s="2">
        <f t="shared" si="2"/>
        <v>139</v>
      </c>
      <c r="B142" s="6" t="s">
        <v>397</v>
      </c>
      <c r="C142" s="6" t="s">
        <v>809</v>
      </c>
      <c r="D142" s="1" t="s">
        <v>993</v>
      </c>
    </row>
    <row r="143" spans="1:4" ht="30" x14ac:dyDescent="0.25">
      <c r="A143" s="2">
        <f t="shared" si="2"/>
        <v>140</v>
      </c>
      <c r="B143" s="6" t="s">
        <v>469</v>
      </c>
      <c r="C143" s="6" t="s">
        <v>945</v>
      </c>
      <c r="D143" s="1" t="s">
        <v>1125</v>
      </c>
    </row>
    <row r="144" spans="1:4" ht="30" x14ac:dyDescent="0.25">
      <c r="A144" s="2">
        <f t="shared" si="2"/>
        <v>141</v>
      </c>
      <c r="B144" s="6" t="s">
        <v>456</v>
      </c>
      <c r="C144" s="6" t="s">
        <v>809</v>
      </c>
      <c r="D144" s="1" t="s">
        <v>1044</v>
      </c>
    </row>
    <row r="145" spans="1:4" ht="30" x14ac:dyDescent="0.25">
      <c r="A145" s="2">
        <f t="shared" si="2"/>
        <v>142</v>
      </c>
      <c r="B145" s="6" t="s">
        <v>414</v>
      </c>
      <c r="C145" s="6" t="s">
        <v>943</v>
      </c>
      <c r="D145" s="1" t="s">
        <v>1129</v>
      </c>
    </row>
    <row r="146" spans="1:4" ht="30" x14ac:dyDescent="0.25">
      <c r="A146" s="2">
        <f t="shared" si="2"/>
        <v>143</v>
      </c>
      <c r="B146" s="6" t="s">
        <v>522</v>
      </c>
      <c r="C146" s="6" t="s">
        <v>897</v>
      </c>
      <c r="D146" s="1" t="s">
        <v>1091</v>
      </c>
    </row>
    <row r="147" spans="1:4" ht="30" x14ac:dyDescent="0.25">
      <c r="A147" s="2">
        <f t="shared" si="2"/>
        <v>144</v>
      </c>
      <c r="B147" s="6" t="s">
        <v>404</v>
      </c>
      <c r="C147" s="6" t="s">
        <v>815</v>
      </c>
      <c r="D147" s="1" t="s">
        <v>999</v>
      </c>
    </row>
    <row r="148" spans="1:4" ht="30" x14ac:dyDescent="0.25">
      <c r="A148" s="2">
        <f t="shared" si="2"/>
        <v>145</v>
      </c>
      <c r="B148" s="6" t="s">
        <v>448</v>
      </c>
      <c r="C148" s="6" t="s">
        <v>888</v>
      </c>
      <c r="D148" s="1" t="s">
        <v>1077</v>
      </c>
    </row>
    <row r="149" spans="1:4" ht="30" x14ac:dyDescent="0.25">
      <c r="A149" s="2">
        <f t="shared" si="2"/>
        <v>146</v>
      </c>
      <c r="B149" s="6" t="s">
        <v>429</v>
      </c>
      <c r="C149" s="6" t="s">
        <v>873</v>
      </c>
      <c r="D149" s="1" t="s">
        <v>1062</v>
      </c>
    </row>
    <row r="150" spans="1:4" ht="30" x14ac:dyDescent="0.25">
      <c r="A150" s="2">
        <f t="shared" si="2"/>
        <v>147</v>
      </c>
      <c r="B150" s="6" t="s">
        <v>403</v>
      </c>
      <c r="C150" s="6" t="s">
        <v>899</v>
      </c>
      <c r="D150" s="1" t="s">
        <v>1094</v>
      </c>
    </row>
    <row r="151" spans="1:4" ht="30" x14ac:dyDescent="0.25">
      <c r="A151" s="2">
        <f t="shared" si="2"/>
        <v>148</v>
      </c>
      <c r="B151" s="6" t="s">
        <v>537</v>
      </c>
      <c r="C151" s="6" t="s">
        <v>958</v>
      </c>
      <c r="D151" s="1" t="s">
        <v>1172</v>
      </c>
    </row>
    <row r="152" spans="1:4" ht="30" x14ac:dyDescent="0.25">
      <c r="A152" s="2">
        <f t="shared" si="2"/>
        <v>149</v>
      </c>
      <c r="B152" s="6" t="s">
        <v>367</v>
      </c>
      <c r="C152" s="6" t="s">
        <v>845</v>
      </c>
      <c r="D152" s="1" t="s">
        <v>1031</v>
      </c>
    </row>
    <row r="153" spans="1:4" ht="30" x14ac:dyDescent="0.25">
      <c r="A153" s="2">
        <f t="shared" si="2"/>
        <v>150</v>
      </c>
      <c r="B153" s="6" t="s">
        <v>501</v>
      </c>
      <c r="C153" s="6" t="s">
        <v>965</v>
      </c>
      <c r="D153" s="1" t="s">
        <v>1099</v>
      </c>
    </row>
    <row r="154" spans="1:4" ht="30" x14ac:dyDescent="0.25">
      <c r="A154" s="2">
        <f t="shared" si="2"/>
        <v>151</v>
      </c>
      <c r="B154" s="6" t="s">
        <v>511</v>
      </c>
      <c r="C154" s="6" t="s">
        <v>923</v>
      </c>
      <c r="D154" s="1" t="s">
        <v>1120</v>
      </c>
    </row>
    <row r="155" spans="1:4" ht="30" x14ac:dyDescent="0.25">
      <c r="A155" s="2">
        <f t="shared" si="2"/>
        <v>152</v>
      </c>
      <c r="B155" s="6" t="s">
        <v>516</v>
      </c>
      <c r="C155" s="6" t="s">
        <v>922</v>
      </c>
      <c r="D155" s="1" t="s">
        <v>1119</v>
      </c>
    </row>
    <row r="156" spans="1:4" ht="45" x14ac:dyDescent="0.25">
      <c r="A156" s="2">
        <f t="shared" si="2"/>
        <v>153</v>
      </c>
      <c r="B156" s="6" t="s">
        <v>473</v>
      </c>
      <c r="C156" s="6" t="s">
        <v>821</v>
      </c>
      <c r="D156" s="1" t="s">
        <v>1005</v>
      </c>
    </row>
    <row r="157" spans="1:4" ht="30" x14ac:dyDescent="0.25">
      <c r="A157" s="2">
        <f t="shared" si="2"/>
        <v>154</v>
      </c>
      <c r="B157" s="6" t="s">
        <v>559</v>
      </c>
      <c r="C157" s="6" t="s">
        <v>973</v>
      </c>
      <c r="D157" s="1" t="s">
        <v>1153</v>
      </c>
    </row>
    <row r="158" spans="1:4" ht="45" x14ac:dyDescent="0.25">
      <c r="A158" s="2">
        <f t="shared" si="2"/>
        <v>155</v>
      </c>
      <c r="B158" s="6" t="s">
        <v>551</v>
      </c>
      <c r="C158" s="6" t="s">
        <v>971</v>
      </c>
      <c r="D158" s="1" t="s">
        <v>1171</v>
      </c>
    </row>
    <row r="159" spans="1:4" ht="30" x14ac:dyDescent="0.25">
      <c r="A159" s="2">
        <f t="shared" si="2"/>
        <v>156</v>
      </c>
      <c r="B159" s="6" t="s">
        <v>552</v>
      </c>
      <c r="C159" s="6" t="s">
        <v>933</v>
      </c>
      <c r="D159" s="1" t="s">
        <v>1163</v>
      </c>
    </row>
    <row r="160" spans="1:4" ht="30" x14ac:dyDescent="0.25">
      <c r="A160" s="2">
        <f t="shared" si="2"/>
        <v>157</v>
      </c>
      <c r="B160" s="6" t="s">
        <v>446</v>
      </c>
      <c r="C160" s="6" t="s">
        <v>949</v>
      </c>
      <c r="D160" s="1" t="s">
        <v>1147</v>
      </c>
    </row>
    <row r="161" spans="1:4" ht="30" x14ac:dyDescent="0.25">
      <c r="A161" s="2">
        <f t="shared" si="2"/>
        <v>158</v>
      </c>
      <c r="B161" s="6" t="s">
        <v>466</v>
      </c>
      <c r="C161" s="6" t="s">
        <v>838</v>
      </c>
      <c r="D161" s="1" t="s">
        <v>1024</v>
      </c>
    </row>
    <row r="162" spans="1:4" ht="30" x14ac:dyDescent="0.25">
      <c r="A162" s="2">
        <f t="shared" si="2"/>
        <v>159</v>
      </c>
      <c r="B162" s="6" t="s">
        <v>530</v>
      </c>
      <c r="C162" s="6" t="s">
        <v>942</v>
      </c>
      <c r="D162" s="1" t="s">
        <v>1139</v>
      </c>
    </row>
    <row r="163" spans="1:4" ht="30" x14ac:dyDescent="0.25">
      <c r="A163" s="2">
        <f t="shared" si="2"/>
        <v>160</v>
      </c>
      <c r="B163" s="6" t="s">
        <v>381</v>
      </c>
      <c r="C163" s="6" t="s">
        <v>968</v>
      </c>
      <c r="D163" s="1" t="s">
        <v>1138</v>
      </c>
    </row>
    <row r="164" spans="1:4" ht="30" x14ac:dyDescent="0.25">
      <c r="A164" s="2">
        <f t="shared" si="2"/>
        <v>161</v>
      </c>
      <c r="B164" s="6" t="s">
        <v>375</v>
      </c>
      <c r="C164" s="6" t="s">
        <v>955</v>
      </c>
      <c r="D164" s="1" t="s">
        <v>1128</v>
      </c>
    </row>
    <row r="165" spans="1:4" ht="30" x14ac:dyDescent="0.25">
      <c r="A165" s="2">
        <f t="shared" si="2"/>
        <v>162</v>
      </c>
      <c r="B165" s="6" t="s">
        <v>524</v>
      </c>
      <c r="C165" s="6" t="s">
        <v>833</v>
      </c>
      <c r="D165" s="1" t="s">
        <v>1017</v>
      </c>
    </row>
    <row r="166" spans="1:4" ht="45" x14ac:dyDescent="0.25">
      <c r="A166" s="2">
        <f t="shared" si="2"/>
        <v>163</v>
      </c>
      <c r="B166" s="6" t="s">
        <v>534</v>
      </c>
      <c r="C166" s="6" t="s">
        <v>818</v>
      </c>
      <c r="D166" s="1" t="s">
        <v>1002</v>
      </c>
    </row>
    <row r="167" spans="1:4" ht="30" x14ac:dyDescent="0.25">
      <c r="A167" s="2">
        <f t="shared" si="2"/>
        <v>164</v>
      </c>
      <c r="B167" s="6" t="s">
        <v>461</v>
      </c>
      <c r="C167" s="6" t="s">
        <v>818</v>
      </c>
      <c r="D167" s="1" t="s">
        <v>1154</v>
      </c>
    </row>
    <row r="168" spans="1:4" ht="45" x14ac:dyDescent="0.25">
      <c r="A168" s="2">
        <f t="shared" si="2"/>
        <v>165</v>
      </c>
      <c r="B168" s="6" t="s">
        <v>376</v>
      </c>
      <c r="C168" s="6" t="s">
        <v>792</v>
      </c>
      <c r="D168" s="1" t="s">
        <v>976</v>
      </c>
    </row>
    <row r="169" spans="1:4" ht="30" x14ac:dyDescent="0.25">
      <c r="A169" s="2">
        <f t="shared" si="2"/>
        <v>166</v>
      </c>
      <c r="B169" s="6" t="s">
        <v>521</v>
      </c>
      <c r="C169" s="6" t="s">
        <v>895</v>
      </c>
      <c r="D169" s="1" t="s">
        <v>1133</v>
      </c>
    </row>
    <row r="170" spans="1:4" ht="30" x14ac:dyDescent="0.25">
      <c r="A170" s="2">
        <f t="shared" si="2"/>
        <v>167</v>
      </c>
      <c r="B170" s="6" t="s">
        <v>418</v>
      </c>
      <c r="C170" s="6" t="s">
        <v>939</v>
      </c>
      <c r="D170" s="1" t="s">
        <v>1134</v>
      </c>
    </row>
    <row r="171" spans="1:4" ht="30" x14ac:dyDescent="0.25">
      <c r="A171" s="2">
        <f t="shared" si="2"/>
        <v>168</v>
      </c>
      <c r="B171" s="6" t="s">
        <v>365</v>
      </c>
      <c r="C171" s="6" t="s">
        <v>795</v>
      </c>
      <c r="D171" s="1" t="s">
        <v>1022</v>
      </c>
    </row>
    <row r="172" spans="1:4" ht="30" x14ac:dyDescent="0.25">
      <c r="A172" s="2">
        <f t="shared" si="2"/>
        <v>169</v>
      </c>
      <c r="B172" s="6" t="s">
        <v>562</v>
      </c>
      <c r="C172" s="6" t="s">
        <v>816</v>
      </c>
      <c r="D172" s="1" t="s">
        <v>1000</v>
      </c>
    </row>
    <row r="173" spans="1:4" ht="45" x14ac:dyDescent="0.25">
      <c r="A173" s="2">
        <f t="shared" si="2"/>
        <v>170</v>
      </c>
      <c r="B173" s="6" t="s">
        <v>485</v>
      </c>
      <c r="C173" s="6" t="s">
        <v>890</v>
      </c>
      <c r="D173" s="1" t="s">
        <v>1081</v>
      </c>
    </row>
    <row r="174" spans="1:4" ht="30" x14ac:dyDescent="0.25">
      <c r="A174" s="2">
        <f t="shared" si="2"/>
        <v>171</v>
      </c>
      <c r="B174" s="6" t="s">
        <v>550</v>
      </c>
      <c r="C174" s="6" t="s">
        <v>964</v>
      </c>
      <c r="D174" s="1" t="s">
        <v>1080</v>
      </c>
    </row>
    <row r="175" spans="1:4" ht="30" x14ac:dyDescent="0.25">
      <c r="A175" s="2">
        <f t="shared" si="2"/>
        <v>172</v>
      </c>
      <c r="B175" s="6" t="s">
        <v>449</v>
      </c>
      <c r="C175" s="6" t="s">
        <v>929</v>
      </c>
      <c r="D175" s="1" t="s">
        <v>1161</v>
      </c>
    </row>
    <row r="176" spans="1:4" ht="45" x14ac:dyDescent="0.25">
      <c r="A176" s="2">
        <f t="shared" si="2"/>
        <v>173</v>
      </c>
      <c r="B176" s="6" t="s">
        <v>549</v>
      </c>
      <c r="C176" s="6" t="s">
        <v>813</v>
      </c>
      <c r="D176" s="1" t="s">
        <v>997</v>
      </c>
    </row>
    <row r="177" spans="1:4" ht="30" x14ac:dyDescent="0.25">
      <c r="A177" s="2">
        <f t="shared" si="2"/>
        <v>174</v>
      </c>
      <c r="B177" s="6" t="s">
        <v>512</v>
      </c>
      <c r="C177" s="6" t="s">
        <v>869</v>
      </c>
      <c r="D177" s="1" t="s">
        <v>1058</v>
      </c>
    </row>
    <row r="178" spans="1:4" ht="30" x14ac:dyDescent="0.25">
      <c r="A178" s="2">
        <f t="shared" si="2"/>
        <v>175</v>
      </c>
      <c r="B178" s="6" t="s">
        <v>401</v>
      </c>
      <c r="C178" s="6" t="s">
        <v>934</v>
      </c>
      <c r="D178" s="1" t="s">
        <v>1164</v>
      </c>
    </row>
    <row r="179" spans="1:4" ht="30" x14ac:dyDescent="0.25">
      <c r="A179" s="2">
        <f t="shared" si="2"/>
        <v>176</v>
      </c>
      <c r="B179" s="6" t="s">
        <v>378</v>
      </c>
      <c r="C179" s="6" t="s">
        <v>956</v>
      </c>
      <c r="D179" s="1" t="s">
        <v>1151</v>
      </c>
    </row>
    <row r="180" spans="1:4" ht="30" x14ac:dyDescent="0.25">
      <c r="A180" s="2">
        <f t="shared" si="2"/>
        <v>177</v>
      </c>
      <c r="B180" s="6" t="s">
        <v>479</v>
      </c>
      <c r="C180" s="6" t="s">
        <v>930</v>
      </c>
      <c r="D180" s="1" t="s">
        <v>1162</v>
      </c>
    </row>
    <row r="181" spans="1:4" ht="30" x14ac:dyDescent="0.25">
      <c r="A181" s="2">
        <f t="shared" si="2"/>
        <v>178</v>
      </c>
      <c r="B181" s="6" t="s">
        <v>458</v>
      </c>
      <c r="C181" s="6" t="s">
        <v>807</v>
      </c>
      <c r="D181" s="1" t="s">
        <v>991</v>
      </c>
    </row>
    <row r="182" spans="1:4" ht="30" x14ac:dyDescent="0.25">
      <c r="A182" s="2">
        <f t="shared" si="2"/>
        <v>179</v>
      </c>
      <c r="B182" s="6" t="s">
        <v>472</v>
      </c>
      <c r="C182" s="6" t="s">
        <v>860</v>
      </c>
      <c r="D182" s="1" t="s">
        <v>1050</v>
      </c>
    </row>
    <row r="183" spans="1:4" ht="30" x14ac:dyDescent="0.25">
      <c r="A183" s="2">
        <f t="shared" si="2"/>
        <v>180</v>
      </c>
      <c r="B183" s="6" t="s">
        <v>561</v>
      </c>
      <c r="C183" s="6" t="s">
        <v>808</v>
      </c>
      <c r="D183" s="1" t="s">
        <v>992</v>
      </c>
    </row>
    <row r="184" spans="1:4" ht="45" x14ac:dyDescent="0.25">
      <c r="A184" s="2">
        <f t="shared" si="2"/>
        <v>181</v>
      </c>
      <c r="B184" s="6" t="s">
        <v>525</v>
      </c>
      <c r="C184" s="6" t="s">
        <v>832</v>
      </c>
      <c r="D184" s="1" t="s">
        <v>1016</v>
      </c>
    </row>
    <row r="185" spans="1:4" ht="30" x14ac:dyDescent="0.25">
      <c r="A185" s="2">
        <f t="shared" si="2"/>
        <v>182</v>
      </c>
      <c r="B185" s="6" t="s">
        <v>481</v>
      </c>
      <c r="C185" s="6" t="s">
        <v>794</v>
      </c>
      <c r="D185" s="1" t="s">
        <v>1023</v>
      </c>
    </row>
    <row r="186" spans="1:4" ht="45" x14ac:dyDescent="0.25">
      <c r="A186" s="2">
        <f t="shared" si="2"/>
        <v>183</v>
      </c>
      <c r="B186" s="6" t="s">
        <v>383</v>
      </c>
      <c r="C186" s="6" t="s">
        <v>794</v>
      </c>
      <c r="D186" s="1" t="s">
        <v>978</v>
      </c>
    </row>
    <row r="187" spans="1:4" ht="30" x14ac:dyDescent="0.25">
      <c r="A187" s="2">
        <f t="shared" si="2"/>
        <v>184</v>
      </c>
      <c r="B187" s="6" t="s">
        <v>506</v>
      </c>
      <c r="C187" s="6" t="s">
        <v>858</v>
      </c>
      <c r="D187" s="1" t="s">
        <v>1048</v>
      </c>
    </row>
    <row r="188" spans="1:4" ht="45" x14ac:dyDescent="0.25">
      <c r="A188" s="2">
        <f t="shared" si="2"/>
        <v>185</v>
      </c>
      <c r="B188" s="6" t="s">
        <v>487</v>
      </c>
      <c r="C188" s="6" t="s">
        <v>970</v>
      </c>
      <c r="D188" s="1" t="s">
        <v>1145</v>
      </c>
    </row>
    <row r="189" spans="1:4" ht="30" x14ac:dyDescent="0.25">
      <c r="A189" s="2">
        <f t="shared" si="2"/>
        <v>186</v>
      </c>
      <c r="B189" s="6" t="s">
        <v>437</v>
      </c>
      <c r="C189" s="6" t="s">
        <v>875</v>
      </c>
      <c r="D189" s="1" t="s">
        <v>1064</v>
      </c>
    </row>
    <row r="190" spans="1:4" ht="30" x14ac:dyDescent="0.25">
      <c r="A190" s="2">
        <f t="shared" si="2"/>
        <v>187</v>
      </c>
      <c r="B190" s="6" t="s">
        <v>546</v>
      </c>
      <c r="C190" s="6" t="s">
        <v>857</v>
      </c>
      <c r="D190" s="1" t="s">
        <v>1047</v>
      </c>
    </row>
    <row r="191" spans="1:4" ht="30" x14ac:dyDescent="0.25">
      <c r="A191" s="2">
        <f t="shared" si="2"/>
        <v>188</v>
      </c>
      <c r="B191" s="6" t="s">
        <v>411</v>
      </c>
      <c r="C191" s="6" t="s">
        <v>918</v>
      </c>
      <c r="D191" s="1" t="s">
        <v>1114</v>
      </c>
    </row>
    <row r="192" spans="1:4" ht="45" x14ac:dyDescent="0.25">
      <c r="A192" s="2">
        <f t="shared" si="2"/>
        <v>189</v>
      </c>
      <c r="B192" s="6" t="s">
        <v>447</v>
      </c>
      <c r="C192" s="6" t="s">
        <v>944</v>
      </c>
      <c r="D192" s="1" t="s">
        <v>1141</v>
      </c>
    </row>
    <row r="193" spans="1:4" ht="45" x14ac:dyDescent="0.25">
      <c r="A193" s="2">
        <f t="shared" si="2"/>
        <v>190</v>
      </c>
      <c r="B193" s="6" t="s">
        <v>457</v>
      </c>
      <c r="C193" s="6" t="s">
        <v>810</v>
      </c>
      <c r="D193" s="1" t="s">
        <v>994</v>
      </c>
    </row>
    <row r="194" spans="1:4" ht="45" x14ac:dyDescent="0.25">
      <c r="A194" s="2">
        <f t="shared" si="2"/>
        <v>191</v>
      </c>
      <c r="B194" s="6" t="s">
        <v>518</v>
      </c>
      <c r="C194" s="6" t="s">
        <v>829</v>
      </c>
      <c r="D194" s="1" t="s">
        <v>1013</v>
      </c>
    </row>
    <row r="195" spans="1:4" ht="30" x14ac:dyDescent="0.25">
      <c r="A195" s="2">
        <f t="shared" si="2"/>
        <v>192</v>
      </c>
      <c r="B195" s="6" t="s">
        <v>317</v>
      </c>
      <c r="C195" s="6" t="s">
        <v>910</v>
      </c>
      <c r="D195" s="1" t="s">
        <v>1106</v>
      </c>
    </row>
    <row r="196" spans="1:4" ht="30" x14ac:dyDescent="0.25">
      <c r="A196" s="2">
        <f t="shared" si="2"/>
        <v>193</v>
      </c>
      <c r="B196" s="6" t="s">
        <v>529</v>
      </c>
      <c r="C196" s="6" t="s">
        <v>803</v>
      </c>
      <c r="D196" s="1" t="s">
        <v>1037</v>
      </c>
    </row>
    <row r="197" spans="1:4" ht="30" x14ac:dyDescent="0.25">
      <c r="A197" s="2">
        <f t="shared" si="2"/>
        <v>194</v>
      </c>
      <c r="B197" s="6" t="s">
        <v>426</v>
      </c>
      <c r="C197" s="6" t="s">
        <v>881</v>
      </c>
      <c r="D197" s="1" t="s">
        <v>1070</v>
      </c>
    </row>
    <row r="198" spans="1:4" ht="45" x14ac:dyDescent="0.25">
      <c r="A198" s="2">
        <f t="shared" ref="A198:A209" si="3">A197+1</f>
        <v>195</v>
      </c>
      <c r="B198" s="6" t="s">
        <v>494</v>
      </c>
      <c r="C198" s="6" t="s">
        <v>811</v>
      </c>
      <c r="D198" s="1" t="s">
        <v>995</v>
      </c>
    </row>
    <row r="199" spans="1:4" ht="45" x14ac:dyDescent="0.25">
      <c r="A199" s="2">
        <f t="shared" si="3"/>
        <v>196</v>
      </c>
      <c r="B199" s="6" t="s">
        <v>374</v>
      </c>
      <c r="C199" s="6" t="s">
        <v>948</v>
      </c>
      <c r="D199" s="1" t="s">
        <v>1146</v>
      </c>
    </row>
    <row r="200" spans="1:4" ht="45" x14ac:dyDescent="0.25">
      <c r="A200" s="2">
        <f t="shared" si="3"/>
        <v>197</v>
      </c>
      <c r="B200" s="6" t="s">
        <v>513</v>
      </c>
      <c r="C200" s="6" t="s">
        <v>959</v>
      </c>
      <c r="D200" s="1" t="s">
        <v>1174</v>
      </c>
    </row>
    <row r="201" spans="1:4" ht="30" x14ac:dyDescent="0.25">
      <c r="A201" s="2">
        <f t="shared" si="3"/>
        <v>198</v>
      </c>
      <c r="B201" s="6" t="s">
        <v>380</v>
      </c>
      <c r="C201" s="6" t="s">
        <v>864</v>
      </c>
      <c r="D201" s="1" t="s">
        <v>1053</v>
      </c>
    </row>
    <row r="202" spans="1:4" ht="30" x14ac:dyDescent="0.25">
      <c r="A202" s="2">
        <f t="shared" si="3"/>
        <v>199</v>
      </c>
      <c r="B202" s="6" t="s">
        <v>390</v>
      </c>
      <c r="C202" s="6" t="s">
        <v>862</v>
      </c>
      <c r="D202" s="1" t="s">
        <v>1052</v>
      </c>
    </row>
    <row r="203" spans="1:4" ht="30" x14ac:dyDescent="0.25">
      <c r="A203" s="2">
        <f t="shared" si="3"/>
        <v>200</v>
      </c>
      <c r="B203" s="6" t="s">
        <v>413</v>
      </c>
      <c r="C203" s="6" t="s">
        <v>840</v>
      </c>
      <c r="D203" s="1" t="s">
        <v>1026</v>
      </c>
    </row>
    <row r="204" spans="1:4" ht="30" x14ac:dyDescent="0.25">
      <c r="A204" s="2">
        <f t="shared" si="3"/>
        <v>201</v>
      </c>
      <c r="B204" s="6" t="s">
        <v>409</v>
      </c>
      <c r="C204" s="6" t="s">
        <v>805</v>
      </c>
      <c r="D204" s="1" t="s">
        <v>989</v>
      </c>
    </row>
    <row r="205" spans="1:4" ht="30" x14ac:dyDescent="0.25">
      <c r="A205" s="2">
        <f t="shared" si="3"/>
        <v>202</v>
      </c>
      <c r="B205" s="6" t="s">
        <v>478</v>
      </c>
      <c r="C205" s="6" t="s">
        <v>854</v>
      </c>
      <c r="D205" s="1" t="s">
        <v>1043</v>
      </c>
    </row>
    <row r="206" spans="1:4" ht="30" x14ac:dyDescent="0.25">
      <c r="A206" s="2">
        <f t="shared" si="3"/>
        <v>203</v>
      </c>
      <c r="B206" s="6" t="s">
        <v>453</v>
      </c>
      <c r="C206" s="6" t="s">
        <v>852</v>
      </c>
      <c r="D206" s="1" t="s">
        <v>1041</v>
      </c>
    </row>
    <row r="207" spans="1:4" ht="45" x14ac:dyDescent="0.25">
      <c r="A207" s="2">
        <f t="shared" si="3"/>
        <v>204</v>
      </c>
      <c r="B207" s="6" t="s">
        <v>523</v>
      </c>
      <c r="C207" s="6" t="s">
        <v>822</v>
      </c>
      <c r="D207" s="1" t="s">
        <v>1006</v>
      </c>
    </row>
    <row r="208" spans="1:4" ht="30" x14ac:dyDescent="0.25">
      <c r="A208" s="2">
        <f t="shared" si="3"/>
        <v>205</v>
      </c>
      <c r="B208" s="6" t="s">
        <v>402</v>
      </c>
      <c r="C208" s="6" t="s">
        <v>920</v>
      </c>
      <c r="D208" s="1" t="s">
        <v>1117</v>
      </c>
    </row>
    <row r="209" spans="1:4" ht="45" x14ac:dyDescent="0.25">
      <c r="A209" s="2">
        <f t="shared" si="3"/>
        <v>206</v>
      </c>
      <c r="B209" s="6" t="s">
        <v>536</v>
      </c>
      <c r="C209" s="6" t="s">
        <v>952</v>
      </c>
      <c r="D209" s="1" t="s">
        <v>1166</v>
      </c>
    </row>
  </sheetData>
  <mergeCells count="1">
    <mergeCell ref="A2:D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69"/>
  <sheetViews>
    <sheetView zoomScaleNormal="100" workbookViewId="0">
      <selection activeCell="A3" sqref="A3"/>
    </sheetView>
  </sheetViews>
  <sheetFormatPr defaultRowHeight="15" x14ac:dyDescent="0.25"/>
  <cols>
    <col min="1" max="1" width="11" style="11" customWidth="1"/>
    <col min="2" max="2" width="46.28515625" bestFit="1" customWidth="1"/>
    <col min="3" max="3" width="46.28515625" customWidth="1"/>
    <col min="4" max="4" width="24.5703125" customWidth="1"/>
    <col min="5" max="5" width="25" bestFit="1" customWidth="1"/>
    <col min="6" max="6" width="88.5703125" bestFit="1" customWidth="1"/>
    <col min="7" max="7" width="30.85546875" customWidth="1"/>
  </cols>
  <sheetData>
    <row r="1" spans="1:7" ht="48" customHeight="1" x14ac:dyDescent="0.25"/>
    <row r="2" spans="1:7" x14ac:dyDescent="0.25">
      <c r="A2" s="33" t="s">
        <v>1326</v>
      </c>
      <c r="B2" s="34"/>
      <c r="C2" s="34"/>
      <c r="D2" s="34"/>
      <c r="E2" s="34"/>
      <c r="F2" s="34"/>
      <c r="G2" s="34"/>
    </row>
    <row r="3" spans="1:7" x14ac:dyDescent="0.25">
      <c r="A3" s="11" t="s">
        <v>1179</v>
      </c>
      <c r="B3" s="4" t="s">
        <v>729</v>
      </c>
      <c r="C3" t="s">
        <v>1180</v>
      </c>
      <c r="D3" s="4" t="s">
        <v>1182</v>
      </c>
      <c r="E3" t="s">
        <v>1245</v>
      </c>
      <c r="F3" t="s">
        <v>790</v>
      </c>
      <c r="G3" t="s">
        <v>1181</v>
      </c>
    </row>
    <row r="4" spans="1:7" s="6" customFormat="1" ht="180" x14ac:dyDescent="0.25">
      <c r="A4" s="2">
        <v>1</v>
      </c>
      <c r="B4" s="1" t="str">
        <f>'Thematic Analysis'!$E7</f>
        <v>Accuracy of Reporting
Duplication</v>
      </c>
      <c r="C4" s="1" t="str">
        <f>'Thematic Analysis'!$G7</f>
        <v>Data Security, Quality and Privacy
Resource Management and Utilization</v>
      </c>
      <c r="D4" s="1" t="str">
        <f>'Thematic Analysis'!$F7</f>
        <v>Precise reports
Streamlined processes</v>
      </c>
      <c r="E4" s="1" t="s">
        <v>1327</v>
      </c>
      <c r="F4" s="1" t="s">
        <v>1328</v>
      </c>
      <c r="G4" s="1" t="str">
        <f>'Thematic Analysis'!$D7</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5" spans="1:7" s="6" customFormat="1" ht="120" x14ac:dyDescent="0.25">
      <c r="A5" s="2">
        <f>A4+1</f>
        <v>2</v>
      </c>
      <c r="B5" s="1" t="str">
        <f>'Thematic Analysis'!$E8</f>
        <v>Disparate systems</v>
      </c>
      <c r="C5" s="1" t="str">
        <f>'Thematic Analysis'!$G8</f>
        <v>Operational Effectiveness and Efficiency</v>
      </c>
      <c r="D5" s="1" t="str">
        <f>'Thematic Analysis'!$F8</f>
        <v>Unified platform</v>
      </c>
      <c r="E5" s="1" t="s">
        <v>910</v>
      </c>
      <c r="F5" s="1" t="s">
        <v>1106</v>
      </c>
      <c r="G5" s="1" t="str">
        <f>'Thematic Analysis'!$D8</f>
        <v>Because of all this, it's hard to share patient info and coordinate care properly. Managers struggle to get accurate info on how well the systems are doing. And keeping them running costs a lot of money.</v>
      </c>
    </row>
    <row r="6" spans="1:7" s="6" customFormat="1" ht="150" x14ac:dyDescent="0.25">
      <c r="A6" s="2">
        <f t="shared" ref="A6:A69" si="0">A5+1</f>
        <v>3</v>
      </c>
      <c r="B6" s="1" t="str">
        <f>'Thematic Analysis'!$E9</f>
        <v>Outdated infrastructure</v>
      </c>
      <c r="C6" s="1" t="str">
        <f>'Thematic Analysis'!$G9</f>
        <v>Infrastructure and Hardware Management</v>
      </c>
      <c r="D6" s="1" t="str">
        <f>'Thematic Analysis'!$F9</f>
        <v>Modernization</v>
      </c>
      <c r="E6" s="1" t="s">
        <v>907</v>
      </c>
      <c r="F6" s="1" t="s">
        <v>1103</v>
      </c>
      <c r="G6" s="1" t="str">
        <f>'Thematic Analysis'!$D9</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7" spans="1:7" s="6" customFormat="1" ht="165" x14ac:dyDescent="0.25">
      <c r="A7" s="2">
        <f t="shared" si="0"/>
        <v>4</v>
      </c>
      <c r="B7" s="1" t="str">
        <f>'Thematic Analysis'!$E10</f>
        <v>Fragmentation
Outdated systems
Compatibility</v>
      </c>
      <c r="C7" s="1" t="str">
        <f>'Thematic Analysis'!$G10</f>
        <v>Compliance and Governance
System and Technology Improvement
Standardization and Streamlining Processes</v>
      </c>
      <c r="D7" s="1" t="str">
        <f>'Thematic Analysis'!$F10</f>
        <v>Centralized management
Upgrades
Standard protocols</v>
      </c>
      <c r="E7" s="1" t="s">
        <v>1183</v>
      </c>
      <c r="F7" s="1" t="s">
        <v>1246</v>
      </c>
      <c r="G7" s="1" t="str">
        <f>'Thematic Analysis'!$D10</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8" spans="1:7" s="6" customFormat="1" ht="120" x14ac:dyDescent="0.25">
      <c r="A8" s="2">
        <f t="shared" si="0"/>
        <v>5</v>
      </c>
      <c r="B8" s="1" t="str">
        <f>'Thematic Analysis'!$E11</f>
        <v>Alignment
Effectiveness
Integration
Sustainability
Compliance</v>
      </c>
      <c r="C8" s="1" t="str">
        <f>'Thematic Analysis'!$G11</f>
        <v>Business Alignment
Consumer Experience and Support
System Deployment and Integration
Policy and Organizational Reform
Compliance and Governance</v>
      </c>
      <c r="D8" s="1" t="str">
        <f>'Thematic Analysis'!$F11</f>
        <v>Strategic fit
Performance review
System unification
Green practices
Regulatory adherence</v>
      </c>
      <c r="E8" s="1" t="s">
        <v>1184</v>
      </c>
      <c r="F8" s="1" t="s">
        <v>1247</v>
      </c>
      <c r="G8" s="1" t="str">
        <f>'Thematic Analysis'!$D11</f>
        <v>Clinical Systems Strategy
Corporate Systems Strategy
Business Information Strategy
Sustainable Infrastructure Strategy
Whole of Government ICT Strategic Directions</v>
      </c>
    </row>
    <row r="9" spans="1:7" s="6" customFormat="1" ht="90" x14ac:dyDescent="0.25">
      <c r="A9" s="2">
        <f t="shared" si="0"/>
        <v>6</v>
      </c>
      <c r="B9" s="1" t="str">
        <f>'Thematic Analysis'!$E12</f>
        <v>Access to information
Consistency
Predictability</v>
      </c>
      <c r="C9" s="1" t="str">
        <f>'Thematic Analysis'!$G12</f>
        <v>Data and Information Management
Standardization and Streamlining Processes
Strategic Planning and Development</v>
      </c>
      <c r="D9" s="1" t="str">
        <f>'Thematic Analysis'!$F12</f>
        <v>User portals
Standard procedures
Forecasting models</v>
      </c>
      <c r="E9" s="1" t="s">
        <v>1185</v>
      </c>
      <c r="F9" s="1" t="s">
        <v>1248</v>
      </c>
      <c r="G9" s="1" t="str">
        <f>'Thematic Analysis'!$D12</f>
        <v>They're making care safer and better by giving clinicians the info they need and setting up systems for consistent, predictable processes across the state.</v>
      </c>
    </row>
    <row r="10" spans="1:7" s="6" customFormat="1" ht="135" x14ac:dyDescent="0.25">
      <c r="A10" s="2">
        <f t="shared" si="0"/>
        <v>7</v>
      </c>
      <c r="B10" s="1" t="str">
        <f>'Thematic Analysis'!$E13</f>
        <v>Collaboration
Interoperability
Information flow</v>
      </c>
      <c r="C10" s="1" t="str">
        <f>'Thematic Analysis'!$G13</f>
        <v>Collaboration and Communication
System Deployment and Integration
Infrastructure and Hardware Management</v>
      </c>
      <c r="D10" s="1" t="str">
        <f>'Thematic Analysis'!$F13</f>
        <v>Teamwork tools
API integration
Data pipelines</v>
      </c>
      <c r="E10" s="1" t="s">
        <v>1186</v>
      </c>
      <c r="F10" s="1" t="s">
        <v>1249</v>
      </c>
      <c r="G10" s="1" t="str">
        <f>'Thematic Analysis'!$D13</f>
        <v>They're improving teamwork among health agencies in NSW, as well as with private companies and nationally, so everyone can work together better. This means info flows more smoothly, helping patients and making things more efficient.</v>
      </c>
    </row>
    <row r="11" spans="1:7" s="6" customFormat="1" ht="165" x14ac:dyDescent="0.25">
      <c r="A11" s="2">
        <f t="shared" si="0"/>
        <v>8</v>
      </c>
      <c r="B11" s="1" t="str">
        <f>'Thematic Analysis'!$E14</f>
        <v>Efficient structures
System deployment &amp; Integration
Sustainability
Minimizing impact
Streamlined training processes</v>
      </c>
      <c r="C11" s="1" t="str">
        <f>'Thematic Analysis'!$G14</f>
        <v>Program and Project Management
System Deployment and Integration
Policy and Organizational Reform
Operational Effectiveness and Efficiency
Employee Training and Development</v>
      </c>
      <c r="D11" s="1" t="str">
        <f>'Thematic Analysis'!$F14</f>
        <v>Lean management
Project management
Green practices
Mitigation strategies
E-learning</v>
      </c>
      <c r="E11" s="1" t="s">
        <v>1187</v>
      </c>
      <c r="F11" s="1" t="s">
        <v>1250</v>
      </c>
      <c r="G11" s="1" t="str">
        <f>'Thematic Analysis'!$D14</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2" spans="1:7" s="6" customFormat="1" ht="330" x14ac:dyDescent="0.25">
      <c r="A12" s="2">
        <f t="shared" si="0"/>
        <v>9</v>
      </c>
      <c r="B12" s="1" t="str">
        <f>'Thematic Analysis'!$E15</f>
        <v>Support for users
Alignment with initiatives
Cost savings</v>
      </c>
      <c r="C12" s="1" t="str">
        <f>'Thematic Analysis'!$G15</f>
        <v>Consumer Experience and Support
Business Alignment
Financial Management and Budgeting</v>
      </c>
      <c r="D12" s="1" t="str">
        <f>'Thematic Analysis'!$F15</f>
        <v>User training
Goal alignment
Expense reduction</v>
      </c>
      <c r="E12" s="1" t="s">
        <v>1188</v>
      </c>
      <c r="F12" s="1" t="s">
        <v>1251</v>
      </c>
      <c r="G12" s="1" t="str">
        <f>'Thematic Analysis'!$D15</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3" spans="1:7" s="6" customFormat="1" ht="210" x14ac:dyDescent="0.25">
      <c r="A13" s="2">
        <f t="shared" si="0"/>
        <v>10</v>
      </c>
      <c r="B13" s="1" t="str">
        <f>'Thematic Analysis'!$E16</f>
        <v>ICT Alignment
Governance
Investment plans
Business strategy</v>
      </c>
      <c r="C13" s="1" t="str">
        <f>'Thematic Analysis'!$G16</f>
        <v>Business Alignment
Consumer Experience and Support
Financial Management and Budgeting
Compliance and Governance</v>
      </c>
      <c r="D13" s="1" t="str">
        <f>'Thematic Analysis'!$F16</f>
        <v>IT strategy
Policy framework
Capital allocation
Market analysis</v>
      </c>
      <c r="E13" s="1" t="s">
        <v>1189</v>
      </c>
      <c r="F13" s="1" t="s">
        <v>1252</v>
      </c>
      <c r="G13" s="1" t="str">
        <f>'Thematic Analysis'!$D16</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4" spans="1:7" s="6" customFormat="1" ht="390" x14ac:dyDescent="0.25">
      <c r="A14" s="2">
        <f t="shared" si="0"/>
        <v>11</v>
      </c>
      <c r="B14" s="1" t="str">
        <f>'Thematic Analysis'!$E17</f>
        <v>ICT Alignment
Risk Identification
Dependency</v>
      </c>
      <c r="C14" s="1" t="str">
        <f>'Thematic Analysis'!$G17</f>
        <v>Business Alignment
Risk Identification and Management
System Deployment and Integration</v>
      </c>
      <c r="D14" s="1" t="str">
        <f>'Thematic Analysis'!$F17</f>
        <v>IT strategy
Risk assessment
Contingency planning</v>
      </c>
      <c r="E14" s="1" t="s">
        <v>1190</v>
      </c>
      <c r="F14" s="1" t="s">
        <v>1253</v>
      </c>
      <c r="G14" s="1" t="str">
        <f>'Thematic Analysis'!$D17</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5" spans="1:7" s="6" customFormat="1" ht="255" x14ac:dyDescent="0.25">
      <c r="A15" s="2">
        <f t="shared" si="0"/>
        <v>12</v>
      </c>
      <c r="B15" s="1" t="str">
        <f>'Thematic Analysis'!$E18</f>
        <v>Evaluation criteria</v>
      </c>
      <c r="C15" s="1" t="str">
        <f>'Thematic Analysis'!$G18</f>
        <v>Consumer Experience and Support</v>
      </c>
      <c r="D15" s="1" t="str">
        <f>'Thematic Analysis'!$F18</f>
        <v>Performance metrics</v>
      </c>
      <c r="E15" s="6" t="s">
        <v>796</v>
      </c>
      <c r="F15" s="6" t="s">
        <v>980</v>
      </c>
      <c r="G15" s="1" t="str">
        <f>'Thematic Analysis'!$D18</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6" spans="1:7" s="6" customFormat="1" ht="75" x14ac:dyDescent="0.25">
      <c r="A16" s="2">
        <f t="shared" si="0"/>
        <v>13</v>
      </c>
      <c r="B16" s="1" t="str">
        <f>'Thematic Analysis'!$E19</f>
        <v>Inclusion
Replacement
Procurement</v>
      </c>
      <c r="C16" s="1" t="str">
        <f>'Thematic Analysis'!$G19</f>
        <v>Data and Information Management
Resource Management and Utilization
Policy and Organizational Reform</v>
      </c>
      <c r="D16" s="1" t="str">
        <f>'Thematic Analysis'!$F19</f>
        <v>Diversity programs
System swaps
Vendor management</v>
      </c>
      <c r="E16" s="1" t="s">
        <v>1191</v>
      </c>
      <c r="F16" s="1" t="s">
        <v>1254</v>
      </c>
      <c r="G16" s="1" t="str">
        <f>'Thematic Analysis'!$D19</f>
        <v>They should only add new projects to their investment plan. When it's time to replace old systems, they can handle it through contracts with vendors.</v>
      </c>
    </row>
    <row r="17" spans="1:7" s="6" customFormat="1" ht="165" x14ac:dyDescent="0.25">
      <c r="A17" s="2">
        <f t="shared" si="0"/>
        <v>14</v>
      </c>
      <c r="B17" s="1" t="str">
        <f>'Thematic Analysis'!$E20</f>
        <v>Implementation timeline
Systems implementation
Support for Consumers
Management information</v>
      </c>
      <c r="C17" s="1" t="str">
        <f>'Thematic Analysis'!$G20</f>
        <v>Future Planning and System Demand
System Deployment and Integration
Consumer Experience and Support
Data and Information Management</v>
      </c>
      <c r="D17" s="1" t="str">
        <f>'Thematic Analysis'!$F20</f>
        <v>Schedule adherence
Rollout plan
Customer service
BI systems</v>
      </c>
      <c r="E17" s="1" t="s">
        <v>1192</v>
      </c>
      <c r="F17" s="1" t="s">
        <v>1255</v>
      </c>
      <c r="G17" s="1" t="str">
        <f>'Thematic Analysis'!$D20</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8" spans="1:7" s="6" customFormat="1" ht="165" x14ac:dyDescent="0.25">
      <c r="A18" s="2">
        <f t="shared" si="0"/>
        <v>15</v>
      </c>
      <c r="B18" s="1" t="str">
        <f>'Thematic Analysis'!$E21</f>
        <v>Collaboration
Consumer support
Employee management</v>
      </c>
      <c r="C18" s="1" t="str">
        <f>'Thematic Analysis'!$G21</f>
        <v>Collaboration and Communication
Collaboration and Communication
Program and Project Management</v>
      </c>
      <c r="D18" s="1" t="str">
        <f>'Thematic Analysis'!$F21</f>
        <v>Teamwork tools
Helpdesk
HR systems</v>
      </c>
      <c r="E18" s="1" t="s">
        <v>1193</v>
      </c>
      <c r="F18" s="1" t="s">
        <v>1256</v>
      </c>
      <c r="G18" s="1" t="str">
        <f>'Thematic Analysis'!$D21</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19" spans="1:7" s="6" customFormat="1" ht="165" x14ac:dyDescent="0.25">
      <c r="A19" s="2">
        <f t="shared" si="0"/>
        <v>16</v>
      </c>
      <c r="B19" s="1" t="str">
        <f>'Thematic Analysis'!$E22</f>
        <v>User optimization
Information accessibility
Time efficiency</v>
      </c>
      <c r="C19" s="1" t="str">
        <f>'Thematic Analysis'!$G22</f>
        <v>Consumer Experience and Support
Data and Information Management
Operational Effectiveness and Efficiency</v>
      </c>
      <c r="D19" s="1" t="str">
        <f>'Thematic Analysis'!$F22</f>
        <v>UX design
Open data
Time tracking</v>
      </c>
      <c r="E19" s="1" t="s">
        <v>1194</v>
      </c>
      <c r="F19" s="1" t="s">
        <v>1257</v>
      </c>
      <c r="G19" s="1" t="str">
        <f>'Thematic Analysis'!$D22</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0" spans="1:7" s="6" customFormat="1" ht="105" x14ac:dyDescent="0.25">
      <c r="A20" s="2">
        <f t="shared" si="0"/>
        <v>17</v>
      </c>
      <c r="B20" s="1" t="str">
        <f>'Thematic Analysis'!$E23</f>
        <v>Resource management
Capacity optimization
Planning</v>
      </c>
      <c r="C20" s="1" t="str">
        <f>'Thematic Analysis'!$G23</f>
        <v>Resource Management and Utilization
Compliance and Governance
Strategic Planning and Development</v>
      </c>
      <c r="D20" s="1" t="str">
        <f>'Thematic Analysis'!$F23</f>
        <v>Asset allocation
Utilization metrics
Roadmap creation</v>
      </c>
      <c r="E20" s="1" t="s">
        <v>1195</v>
      </c>
      <c r="F20" s="1" t="s">
        <v>1258</v>
      </c>
      <c r="G20" s="1" t="str">
        <f>'Thematic Analysis'!$D23</f>
        <v>Nursing Unit Manager (NUM) can plan patient care better when they know all the demands and resources. This includes patients from the emergency room, post-surgery, and transfers, as well as available beds and staff skills.</v>
      </c>
    </row>
    <row r="21" spans="1:7" s="6" customFormat="1" ht="105" x14ac:dyDescent="0.25">
      <c r="A21" s="2">
        <f t="shared" si="0"/>
        <v>18</v>
      </c>
      <c r="B21" s="1" t="str">
        <f>'Thematic Analysis'!$E24</f>
        <v>Integrated analysis &amp; System outcome indicators
Resource availability
Financial management</v>
      </c>
      <c r="C21" s="1" t="str">
        <f>'Thematic Analysis'!$G24</f>
        <v>Compliance and Governance
Resource Management and Utilization
Future Planning and System Demand</v>
      </c>
      <c r="D21" s="1" t="str">
        <f>'Thematic Analysis'!$F24</f>
        <v>BI dashboards
Inventory tracking
Accounting software</v>
      </c>
      <c r="E21" s="1" t="s">
        <v>1196</v>
      </c>
      <c r="F21" s="1" t="s">
        <v>1259</v>
      </c>
      <c r="G21" s="1" t="str">
        <f>'Thematic Analysis'!$D24</f>
        <v>At hospital, area, and department executive levels, having a complete portfolio lets them look at health outcomes, service demand, resources, performance, and finances all together.</v>
      </c>
    </row>
    <row r="22" spans="1:7" s="6" customFormat="1" ht="105" x14ac:dyDescent="0.25">
      <c r="A22" s="2">
        <f t="shared" si="0"/>
        <v>19</v>
      </c>
      <c r="B22" s="1" t="str">
        <f>'Thematic Analysis'!$E25</f>
        <v>Priority areas &amp; Resource allocation
Funding availability
Core function delivery &amp; Urgent issue resolution</v>
      </c>
      <c r="C22" s="1" t="str">
        <f>'Thematic Analysis'!$G25</f>
        <v>Risk Identification and Management
Compliance and Governance
Collaboration and Communication</v>
      </c>
      <c r="D22" s="1" t="str">
        <f>'Thematic Analysis'!$F25</f>
        <v>Strategic planning
Budgeting
Crisis management</v>
      </c>
      <c r="E22" s="1" t="s">
        <v>1197</v>
      </c>
      <c r="F22" s="1" t="s">
        <v>1260</v>
      </c>
      <c r="G22" s="1" t="str">
        <f>'Thematic Analysis'!$D25</f>
        <v>The ICT Strategy focuses on key areas and will address them as resources allow. Other initiatives will only be added if they don't affect these core functions or if there's an urgent need.</v>
      </c>
    </row>
    <row r="23" spans="1:7" s="6" customFormat="1" ht="105" x14ac:dyDescent="0.25">
      <c r="A23" s="2">
        <f t="shared" si="0"/>
        <v>20</v>
      </c>
      <c r="B23" s="1" t="str">
        <f>'Thematic Analysis'!$E26</f>
        <v>Workflow improvement
Decision support
Resource management
Information accessibility</v>
      </c>
      <c r="C23" s="1" t="str">
        <f>'Thematic Analysis'!$G26</f>
        <v>Operational Effectiveness and Efficiency
Resource Management and Utilization
Resource Management and Utilization
Data and Information Management</v>
      </c>
      <c r="D23" s="1" t="str">
        <f>'Thematic Analysis'!$F26</f>
        <v>Process optimization
AI tools
Asset allocation
Open data</v>
      </c>
      <c r="E23" s="1" t="s">
        <v>1198</v>
      </c>
      <c r="F23" s="1" t="s">
        <v>1261</v>
      </c>
      <c r="G23" s="1" t="str">
        <f>'Thematic Analysis'!$D26</f>
        <v>By 2011, clinical departments will have improved systems for workflow, decision-making support, and accessing necessary information. This helps clinicians make better decisions for patients, leading to safer care</v>
      </c>
    </row>
    <row r="24" spans="1:7" s="6" customFormat="1" ht="105" x14ac:dyDescent="0.25">
      <c r="A24" s="2">
        <f t="shared" si="0"/>
        <v>21</v>
      </c>
      <c r="B24" s="1" t="str">
        <f>'Thematic Analysis'!$E27</f>
        <v>Integration of core systems
Information accessibility
Resource management</v>
      </c>
      <c r="C24" s="1" t="str">
        <f>'Thematic Analysis'!$G27</f>
        <v>System Deployment and Integration
Data and Information Management
Resource Management and Utilization</v>
      </c>
      <c r="D24" s="1" t="str">
        <f>'Thematic Analysis'!$F27</f>
        <v>Middleware
Open data
Asset allocation</v>
      </c>
      <c r="E24" s="1" t="s">
        <v>1199</v>
      </c>
      <c r="F24" s="1" t="s">
        <v>1262</v>
      </c>
      <c r="G24" s="1" t="str">
        <f>'Thematic Analysis'!$D27</f>
        <v>Integrated hospital systems mean information is collected once and available to all, reducing handover issues and improving resource management for smoother patient care.</v>
      </c>
    </row>
    <row r="25" spans="1:7" s="6" customFormat="1" ht="240" x14ac:dyDescent="0.25">
      <c r="A25" s="2">
        <f t="shared" si="0"/>
        <v>22</v>
      </c>
      <c r="B25" s="1" t="str">
        <f>'Thematic Analysis'!$E28</f>
        <v>Integration of systems
Information accessibility
Resource management
Standardized information
Collaboration</v>
      </c>
      <c r="C25" s="1" t="str">
        <f>'Thematic Analysis'!$G28</f>
        <v>System Deployment and Integration
Data and Information Management
Resource Management and Utilization
Data and Information Management
Collaboration and Communication</v>
      </c>
      <c r="D25" s="1" t="str">
        <f>'Thematic Analysis'!$F28</f>
        <v>System merger
Open data
Asset allocation
Data governance
Teamwork tools</v>
      </c>
      <c r="E25" s="1" t="s">
        <v>1200</v>
      </c>
      <c r="F25" s="1" t="s">
        <v>1263</v>
      </c>
      <c r="G25" s="1" t="str">
        <f>'Thematic Analysis'!$D28</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6" spans="1:7" s="6" customFormat="1" ht="180" x14ac:dyDescent="0.25">
      <c r="A26" s="2">
        <f t="shared" si="0"/>
        <v>23</v>
      </c>
      <c r="B26" s="1" t="str">
        <f>'Thematic Analysis'!$E29</f>
        <v>Systems implementation
Standardized information access
Resource utilization
Management of future demand</v>
      </c>
      <c r="C26" s="1" t="str">
        <f>'Thematic Analysis'!$G29</f>
        <v>System Deployment and Integration
Data and Information Management
Resource Management and Utilization
Future Planning and System Demand</v>
      </c>
      <c r="D26" s="1" t="str">
        <f>'Thematic Analysis'!$F29</f>
        <v>Rollout plan
Uniform interfaces
Efficient usage
Forecasting</v>
      </c>
      <c r="E26" s="1" t="s">
        <v>1201</v>
      </c>
      <c r="F26" s="1" t="s">
        <v>1264</v>
      </c>
      <c r="G26" s="1" t="str">
        <f>'Thematic Analysis'!$D29</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7" spans="1:7" s="6" customFormat="1" ht="150" x14ac:dyDescent="0.25">
      <c r="A27" s="2">
        <f t="shared" si="0"/>
        <v>24</v>
      </c>
      <c r="B27" s="1" t="str">
        <f>'Thematic Analysis'!$E30</f>
        <v>Increased services demand
Service delivery
System projections</v>
      </c>
      <c r="C27" s="1" t="str">
        <f>'Thematic Analysis'!$G30</f>
        <v>Data and Information Management
Consumer Experience and Support
Future Planning and System Demand</v>
      </c>
      <c r="D27" s="1" t="str">
        <f>'Thematic Analysis'!$F30</f>
        <v>Scalability
Operational efficiency
Futureproofing</v>
      </c>
      <c r="E27" s="1" t="s">
        <v>1202</v>
      </c>
      <c r="F27" s="1" t="s">
        <v>1265</v>
      </c>
      <c r="G27" s="1" t="str">
        <f>'Thematic Analysis'!$D30</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8" spans="1:7" s="6" customFormat="1" ht="60" x14ac:dyDescent="0.25">
      <c r="A28" s="2">
        <f t="shared" si="0"/>
        <v>25</v>
      </c>
      <c r="B28" s="1" t="str">
        <f>'Thematic Analysis'!$E31</f>
        <v>Staff shortages
Critical areas
User capacity</v>
      </c>
      <c r="C28" s="1" t="str">
        <f>'Thematic Analysis'!$G31</f>
        <v>System Maintenance and Support
Data and Information Management
System and Technology Improvement</v>
      </c>
      <c r="D28" s="1" t="str">
        <f>'Thematic Analysis'!$F31</f>
        <v>Recruitment
Focus areas
Data expansion</v>
      </c>
      <c r="E28" s="1" t="s">
        <v>1203</v>
      </c>
      <c r="F28" s="1" t="s">
        <v>1266</v>
      </c>
      <c r="G28" s="1" t="str">
        <f>'Thematic Analysis'!$D31</f>
        <v>Staff shortages in critical areas such as nursing and medicine Hospitals running at maximum capacity</v>
      </c>
    </row>
    <row r="29" spans="1:7" s="6" customFormat="1" ht="120" x14ac:dyDescent="0.25">
      <c r="A29" s="2">
        <f t="shared" si="0"/>
        <v>26</v>
      </c>
      <c r="B29" s="1" t="str">
        <f>'Thematic Analysis'!$E32</f>
        <v>Increase database
Rising system usage
Future system demand</v>
      </c>
      <c r="C29" s="1" t="str">
        <f>'Thematic Analysis'!$G32</f>
        <v>Data and Information Management
Data and Information Management
Infrastructure and Hardware Management</v>
      </c>
      <c r="D29" s="1" t="str">
        <f>'Thematic Analysis'!$F32</f>
        <v>Load balancing
Capacity planning
Knowledge base</v>
      </c>
      <c r="E29" s="1" t="s">
        <v>1204</v>
      </c>
      <c r="F29" s="1" t="s">
        <v>1267</v>
      </c>
      <c r="G29" s="1" t="str">
        <f>'Thematic Analysis'!$D32</f>
        <v>The rate of chronic diseases like heart disease, lung disease, diabetes, and cancer is rising. Obesity is becoming more common among young people, and our increasingly globalized society raises the risk of pandemics.</v>
      </c>
    </row>
    <row r="30" spans="1:7" s="6" customFormat="1" ht="60" x14ac:dyDescent="0.25">
      <c r="A30" s="2">
        <f t="shared" si="0"/>
        <v>27</v>
      </c>
      <c r="B30" s="1" t="str">
        <f>'Thematic Analysis'!$E33</f>
        <v>Knowledge management
IT system advancement</v>
      </c>
      <c r="C30" s="1" t="str">
        <f>'Thematic Analysis'!$G33</f>
        <v>Data and Information Management
System and Technology Improvement</v>
      </c>
      <c r="D30" s="1" t="str">
        <f>'Thematic Analysis'!$F33</f>
        <v>Technological innovation
Cost-benefit analysis</v>
      </c>
      <c r="E30" s="1" t="s">
        <v>1205</v>
      </c>
      <c r="F30" s="1" t="s">
        <v>1268</v>
      </c>
      <c r="G30" s="1" t="str">
        <f>'Thematic Analysis'!$D33</f>
        <v>An increasing body of medical knowledge that staff cannot manage and
use without advanced IT systems</v>
      </c>
    </row>
    <row r="31" spans="1:7" s="6" customFormat="1" ht="60" x14ac:dyDescent="0.25">
      <c r="A31" s="2">
        <f t="shared" si="0"/>
        <v>28</v>
      </c>
      <c r="B31" s="1" t="str">
        <f>'Thematic Analysis'!$E34</f>
        <v>Expensive technologies
Costly materials</v>
      </c>
      <c r="C31" s="1" t="str">
        <f>'Thematic Analysis'!$G34</f>
        <v>Future Planning and System Demand
Financial Management and Budgeting</v>
      </c>
      <c r="D31" s="1" t="str">
        <f>'Thematic Analysis'!$F34</f>
        <v>Cost control
Education</v>
      </c>
      <c r="E31" s="1" t="s">
        <v>1206</v>
      </c>
      <c r="F31" s="1" t="s">
        <v>1269</v>
      </c>
      <c r="G31" s="1" t="str">
        <f>'Thematic Analysis'!$D34</f>
        <v>Health services are increasingly challenged by more expensive medical technologies and pharmaceuticals</v>
      </c>
    </row>
    <row r="32" spans="1:7" s="6" customFormat="1" ht="60" x14ac:dyDescent="0.25">
      <c r="A32" s="2">
        <f t="shared" si="0"/>
        <v>29</v>
      </c>
      <c r="B32" s="1" t="str">
        <f>'Thematic Analysis'!$E35</f>
        <v>Informed consumers
High expectations
Complex needs problems</v>
      </c>
      <c r="C32" s="1" t="str">
        <f>'Thematic Analysis'!$G35</f>
        <v>System Deployment and Integration
Business Alignment
Operational Effectiveness and Efficiency</v>
      </c>
      <c r="D32" s="1" t="str">
        <f>'Thematic Analysis'!$F35</f>
        <v>Customer satisfaction
Problem-solving
Compliance audits</v>
      </c>
      <c r="E32" s="1" t="s">
        <v>1207</v>
      </c>
      <c r="F32" s="1" t="s">
        <v>1270</v>
      </c>
      <c r="G32" s="1" t="str">
        <f>'Thematic Analysis'!$D35</f>
        <v>Consumers are becoming more informed, have higher expectations and more complex problems</v>
      </c>
    </row>
    <row r="33" spans="1:7" s="6" customFormat="1" ht="165" x14ac:dyDescent="0.25">
      <c r="A33" s="2">
        <f t="shared" si="0"/>
        <v>30</v>
      </c>
      <c r="B33" s="1" t="str">
        <f>'Thematic Analysis'!$E36</f>
        <v>Quality &amp; Safety standards
High user rates
Safe working capacity</v>
      </c>
      <c r="C33" s="1" t="str">
        <f>'Thematic Analysis'!$G36</f>
        <v>Operational Effectiveness and Efficiency
Business Alignment
System and Technology Improvement</v>
      </c>
      <c r="D33" s="1" t="str">
        <f>'Thematic Analysis'!$F36</f>
        <v>Load testing
Occupational safety
SOPs</v>
      </c>
      <c r="E33" s="1" t="s">
        <v>1208</v>
      </c>
      <c r="F33" s="1" t="s">
        <v>1271</v>
      </c>
      <c r="G33" s="1" t="str">
        <f>'Thematic Analysis'!$D36</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4" spans="1:7" s="6" customFormat="1" ht="105" x14ac:dyDescent="0.25">
      <c r="A34" s="2">
        <f t="shared" si="0"/>
        <v>31</v>
      </c>
      <c r="B34" s="1" t="str">
        <f>'Thematic Analysis'!$E37</f>
        <v>Communication
Policies &amp; Procedures
Skills and competence
Work scheduling</v>
      </c>
      <c r="C34" s="1" t="str">
        <f>'Thematic Analysis'!$G37</f>
        <v>Standardization and Streamlining Processes
Strategic Planning and Development
Employee Training and Development
Program and Project Management</v>
      </c>
      <c r="D34" s="1" t="str">
        <f>'Thematic Analysis'!$F37</f>
        <v>Collaboration tools
Training programs
Roster management
System investment</v>
      </c>
      <c r="E34" s="1" t="s">
        <v>1209</v>
      </c>
      <c r="F34" s="1" t="s">
        <v>1272</v>
      </c>
      <c r="G34" s="1" t="str">
        <f>'Thematic Analysis'!$D37</f>
        <v>The key factors that cause these adverse events are:
_x0001_ Communication
_x0001_ Policies and procedures
_x0001_ Knowledge, skills and competence issues
_x0001_ Work scheduling</v>
      </c>
    </row>
    <row r="35" spans="1:7" s="6" customFormat="1" ht="105" x14ac:dyDescent="0.25">
      <c r="A35" s="2">
        <f t="shared" si="0"/>
        <v>32</v>
      </c>
      <c r="B35" s="1" t="str">
        <f>'Thematic Analysis'!$E38</f>
        <v>Lack of core ICT systems
System reform</v>
      </c>
      <c r="C35" s="1" t="str">
        <f>'Thematic Analysis'!$G38</f>
        <v>System and Technology Improvement
Policy and Organizational Reform</v>
      </c>
      <c r="D35" s="1" t="str">
        <f>'Thematic Analysis'!$F38</f>
        <v>Overhaul
Budget reallocation</v>
      </c>
      <c r="E35" s="1" t="s">
        <v>1210</v>
      </c>
      <c r="F35" s="1" t="s">
        <v>1273</v>
      </c>
      <c r="G35" s="1" t="str">
        <f>'Thematic Analysis'!$D38</f>
        <v>Clinical ICT is becoming an increasingly important enabler of health
system reform, yet the core systems to underpin reform are not
currently in place.</v>
      </c>
    </row>
    <row r="36" spans="1:7" s="6" customFormat="1" ht="150" x14ac:dyDescent="0.25">
      <c r="A36" s="2">
        <f t="shared" si="0"/>
        <v>33</v>
      </c>
      <c r="B36" s="1" t="str">
        <f>'Thematic Analysis'!$E39</f>
        <v>Constraints in funding
Skilled project management
Capacity for large-scale change</v>
      </c>
      <c r="C36" s="1" t="str">
        <f>'Thematic Analysis'!$G39</f>
        <v>Consumer Experience and Support
Program and Project Management
Resource Management and Utilization</v>
      </c>
      <c r="D36" s="1" t="str">
        <f>'Thematic Analysis'!$F39</f>
        <v>PMP certification
Change management
Prioritization</v>
      </c>
      <c r="E36" s="1" t="s">
        <v>1211</v>
      </c>
      <c r="F36" s="1" t="s">
        <v>1274</v>
      </c>
      <c r="G36" s="1" t="str">
        <f>'Thematic Analysis'!$D39</f>
        <v>Constraints in capital and recurrent funding, skilled project
management and implementation resources and capacity of the health
systems to accommodate large scale change all restrict the potential
speed of implementation of core systems.</v>
      </c>
    </row>
    <row r="37" spans="1:7" s="6" customFormat="1" ht="105" x14ac:dyDescent="0.25">
      <c r="A37" s="2">
        <f t="shared" si="0"/>
        <v>34</v>
      </c>
      <c r="B37" s="1" t="str">
        <f>'Thematic Analysis'!$E40</f>
        <v>Competing demands for ICT funds
Priority determination
Project scheduling complexity</v>
      </c>
      <c r="C37" s="1" t="str">
        <f>'Thematic Analysis'!$G40</f>
        <v>Consumer Experience and Support
Risk Identification and Management
Operational Effectiveness and Efficiency</v>
      </c>
      <c r="D37" s="1" t="str">
        <f>'Thematic Analysis'!$F40</f>
        <v>Value assessment
Gantt charts
Problem clustering</v>
      </c>
      <c r="E37" s="1" t="s">
        <v>1212</v>
      </c>
      <c r="F37" s="1" t="s">
        <v>1275</v>
      </c>
      <c r="G37" s="1" t="str">
        <f>'Thematic Analysis'!$D40</f>
        <v>There are many competing demands for ICT funds. Deciding which projects to prioritize and schedule is complex and needs ongoing review to ensure funds are allocated where they will be most beneficial.</v>
      </c>
    </row>
    <row r="38" spans="1:7" s="6" customFormat="1" ht="105" x14ac:dyDescent="0.25">
      <c r="A38" s="2">
        <f t="shared" si="0"/>
        <v>35</v>
      </c>
      <c r="B38" s="1" t="str">
        <f>'Thematic Analysis'!$E41</f>
        <v>Convergence of issues
Significant risk environment
Need for service delivery change</v>
      </c>
      <c r="C38" s="1" t="str">
        <f>'Thematic Analysis'!$G41</f>
        <v>Consumer Experience and Support
Risk Identification and Management
Operational Effectiveness and Efficiency</v>
      </c>
      <c r="D38" s="1" t="str">
        <f>'Thematic Analysis'!$F41</f>
        <v>Risk mitigation
Transformation
Talent acquisition</v>
      </c>
      <c r="E38" s="1" t="s">
        <v>1213</v>
      </c>
      <c r="F38" s="1" t="s">
        <v>1276</v>
      </c>
      <c r="G38" s="1" t="str">
        <f>'Thematic Analysis'!$D41</f>
        <v>NSW Health needs to change how it delivers services to meet these challenges. They've started a big reform program and need the right IT solutions to support staff and make these changes last</v>
      </c>
    </row>
    <row r="39" spans="1:7" s="6" customFormat="1" ht="135" x14ac:dyDescent="0.25">
      <c r="A39" s="2">
        <f t="shared" si="0"/>
        <v>36</v>
      </c>
      <c r="B39" s="1" t="str">
        <f>'Thematic Analysis'!$E42</f>
        <v>Demand for services
Workforce shortages
Government priorities
ICT strategies</v>
      </c>
      <c r="C39" s="1" t="str">
        <f>'Thematic Analysis'!$G42</f>
        <v>System Deployment and Integration
Operational Effectiveness and Efficiency
System Deployment and Integration
Implementation Challenges and Delays</v>
      </c>
      <c r="D39" s="1" t="str">
        <f>'Thematic Analysis'!$F42</f>
        <v>Policy alignment
Talent acquisition
Policy alignment
IT roadmaps</v>
      </c>
      <c r="E39" s="1" t="s">
        <v>1214</v>
      </c>
      <c r="F39" s="1" t="s">
        <v>1277</v>
      </c>
      <c r="G39" s="1" t="str">
        <f>'Thematic Analysis'!$D42</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0" spans="1:7" s="6" customFormat="1" ht="135" x14ac:dyDescent="0.25">
      <c r="A40" s="2">
        <f t="shared" si="0"/>
        <v>37</v>
      </c>
      <c r="B40" s="1" t="str">
        <f>'Thematic Analysis'!$E43</f>
        <v>Alignment with Results and Services Plan
Support for strategic programs
Alignment with reform programs
Consideration of whole-of-government strategies</v>
      </c>
      <c r="C40" s="1" t="str">
        <f>'Thematic Analysis'!$G43</f>
        <v>Business Alignment
Policy and Organizational Reform
Business Alignment
Standardization and Streamlining Processes</v>
      </c>
      <c r="D40" s="1" t="str">
        <f>'Thematic Analysis'!$F43</f>
        <v>Goal alignment
Strategic backing
Change alignment
Holistic approach</v>
      </c>
      <c r="E40" s="1" t="s">
        <v>1215</v>
      </c>
      <c r="F40" s="1" t="s">
        <v>1278</v>
      </c>
      <c r="G40" s="1" t="str">
        <f>'Thematic Analysis'!$D43</f>
        <v>The Results and Services Plan guides everything in NSW Health. There are other plans helping out too. The ICT Strategic Plan is one of them, making sure it works well with the main plan. They also look at what the whole government and the country are doing.</v>
      </c>
    </row>
    <row r="41" spans="1:7" s="6" customFormat="1" ht="345" x14ac:dyDescent="0.25">
      <c r="A41" s="2">
        <f t="shared" si="0"/>
        <v>38</v>
      </c>
      <c r="B41" s="1" t="str">
        <f>'Thematic Analysis'!$E44</f>
        <v>Preventative solutions
User experience
Future benefits
Strengthening relationships
Costs of services
Sustainable Workforce
New risk potential</v>
      </c>
      <c r="C41" s="1" t="str">
        <f>'Thematic Analysis'!$G44</f>
        <v>Financial Management and Budgeting
Consumer Experience and Support
Compliance and Governance
Collaboration and Communication
Collaboration and Communication
System Maintenance and Support
Risk Identification and Management</v>
      </c>
      <c r="D41" s="1" t="str">
        <f>'Thematic Analysis'!$F44</f>
        <v>Proactive measures
UX design
Long-term planning
Stakeholder engagement
Expense management
HR planning
Risk forecasting</v>
      </c>
      <c r="E41" s="1" t="s">
        <v>1216</v>
      </c>
      <c r="F41" s="1" t="s">
        <v>1279</v>
      </c>
      <c r="G41" s="1" t="str">
        <f>'Thematic Analysis'!$D44</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2" spans="1:7" s="6" customFormat="1" ht="150" x14ac:dyDescent="0.25">
      <c r="A42" s="2">
        <f t="shared" si="0"/>
        <v>39</v>
      </c>
      <c r="B42" s="1" t="str">
        <f>'Thematic Analysis'!$E45</f>
        <v>Reducing risk factors
Preventing consumer issues
Interventions for high-risk consumers</v>
      </c>
      <c r="C42" s="1" t="str">
        <f>'Thematic Analysis'!$G45</f>
        <v>Risk Identification and Management
Operational Effectiveness and Efficiency
Consumer Experience and Support</v>
      </c>
      <c r="D42" s="1" t="str">
        <f>'Thematic Analysis'!$F45</f>
        <v>Preventive measures
Customer care
Targeted support</v>
      </c>
      <c r="E42" s="1" t="s">
        <v>1217</v>
      </c>
      <c r="F42" s="1" t="s">
        <v>1280</v>
      </c>
      <c r="G42" s="1" t="str">
        <f>'Thematic Analysis'!$D45</f>
        <v>NSW Health wants to prevent sickness and promote good health habits. They're focusing on getting more people vaccinated and helping those at risk for diseases like diabetes. ICT can help by sending alerts about things like missed vaccinations or overdue check-ups</v>
      </c>
    </row>
    <row r="43" spans="1:7" s="6" customFormat="1" ht="150" x14ac:dyDescent="0.25">
      <c r="A43" s="2">
        <f t="shared" si="0"/>
        <v>40</v>
      </c>
      <c r="B43" s="1" t="str">
        <f>'Thematic Analysis'!$E46</f>
        <v>Availability of services
Effectiveness of services
Coordination of care
Supporting new care models
Sustainability of reform
Information flow along consumer journey
Consumer experience improvement
Appropriate consumer delivery</v>
      </c>
      <c r="C43" s="1" t="str">
        <f>'Thematic Analysis'!$G46</f>
        <v>Business Alignment
Consumer Experience and Support
Collaboration and Communication
Consumer Experience and Support
Policy and Organizational Reform
Infrastructure and Hardware Management
Consumer Experience and Support
Resource Management and Utilization</v>
      </c>
      <c r="D43" s="1" t="str">
        <f>'Thematic Analysis'!$F46</f>
        <v>Service uptime
Performance metrics
Integrated care
Innovative healthcare
Continuous improvement
Data mapping
UX enhancement
Tailored services</v>
      </c>
      <c r="E43" s="1" t="s">
        <v>1218</v>
      </c>
      <c r="F43" s="1" t="s">
        <v>1281</v>
      </c>
      <c r="G43" s="1" t="str">
        <f>'Thematic Analysis'!$D46</f>
        <v>NSW Health wants to make sure everyone gets the care they need, when they need it. They're using tech to support new ways of caring for people and making sure changes stick. Better info during your care journey means a better experience and getting the right care.</v>
      </c>
    </row>
    <row r="44" spans="1:7" s="6" customFormat="1" ht="120" x14ac:dyDescent="0.25">
      <c r="A44" s="2">
        <f t="shared" si="0"/>
        <v>41</v>
      </c>
      <c r="B44" s="1" t="str">
        <f>'Thematic Analysis'!$E47</f>
        <v>Complexity and duplication in service delivery
Need for improved collaboration
Enhancement of coordination
Quality and safety improvement
Appropriate resource utilization</v>
      </c>
      <c r="C44" s="1" t="str">
        <f>'Thematic Analysis'!$G47</f>
        <v>Compliance and Governance
Collaboration and Communication
Financial Management and Budgeting
Operational Effectiveness and Efficiency
Consumer Experience and Support</v>
      </c>
      <c r="D44" s="1" t="str">
        <f>'Thematic Analysis'!$F47</f>
        <v>Process simplification
Teamwork enhancement
Integrated systems
Quality assurance
Optimal allocation</v>
      </c>
      <c r="E44" s="1" t="s">
        <v>1219</v>
      </c>
      <c r="F44" s="1" t="s">
        <v>1282</v>
      </c>
      <c r="G44" s="1" t="str">
        <f>'Thematic Analysis'!$D47</f>
        <v>NSW Health aims to improve healthcare by working better together. They're using tech to help everyone collaborate and use resources wisely. That means better tools for healthcare workers and making sure everyone gets great care.</v>
      </c>
    </row>
    <row r="45" spans="1:7" s="6" customFormat="1" ht="90" x14ac:dyDescent="0.25">
      <c r="A45" s="2">
        <f t="shared" si="0"/>
        <v>42</v>
      </c>
      <c r="B45" s="1" t="str">
        <f>'Thematic Analysis'!$E48</f>
        <v>Constraints and opportunities
Alignment with national initiatives</v>
      </c>
      <c r="C45" s="1" t="str">
        <f>'Thematic Analysis'!$G48</f>
        <v>Financial Management and Budgeting
Business Alignment</v>
      </c>
      <c r="D45" s="1" t="str">
        <f>'Thematic Analysis'!$F48</f>
        <v>SWOT analysis
Policy coherence</v>
      </c>
      <c r="E45" s="1" t="s">
        <v>1220</v>
      </c>
      <c r="F45" s="1" t="s">
        <v>1283</v>
      </c>
      <c r="G45" s="1" t="str">
        <f>'Thematic Analysis'!$D48</f>
        <v>The NSW Government's IT setup influences NSW Health's ICT plan. They aim to make sure NSW initiatives match up with and sometimes even help shape national and statewide plans</v>
      </c>
    </row>
    <row r="46" spans="1:7" s="6" customFormat="1" ht="240" x14ac:dyDescent="0.25">
      <c r="A46" s="2">
        <f t="shared" si="0"/>
        <v>43</v>
      </c>
      <c r="B46" s="1" t="str">
        <f>'Thematic Analysis'!$E49</f>
        <v>New directions for IT
Primary goals of Executive Council</v>
      </c>
      <c r="C46" s="1" t="str">
        <f>'Thematic Analysis'!$G49</f>
        <v>System and Technology Improvement
Operational Effectiveness and Efficiency</v>
      </c>
      <c r="D46" s="1" t="str">
        <f>'Thematic Analysis'!$F49</f>
        <v>Tech trends
Leadership vision</v>
      </c>
      <c r="E46" s="1" t="s">
        <v>1221</v>
      </c>
      <c r="F46" s="1" t="s">
        <v>1284</v>
      </c>
      <c r="G46" s="1" t="str">
        <f>'Thematic Analysis'!$D49</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7" spans="1:7" s="6" customFormat="1" ht="180" x14ac:dyDescent="0.25">
      <c r="A47" s="2">
        <f t="shared" si="0"/>
        <v>44</v>
      </c>
      <c r="B47" s="1" t="str">
        <f>'Thematic Analysis'!$E50</f>
        <v>Government priorities
Reform agenda
Business reform
Improvements to Indigenous consumers
Preventative services</v>
      </c>
      <c r="C47" s="1" t="str">
        <f>'Thematic Analysis'!$G50</f>
        <v>System Deployment and Integration
Policy and Organizational Reform
Business Alignment
Data and Information Management
Strategic Planning and Development</v>
      </c>
      <c r="D47" s="1" t="str">
        <f>'Thematic Analysis'!$F50</f>
        <v>Policy alignment
Change strategy
Organizational change
Inclusive services
Early intervention</v>
      </c>
      <c r="E47" s="1" t="s">
        <v>1222</v>
      </c>
      <c r="F47" s="1" t="s">
        <v>1285</v>
      </c>
      <c r="G47" s="1" t="str">
        <f>'Thematic Analysis'!$D50</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8" spans="1:7" s="6" customFormat="1" ht="255" x14ac:dyDescent="0.25">
      <c r="A48" s="2">
        <f t="shared" si="0"/>
        <v>45</v>
      </c>
      <c r="B48" s="1" t="str">
        <f>'Thematic Analysis'!$E51</f>
        <v>Collaboration across jurisdictions
Consistency in systems approaches
National information network
Regulatory frameworks</v>
      </c>
      <c r="C48" s="1" t="str">
        <f>'Thematic Analysis'!$G51</f>
        <v>Collaboration and Communication
Standardization and Streamlining Processes
Data and Information Management
Compliance and Governance</v>
      </c>
      <c r="D48" s="1" t="str">
        <f>'Thematic Analysis'!$F51</f>
        <v>Cross-border teamwork
Uniform methods
Centralized data
Legal compliance</v>
      </c>
      <c r="E48" s="1" t="s">
        <v>1223</v>
      </c>
      <c r="F48" s="1" t="s">
        <v>1286</v>
      </c>
      <c r="G48" s="1" t="str">
        <f>'Thematic Analysis'!$D51</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49" spans="1:7" s="6" customFormat="1" ht="210" x14ac:dyDescent="0.25">
      <c r="A49" s="2">
        <f t="shared" si="0"/>
        <v>46</v>
      </c>
      <c r="B49" s="1" t="str">
        <f>'Thematic Analysis'!$E52</f>
        <v>ICT standards
ICT strategic plan
Interoperability
Standardized information
Unique Identifiers
Individual Electronic Record
Identity management standards
Secure messaging
Supply chain management</v>
      </c>
      <c r="C49" s="1" t="str">
        <f>'Thematic Analysis'!$G52</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49" s="1" t="str">
        <f>'Thematic Analysis'!$F52</f>
        <v>Protocol adherence
IT blueprint
API integration
Data governance
Identity codes
Personal data
Security protocols
Encrypted communication
Logistics control</v>
      </c>
      <c r="E49" s="1" t="s">
        <v>1224</v>
      </c>
      <c r="F49" s="1" t="s">
        <v>1287</v>
      </c>
      <c r="G49" s="1" t="str">
        <f>'Thematic Analysis'!$D52</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0" spans="1:7" s="6" customFormat="1" ht="120" x14ac:dyDescent="0.25">
      <c r="A50" s="2">
        <f t="shared" si="0"/>
        <v>47</v>
      </c>
      <c r="B50" s="1" t="str">
        <f>'Thematic Analysis'!$E53</f>
        <v>Corporate reform program
ICT reform program
Implementation of IT solutions</v>
      </c>
      <c r="C50" s="1" t="str">
        <f>'Thematic Analysis'!$G53</f>
        <v>Financial Management and Budgeting
Data Security, Quality and Privacy
Consumer Experience and Support</v>
      </c>
      <c r="D50" s="1" t="str">
        <f>'Thematic Analysis'!$F53</f>
        <v>Business transformation
IT overhaul
Tech deployment</v>
      </c>
      <c r="E50" s="1" t="s">
        <v>1225</v>
      </c>
      <c r="F50" s="1" t="s">
        <v>1288</v>
      </c>
      <c r="G50" s="1" t="str">
        <f>'Thematic Analysis'!$D53</f>
        <v>To tackle challenges and prepare for the future, NSW Health is changing how it delivers services. Implementing IT solutions to support staff and integrate business processes is key for sustainable service delivery changes.</v>
      </c>
    </row>
    <row r="51" spans="1:7" s="6" customFormat="1" ht="195" x14ac:dyDescent="0.25">
      <c r="A51" s="2">
        <f t="shared" si="0"/>
        <v>48</v>
      </c>
      <c r="B51" s="1" t="str">
        <f>'Thematic Analysis'!$E54</f>
        <v>Development of ICT strategy
Investment priorities
Budget negotiation
Program delivery</v>
      </c>
      <c r="C51" s="1" t="str">
        <f>'Thematic Analysis'!$G54</f>
        <v>Collaboration and Communication
Financial Management and Budgeting
Business Alignment
Compliance and Governance</v>
      </c>
      <c r="D51" s="1" t="str">
        <f>'Thematic Analysis'!$F54</f>
        <v>IT planning
Capital focus
Financial planning
Execution</v>
      </c>
      <c r="E51" s="1" t="s">
        <v>1226</v>
      </c>
      <c r="F51" s="1" t="s">
        <v>1289</v>
      </c>
      <c r="G51" s="1" t="str">
        <f>'Thematic Analysis'!$D54</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2" spans="1:7" s="6" customFormat="1" ht="150" x14ac:dyDescent="0.25">
      <c r="A52" s="2">
        <f t="shared" si="0"/>
        <v>49</v>
      </c>
      <c r="B52" s="1" t="str">
        <f>'Thematic Analysis'!$E55</f>
        <v>Responsibilities of Support Services
Implementation of system
Maintenance of systems
Support for Consumers
Hardware management
Software management</v>
      </c>
      <c r="C52" s="1" t="str">
        <f>'Thematic Analysis'!$G55</f>
        <v>Policy and Organizational Reform
Data and Information Management
System Maintenance and Support
Consumer Experience and Support
Business Alignment
Data and Information Management</v>
      </c>
      <c r="D52" s="1" t="str">
        <f>'Thematic Analysis'!$F55</f>
        <v>Service scope
System rollout
Upkeep
Customer service
Device control
Application administration</v>
      </c>
      <c r="E52" s="1" t="s">
        <v>1227</v>
      </c>
      <c r="F52" s="1" t="s">
        <v>1290</v>
      </c>
      <c r="G52" s="1" t="str">
        <f>'Thematic Analysis'!$D55</f>
        <v>Health Support Services sets up and maintains key computer systems for healthcare. They give specific IT help to Area Health Services as defined by the law. This includes managing computers, software, and helping with setting up systems.</v>
      </c>
    </row>
    <row r="53" spans="1:7" s="6" customFormat="1" ht="105" x14ac:dyDescent="0.25">
      <c r="A53" s="2">
        <f t="shared" si="0"/>
        <v>50</v>
      </c>
      <c r="B53" s="1" t="str">
        <f>'Thematic Analysis'!$E56</f>
        <v>Responsibilities of Services
Local implementations
Change management
Staff training
Benefits realization</v>
      </c>
      <c r="C53" s="1" t="str">
        <f>'Thematic Analysis'!$G56</f>
        <v>Policy and Organizational Reform
System Deployment and Integration
Collaboration and Communication
Employee Training and Development
Resource Management and Utilization</v>
      </c>
      <c r="D53" s="1" t="str">
        <f>'Thematic Analysis'!$F56</f>
        <v>Service tasks
Regional rollout
Transition planning
Employee development
Outcome tracking</v>
      </c>
      <c r="E53" s="1" t="s">
        <v>1228</v>
      </c>
      <c r="F53" s="1" t="s">
        <v>1291</v>
      </c>
      <c r="G53" s="1" t="str">
        <f>'Thematic Analysis'!$D56</f>
        <v>Area Health Services are responsible for the management of local
implementations, change management and training of staff and benefits
realisation.</v>
      </c>
    </row>
    <row r="54" spans="1:7" s="6" customFormat="1" ht="120" x14ac:dyDescent="0.25">
      <c r="A54" s="2">
        <f t="shared" si="0"/>
        <v>51</v>
      </c>
      <c r="B54" s="1" t="str">
        <f>'Thematic Analysis'!$E57</f>
        <v>Prioritization of programs and projects
Sound investment decisions
Benefit to the organization
Common processes across ICT
Collaborative framework</v>
      </c>
      <c r="C54" s="1" t="str">
        <f>'Thematic Analysis'!$G57</f>
        <v>Risk Identification and Management
Financial Management and Budgeting
Business Alignment
Collaboration and Communication
Collaboration and Communication</v>
      </c>
      <c r="D54" s="1" t="str">
        <f>'Thematic Analysis'!$F57</f>
        <v>Strategic focus
ROI analysis
Value creation
Standardization
Team structure</v>
      </c>
      <c r="E54" s="1" t="s">
        <v>1229</v>
      </c>
      <c r="F54" s="1" t="s">
        <v>1292</v>
      </c>
      <c r="G54" s="1" t="str">
        <f>'Thematic Analysis'!$D57</f>
        <v>They pick the most important projects and invest wisely for the health system. We work together on ICT stuff and have clear rules. This helps us decide what to build and how to run things</v>
      </c>
    </row>
    <row r="55" spans="1:7" s="6" customFormat="1" ht="105" x14ac:dyDescent="0.25">
      <c r="A55" s="2">
        <f t="shared" si="0"/>
        <v>52</v>
      </c>
      <c r="B55" s="1" t="str">
        <f>'Thematic Analysis'!$E58</f>
        <v>Evaluation criteria
Prioritization
Monitoring
Achieving business priorities</v>
      </c>
      <c r="C55" s="1" t="str">
        <f>'Thematic Analysis'!$G58</f>
        <v>Consumer Experience and Support
Program and Project Management
System Maintenance and Support
Business Alignment</v>
      </c>
      <c r="D55" s="1" t="str">
        <f>'Thematic Analysis'!$F58</f>
        <v>Performance metrics
Task ranking
Supervision
Goal fulfillment</v>
      </c>
      <c r="E55" s="1" t="s">
        <v>1230</v>
      </c>
      <c r="F55" s="1" t="s">
        <v>1293</v>
      </c>
      <c r="G55" s="1" t="str">
        <f>'Thematic Analysis'!$D58</f>
        <v>NSW Health uses a coordinated approach to manage ICT projects. This helps us evaluate, prioritize, select, and monitor programs and projects. We adjust as needed to meet our business goals.</v>
      </c>
    </row>
    <row r="56" spans="1:7" s="6" customFormat="1" ht="60" x14ac:dyDescent="0.25">
      <c r="A56" s="2">
        <f t="shared" si="0"/>
        <v>53</v>
      </c>
      <c r="B56" s="1" t="str">
        <f>'Thematic Analysis'!$E59</f>
        <v>Standardizing processes across ICT
Guidelines application</v>
      </c>
      <c r="C56" s="1" t="str">
        <f>'Thematic Analysis'!$G59</f>
        <v>Standardization and Streamlining Processes
Business Alignment</v>
      </c>
      <c r="D56" s="1" t="str">
        <f>'Thematic Analysis'!$F59</f>
        <v>Uniform methods
Best practices</v>
      </c>
      <c r="E56" s="1" t="s">
        <v>1231</v>
      </c>
      <c r="F56" s="1" t="s">
        <v>1294</v>
      </c>
      <c r="G56" s="1" t="str">
        <f>'Thematic Analysis'!$D59</f>
        <v>They have set ways of doing things that support our ICT plan. These cover every step of a project's life.</v>
      </c>
    </row>
    <row r="57" spans="1:7" s="6" customFormat="1" ht="135" x14ac:dyDescent="0.25">
      <c r="A57" s="2">
        <f t="shared" si="0"/>
        <v>54</v>
      </c>
      <c r="B57" s="1" t="str">
        <f>'Thematic Analysis'!$E60</f>
        <v>Collaborative implementation
Integration of governance models
Consistency in application development</v>
      </c>
      <c r="C57" s="1" t="str">
        <f>'Thematic Analysis'!$G60</f>
        <v>Standardization and Streamlining Processes
Compliance and Governance
Standardization and Streamlining Processes</v>
      </c>
      <c r="D57" s="1" t="str">
        <f>'Thematic Analysis'!$F60</f>
        <v>Joint execution
Unified policies
Standard coding</v>
      </c>
      <c r="E57" s="1" t="s">
        <v>1232</v>
      </c>
      <c r="F57" s="1" t="s">
        <v>1295</v>
      </c>
      <c r="G57" s="1" t="str">
        <f>'Thematic Analysis'!$D60</f>
        <v>To make the strategy work, NSW Health collaborates with the Department of Health, Area Health Services, Health Technology, and third-party providers, using shared decision-making processes and building core applications at the state level</v>
      </c>
    </row>
    <row r="58" spans="1:7" s="6" customFormat="1" ht="150" x14ac:dyDescent="0.25">
      <c r="A58" s="2">
        <f t="shared" si="0"/>
        <v>55</v>
      </c>
      <c r="B58" s="1" t="str">
        <f>'Thematic Analysis'!$E61</f>
        <v>Classification of applications
Management of applications
Resource management
Achieving outcomes</v>
      </c>
      <c r="C58" s="1" t="str">
        <f>'Thematic Analysis'!$G61</f>
        <v>Collaboration and Communication
System Maintenance and Support
Resource Management and Utilization
Operational Effectiveness and Efficiency</v>
      </c>
      <c r="D58" s="1" t="str">
        <f>'Thematic Analysis'!$F61</f>
        <v>App taxonomy
App lifecycle
Asset allocation
Results tracking</v>
      </c>
      <c r="E58" s="1" t="s">
        <v>1233</v>
      </c>
      <c r="F58" s="1" t="s">
        <v>1296</v>
      </c>
      <c r="G58" s="1" t="str">
        <f>'Thematic Analysis'!$D61</f>
        <v>Applications and projects are categorized as core, common, or divergent, influencing their prioritization, funding, and management, with core ones managed by the Department, common ones collaboratively, and divergent ones allowing for innovative solutions to local needs.</v>
      </c>
    </row>
    <row r="59" spans="1:7" s="6" customFormat="1" ht="150" x14ac:dyDescent="0.25">
      <c r="A59" s="2">
        <f t="shared" si="0"/>
        <v>56</v>
      </c>
      <c r="B59" s="1" t="str">
        <f>'Thematic Analysis'!$E62</f>
        <v>Alignment with business benefits
Risk Identification
Disconnect of strategy and implementation</v>
      </c>
      <c r="C59" s="1" t="str">
        <f>'Thematic Analysis'!$G62</f>
        <v>Business Alignment
Risk Identification and Management
Compliance and Governance</v>
      </c>
      <c r="D59" s="1" t="str">
        <f>'Thematic Analysis'!$F62</f>
        <v>Strategic alignment
Risk assessment
Execution gap</v>
      </c>
      <c r="E59" s="1" t="s">
        <v>1234</v>
      </c>
      <c r="F59" s="1" t="s">
        <v>1297</v>
      </c>
      <c r="G59" s="1" t="str">
        <f>'Thematic Analysis'!$D62</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0" spans="1:7" s="6" customFormat="1" ht="150" x14ac:dyDescent="0.25">
      <c r="A60" s="2">
        <f t="shared" si="0"/>
        <v>57</v>
      </c>
      <c r="B60" s="1" t="str">
        <f>'Thematic Analysis'!$E63</f>
        <v>Development process
Integration with existing methodology
Informed decision-making</v>
      </c>
      <c r="C60" s="1" t="str">
        <f>'Thematic Analysis'!$G63</f>
        <v>System Deployment and Integration
System Deployment and Integration
System Deployment and Integration</v>
      </c>
      <c r="D60" s="1" t="str">
        <f>'Thematic Analysis'!$F63</f>
        <v>Workflow
Seamless adoption
Data-driven choices</v>
      </c>
      <c r="E60" s="1" t="s">
        <v>1235</v>
      </c>
      <c r="F60" s="1" t="s">
        <v>1298</v>
      </c>
      <c r="G60" s="1" t="str">
        <f>'Thematic Analysis'!$D63</f>
        <v>In the Content Development phase, they design and build a prototype, then review it with clinicians. We use a method called Fast Track, which makes the process quicker. The prototype helps clinicians understand the application better and decide if it works for them</v>
      </c>
    </row>
    <row r="61" spans="1:7" s="6" customFormat="1" ht="240" x14ac:dyDescent="0.25">
      <c r="A61" s="2">
        <f t="shared" si="0"/>
        <v>58</v>
      </c>
      <c r="B61" s="1" t="str">
        <f>'Thematic Analysis'!$E64</f>
        <v>Large content management
Resource constraints
Skills / Training
Scope creep</v>
      </c>
      <c r="C61" s="1" t="str">
        <f>'Thematic Analysis'!$G64</f>
        <v>Data and Information Management
Resource Management and Utilization
Employee Training and Development
Program and Project Management</v>
      </c>
      <c r="D61" s="1" t="str">
        <f>'Thematic Analysis'!$F64</f>
        <v>CMS
Limited resources
Competence building
Project control</v>
      </c>
      <c r="E61" s="1" t="s">
        <v>1236</v>
      </c>
      <c r="F61" s="1" t="s">
        <v>1299</v>
      </c>
      <c r="G61" s="1" t="str">
        <f>'Thematic Analysis'!$D64</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2" spans="1:7" s="6" customFormat="1" ht="165" x14ac:dyDescent="0.25">
      <c r="A62" s="2">
        <f t="shared" si="0"/>
        <v>59</v>
      </c>
      <c r="B62" s="1" t="str">
        <f>'Thematic Analysis'!$E65</f>
        <v>Equal system participation
Change control process
Core functionality vs area-specific needs</v>
      </c>
      <c r="C62" s="1" t="str">
        <f>'Thematic Analysis'!$G65</f>
        <v>Standardization and Streamlining Processes
Compliance and Governance
Compliance and Governance</v>
      </c>
      <c r="D62" s="1" t="str">
        <f>'Thematic Analysis'!$F65</f>
        <v>Inclusive access
Process governance
Customization</v>
      </c>
      <c r="E62" s="1" t="s">
        <v>1237</v>
      </c>
      <c r="F62" s="1" t="s">
        <v>1300</v>
      </c>
      <c r="G62" s="1" t="str">
        <f>'Thematic Analysis'!$D65</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3" spans="1:7" s="6" customFormat="1" ht="165" x14ac:dyDescent="0.25">
      <c r="A63" s="2">
        <f t="shared" si="0"/>
        <v>60</v>
      </c>
      <c r="B63" s="1" t="str">
        <f>'Thematic Analysis'!$E66</f>
        <v>Alignment
Implementation delays
Allocation of resources</v>
      </c>
      <c r="C63" s="1" t="str">
        <f>'Thematic Analysis'!$G66</f>
        <v>Business Alignment
Consumer Experience and Support
Consumer Experience and Support</v>
      </c>
      <c r="D63" s="1" t="str">
        <f>'Thematic Analysis'!$F66</f>
        <v>Strategic fit
Time management
Resource planning</v>
      </c>
      <c r="E63" s="1" t="s">
        <v>1238</v>
      </c>
      <c r="F63" s="1" t="s">
        <v>1301</v>
      </c>
      <c r="G63" s="1" t="str">
        <f>'Thematic Analysis'!$D66</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4" spans="1:7" s="6" customFormat="1" ht="165" x14ac:dyDescent="0.25">
      <c r="A64" s="2">
        <f t="shared" si="0"/>
        <v>61</v>
      </c>
      <c r="B64" s="1" t="str">
        <f>'Thematic Analysis'!$E67</f>
        <v>Management of programs
Integration of systems
Compatibility between systems</v>
      </c>
      <c r="C64" s="1" t="str">
        <f>'Thematic Analysis'!$G67</f>
        <v>Program and Project Management
System Deployment and Integration
Financial Management and Budgeting</v>
      </c>
      <c r="D64" s="1" t="str">
        <f>'Thematic Analysis'!$F67</f>
        <v>Program oversight
System merger
System harmony</v>
      </c>
      <c r="E64" s="1" t="s">
        <v>1239</v>
      </c>
      <c r="F64" s="1" t="s">
        <v>1302</v>
      </c>
      <c r="G64" s="1" t="str">
        <f>'Thematic Analysis'!$D67</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5" spans="1:7" s="6" customFormat="1" ht="135" x14ac:dyDescent="0.25">
      <c r="A65" s="2">
        <f t="shared" si="0"/>
        <v>62</v>
      </c>
      <c r="B65" s="1" t="str">
        <f>'Thematic Analysis'!$E68</f>
        <v>Integration of unified systems
Disruption to processes
Data security
Data privacy</v>
      </c>
      <c r="C65" s="1" t="str">
        <f>'Thematic Analysis'!$G68</f>
        <v>System Deployment and Integration
Resource Management and Utilization
Data and Information Management
Data Security, Quality and Privacy</v>
      </c>
      <c r="D65" s="1" t="str">
        <f>'Thematic Analysis'!$F68</f>
        <v>Single platform
Smooth transitions
Protection
Confidentiality</v>
      </c>
      <c r="E65" s="1" t="s">
        <v>1240</v>
      </c>
      <c r="F65" s="1" t="s">
        <v>1303</v>
      </c>
      <c r="G65" s="1" t="str">
        <f>'Thematic Analysis'!$D68</f>
        <v>The Corporate Systems Strategy sets up essential systems to support the Corporate Shared Services reform program, cutting duplication and costs in administrative tasks to redirect funds to frontline care, with the Corporate Systems program as its backbone.</v>
      </c>
    </row>
    <row r="66" spans="1:7" s="6" customFormat="1" ht="180" x14ac:dyDescent="0.25">
      <c r="A66" s="2">
        <f t="shared" si="0"/>
        <v>63</v>
      </c>
      <c r="B66" s="1" t="str">
        <f>'Thematic Analysis'!$E69</f>
        <v>Timeliness
Accuracy of data
Accuracy of Reporting
Integration of data
Unified platform
Data accessibility
Data privacy</v>
      </c>
      <c r="C66" s="1" t="str">
        <f>'Thematic Analysis'!$G69</f>
        <v>Operational Effectiveness and Efficiency
Data Security, Quality and Privacy
Data Security, Quality and Privacy
System Deployment and Integration
System Deployment and Integration
Data and Information Management
Data Security, Quality and Privacy</v>
      </c>
      <c r="D66" s="1" t="str">
        <f>'Thematic Analysis'!$F69</f>
        <v>Punctuality
Data integrity
Precise reports
Data fusion
Single interface
Easy access
Confidentiality</v>
      </c>
      <c r="E66" s="1" t="s">
        <v>1241</v>
      </c>
      <c r="F66" s="1" t="s">
        <v>1304</v>
      </c>
      <c r="G66" s="1" t="str">
        <f>'Thematic Analysis'!$D69</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7" spans="1:7" s="6" customFormat="1" ht="150" x14ac:dyDescent="0.25">
      <c r="A67" s="2">
        <f t="shared" si="0"/>
        <v>64</v>
      </c>
      <c r="B67" s="1" t="str">
        <f>'Thematic Analysis'!$E70</f>
        <v>Prioritization
Alignment
Monitoring</v>
      </c>
      <c r="C67" s="1" t="str">
        <f>'Thematic Analysis'!$G70</f>
        <v>Program and Project Management
Business Alignment
System Maintenance and Support</v>
      </c>
      <c r="D67" s="1" t="str">
        <f>'Thematic Analysis'!$F70</f>
        <v>Task ranking
Strategic fit
Supervision</v>
      </c>
      <c r="E67" s="1" t="s">
        <v>1242</v>
      </c>
      <c r="F67" s="1" t="s">
        <v>1305</v>
      </c>
      <c r="G67" s="1" t="str">
        <f>'Thematic Analysis'!$D70</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8" spans="1:7" s="6" customFormat="1" ht="120" x14ac:dyDescent="0.25">
      <c r="A68" s="2">
        <f t="shared" si="0"/>
        <v>65</v>
      </c>
      <c r="B68" s="1" t="str">
        <f>'Thematic Analysis'!$E71</f>
        <v>Infrastructure efficiency
Standardized information
Resource optimization</v>
      </c>
      <c r="C68" s="1" t="str">
        <f>'Thematic Analysis'!$G71</f>
        <v>Data and Information Management
Data and Information Management
Resource Management and Utilization</v>
      </c>
      <c r="D68" s="1" t="str">
        <f>'Thematic Analysis'!$F71</f>
        <v>Optimal systems
Data governance
Best use</v>
      </c>
      <c r="E68" s="1" t="s">
        <v>1243</v>
      </c>
      <c r="F68" s="1" t="s">
        <v>1306</v>
      </c>
      <c r="G68" s="1" t="str">
        <f>'Thematic Analysis'!$D71</f>
        <v>The Sustainable Infrastructure program aims to streamline technical infrastructure, establish and uphold standards and architecture for statewide ICT initiatives, and ensure maximum benefit from ICT investments.</v>
      </c>
    </row>
    <row r="69" spans="1:7" s="6" customFormat="1" ht="105" x14ac:dyDescent="0.25">
      <c r="A69" s="2">
        <f t="shared" si="0"/>
        <v>66</v>
      </c>
      <c r="B69" s="1" t="str">
        <f>'Thematic Analysis'!$E72</f>
        <v>Infrastructure coherence
Standard adherence
Data quality</v>
      </c>
      <c r="C69" s="1" t="str">
        <f>'Thematic Analysis'!$G72</f>
        <v>System Deployment and Integration
Data and Information Management
Data and Information Management</v>
      </c>
      <c r="D69" s="1" t="str">
        <f>'Thematic Analysis'!$F72</f>
        <v>Protocol compliance
High standards
High standards</v>
      </c>
      <c r="E69" s="1" t="s">
        <v>1244</v>
      </c>
      <c r="F69" s="1" t="s">
        <v>1307</v>
      </c>
      <c r="G69" s="1" t="str">
        <f>'Thematic Analysis'!$D72</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ConceptLayer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Tech Concepts</vt:lpstr>
      <vt:lpstr>Tool Data</vt:lpstr>
      <vt:lpstr>Concept</vt:lpstr>
      <vt:lpstr>Concerns_List</vt:lpstr>
      <vt:lpstr>Factors</vt:lpstr>
      <vt:lpstr>Groups</vt:lpstr>
      <vt:lpstr>Solution_Layers</vt:lpstr>
      <vt:lpstr>Solutions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cp:lastModifiedBy>
  <dcterms:created xsi:type="dcterms:W3CDTF">2015-06-05T18:17:20Z</dcterms:created>
  <dcterms:modified xsi:type="dcterms:W3CDTF">2025-06-19T07:04:14Z</dcterms:modified>
</cp:coreProperties>
</file>