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https://tewaka-my.sharepoint.com/personal/ncg33_arastudent_ac_nz/Documents/Semester 6/BCIS303/BCIS303-Assessments/BCIS303-A3/BCIS303-A3-Final/"/>
    </mc:Choice>
  </mc:AlternateContent>
  <xr:revisionPtr revIDLastSave="4157" documentId="13_ncr:1_{3C6D285A-B6DA-41E9-96AA-17E13C595A3A}" xr6:coauthVersionLast="47" xr6:coauthVersionMax="47" xr10:uidLastSave="{9BD7338D-7CE7-445D-95E6-B62C9B3850A0}"/>
  <bookViews>
    <workbookView xWindow="-120" yWindow="-120" windowWidth="29040" windowHeight="15840" xr2:uid="{00000000-000D-0000-FFFF-FFFF00000000}"/>
  </bookViews>
  <sheets>
    <sheet name="NSW Thematic Analysis" sheetId="1" r:id="rId1"/>
    <sheet name="Glossary" sheetId="2" r:id="rId2"/>
    <sheet name="Calculation One" sheetId="4" r:id="rId3"/>
    <sheet name="Calculation Two" sheetId="5" r:id="rId4"/>
    <sheet name="Model Calc" sheetId="6" r:id="rId5"/>
    <sheet name="Model" sheetId="7" r:id="rId6"/>
    <sheet name="Tech Concepts" sheetId="8" r:id="rId7"/>
    <sheet name="Tool Data" sheetId="9" r:id="rId8"/>
  </sheets>
  <functionGroups builtInGroupCount="19"/>
  <definedNames>
    <definedName name="Concerns">'NSW Thematic Analysis'!$D$10:$D$75</definedName>
    <definedName name="Concerns_List">Table1[Concerns]</definedName>
    <definedName name="ModelData">Model!$A$6:$G$301</definedName>
    <definedName name="Organizational_Values">'NSW Thematic Analysis'!$F$10:$F$75</definedName>
    <definedName name="Possible_Solutions">'NSW Thematic Analysis'!$E$10:$E$75</definedName>
    <definedName name="Possible_solutions_Unique">Table1[Possible Solutions]</definedName>
    <definedName name="Tech_Concepts">Table12[Tech Concepts]</definedName>
    <definedName name="Tech_Layers">Table12[Tech Layers]</definedName>
    <definedName name="Tech_Solutions">Table12[Possible Solution]</definedName>
    <definedName name="ThemeAcceptValue">'Model Calc'!$B$2</definedName>
    <definedName name="TopConcernValue">'Model Calc'!$F$2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 i="7" l="1"/>
  <c r="G53" i="7"/>
  <c r="G51" i="7"/>
  <c r="E49" i="7"/>
  <c r="D49" i="7"/>
  <c r="E48" i="7"/>
  <c r="D48" i="7"/>
  <c r="E47" i="7"/>
  <c r="D47" i="7"/>
  <c r="E44" i="7"/>
  <c r="D44" i="7"/>
  <c r="E43" i="7"/>
  <c r="D43" i="7"/>
  <c r="E42" i="7"/>
  <c r="D42" i="7"/>
  <c r="E39" i="7"/>
  <c r="D39" i="7"/>
  <c r="E38" i="7"/>
  <c r="D38" i="7"/>
  <c r="E37" i="7"/>
  <c r="D37" i="7"/>
  <c r="E34" i="7"/>
  <c r="D34" i="7"/>
  <c r="E33" i="7"/>
  <c r="D33" i="7"/>
  <c r="E32" i="7"/>
  <c r="D32" i="7"/>
  <c r="E29" i="7"/>
  <c r="D29" i="7"/>
  <c r="E28" i="7"/>
  <c r="D28" i="7"/>
  <c r="E27" i="7"/>
  <c r="D27" i="7"/>
  <c r="E24" i="7"/>
  <c r="D24" i="7"/>
  <c r="E23" i="7"/>
  <c r="D23" i="7"/>
  <c r="E22" i="7"/>
  <c r="D22" i="7"/>
  <c r="E19" i="7"/>
  <c r="D19" i="7"/>
  <c r="E18" i="7"/>
  <c r="D18" i="7"/>
  <c r="E17" i="7"/>
  <c r="D17" i="7"/>
  <c r="E14" i="7"/>
  <c r="D14" i="7"/>
  <c r="E13" i="7"/>
  <c r="D13" i="7"/>
  <c r="E12" i="7"/>
  <c r="D12" i="7"/>
  <c r="E9" i="7"/>
  <c r="D9" i="7"/>
  <c r="E8" i="7"/>
  <c r="D8" i="7"/>
  <c r="E7" i="7"/>
  <c r="D7" i="7"/>
  <c r="H31" i="6"/>
  <c r="G31" i="6"/>
  <c r="G30" i="6"/>
  <c r="G29" i="6"/>
  <c r="G28" i="6"/>
  <c r="G27" i="6"/>
  <c r="G26" i="6"/>
  <c r="G25" i="6"/>
  <c r="G24" i="6"/>
  <c r="G23" i="6"/>
  <c r="G22" i="6"/>
  <c r="G21" i="6"/>
  <c r="G20" i="6"/>
  <c r="G19" i="6"/>
  <c r="G18" i="6"/>
  <c r="G17" i="6"/>
  <c r="G16" i="6"/>
  <c r="G15" i="6"/>
  <c r="G14" i="6"/>
  <c r="G13" i="6"/>
  <c r="G12" i="6"/>
  <c r="G11" i="6"/>
  <c r="G10" i="6"/>
  <c r="G9" i="6"/>
  <c r="G8" i="6"/>
  <c r="G7" i="6"/>
  <c r="G6" i="6"/>
  <c r="G5" i="6"/>
  <c r="B5" i="6"/>
  <c r="B6" i="6"/>
  <c r="B7" i="6"/>
  <c r="B8" i="6"/>
  <c r="B9" i="6"/>
  <c r="B10" i="6"/>
  <c r="B11" i="6"/>
  <c r="B12" i="6"/>
  <c r="B13" i="6"/>
  <c r="J17" i="4"/>
  <c r="J6" i="4"/>
  <c r="J16" i="4"/>
  <c r="J22" i="4"/>
  <c r="J14" i="4"/>
  <c r="J13" i="4"/>
  <c r="J8" i="4"/>
  <c r="J15" i="4"/>
  <c r="J12" i="4"/>
  <c r="J7" i="4"/>
  <c r="J21" i="4"/>
  <c r="J23" i="4"/>
  <c r="J18" i="4"/>
  <c r="J11" i="4"/>
  <c r="J20" i="4"/>
  <c r="J19" i="4"/>
  <c r="J4" i="4"/>
  <c r="J3" i="4"/>
  <c r="J9" i="4"/>
  <c r="F208" i="4"/>
  <c r="F207" i="4"/>
  <c r="F206" i="4"/>
  <c r="F28" i="4"/>
  <c r="F205" i="4"/>
  <c r="F204" i="4"/>
  <c r="J10" i="4"/>
  <c r="J5" i="4"/>
  <c r="F203" i="4"/>
  <c r="F27" i="4"/>
  <c r="F202" i="4"/>
  <c r="F49" i="4"/>
  <c r="F201" i="4"/>
  <c r="F26" i="4"/>
  <c r="F200" i="4"/>
  <c r="F48" i="4"/>
  <c r="F199" i="4"/>
  <c r="F69" i="4"/>
  <c r="F25" i="4"/>
  <c r="F47" i="4"/>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A4" i="9"/>
  <c r="H30" i="6" l="1"/>
  <c r="H29" i="6"/>
  <c r="H28" i="6"/>
  <c r="H27" i="6"/>
  <c r="H26" i="6"/>
  <c r="H25" i="6"/>
  <c r="H24" i="6"/>
  <c r="H23" i="6"/>
  <c r="H22" i="6"/>
  <c r="H21" i="6"/>
  <c r="H20" i="6"/>
  <c r="H19" i="6"/>
  <c r="H18" i="6"/>
  <c r="H17" i="6"/>
  <c r="H16" i="6"/>
  <c r="H15" i="6"/>
  <c r="H14" i="6"/>
  <c r="H13" i="6"/>
  <c r="H12" i="6"/>
  <c r="H11" i="6"/>
  <c r="H10" i="6"/>
  <c r="H9" i="6"/>
  <c r="H8" i="6"/>
  <c r="H7" i="6"/>
  <c r="H6" i="6"/>
  <c r="H5" i="6"/>
  <c r="C9" i="6"/>
  <c r="C8" i="6"/>
  <c r="C6" i="6"/>
  <c r="C13" i="6"/>
  <c r="C5" i="6"/>
  <c r="C12" i="6"/>
  <c r="C11" i="6"/>
  <c r="C10" i="6"/>
  <c r="C7" i="6"/>
  <c r="K17" i="4"/>
  <c r="K6" i="4"/>
  <c r="K16" i="4"/>
  <c r="K22" i="4"/>
  <c r="K14" i="4"/>
  <c r="K13" i="4"/>
  <c r="K8" i="4"/>
  <c r="K15" i="4"/>
  <c r="K12" i="4"/>
  <c r="K7" i="4"/>
  <c r="K21" i="4"/>
  <c r="K23" i="4"/>
  <c r="K18" i="4"/>
  <c r="K11" i="4"/>
  <c r="K20" i="4"/>
  <c r="K19" i="4"/>
  <c r="K4" i="4"/>
  <c r="K3" i="4"/>
  <c r="K9" i="4"/>
  <c r="F198" i="4"/>
  <c r="F68" i="4"/>
  <c r="F197" i="4"/>
  <c r="F85" i="4"/>
  <c r="F46" i="4"/>
  <c r="F67" i="4"/>
  <c r="F196" i="4"/>
  <c r="F84" i="4"/>
  <c r="F195" i="4"/>
  <c r="F99" i="4"/>
  <c r="F66" i="4"/>
  <c r="F83" i="4"/>
  <c r="F194" i="4"/>
  <c r="F9" i="4"/>
  <c r="F193" i="4"/>
  <c r="F112" i="4"/>
  <c r="F82" i="4"/>
  <c r="F98" i="4"/>
  <c r="I64" i="1"/>
  <c r="I11" i="1"/>
  <c r="I13" i="1"/>
  <c r="I37" i="1"/>
  <c r="I38" i="1"/>
  <c r="I60" i="1"/>
  <c r="I45" i="1"/>
  <c r="I10" i="1"/>
  <c r="I65" i="1"/>
  <c r="I28" i="1"/>
  <c r="I15" i="1"/>
  <c r="I69" i="1"/>
  <c r="I42" i="1"/>
  <c r="I25" i="1"/>
  <c r="I46" i="1"/>
  <c r="I32" i="1"/>
  <c r="I55" i="1"/>
  <c r="I24" i="1"/>
  <c r="I21" i="1"/>
  <c r="I27" i="1"/>
  <c r="I29" i="1"/>
  <c r="I26" i="1"/>
  <c r="I59" i="1"/>
  <c r="I67" i="1"/>
  <c r="I30" i="1"/>
  <c r="I61" i="1"/>
  <c r="I56" i="1"/>
  <c r="I47" i="1"/>
  <c r="I31" i="1"/>
  <c r="I68" i="1"/>
  <c r="I35" i="1"/>
  <c r="I54" i="1"/>
  <c r="I62" i="1"/>
  <c r="I73" i="1"/>
  <c r="I66" i="1"/>
  <c r="I52" i="1"/>
  <c r="I70" i="1"/>
  <c r="I36" i="1"/>
  <c r="I41" i="1"/>
  <c r="I71" i="1"/>
  <c r="I20" i="1"/>
  <c r="I14" i="1"/>
  <c r="I43" i="1"/>
  <c r="I53" i="1"/>
  <c r="I63" i="1"/>
  <c r="I19" i="1"/>
  <c r="I44" i="1"/>
  <c r="I17" i="1"/>
  <c r="I23" i="1"/>
  <c r="I74" i="1"/>
  <c r="I72" i="1"/>
  <c r="I40" i="1"/>
  <c r="I12" i="1"/>
  <c r="I49" i="1"/>
  <c r="I18" i="1"/>
  <c r="I48" i="1"/>
  <c r="I58" i="1"/>
  <c r="I39" i="1"/>
  <c r="I34" i="1"/>
  <c r="I51" i="1"/>
  <c r="I50" i="1"/>
  <c r="I16" i="1"/>
  <c r="I57" i="1"/>
  <c r="I75" i="1"/>
  <c r="I22" i="1"/>
  <c r="I33" i="1"/>
  <c r="K10" i="4" l="1"/>
  <c r="K5" i="4"/>
  <c r="F192" i="4"/>
  <c r="F33" i="4"/>
  <c r="F191" i="4"/>
  <c r="F10" i="4"/>
  <c r="F97" i="4"/>
  <c r="F111" i="4"/>
  <c r="D941" i="7" l="1"/>
  <c r="D944" i="7" s="1"/>
  <c r="F54" i="4"/>
  <c r="F190" i="4"/>
  <c r="F34" i="4"/>
  <c r="F123" i="4"/>
  <c r="F189" i="4"/>
  <c r="F8" i="4"/>
  <c r="F55" i="4"/>
  <c r="F188" i="4"/>
  <c r="F134" i="4"/>
  <c r="F32" i="4"/>
  <c r="F187" i="4"/>
  <c r="F74" i="4"/>
  <c r="F143" i="4"/>
  <c r="D943" i="7" l="1"/>
  <c r="F101" i="4"/>
  <c r="F90" i="4"/>
  <c r="F110" i="4"/>
  <c r="A99" i="5"/>
  <c r="A183" i="5"/>
  <c r="A14" i="5"/>
  <c r="A47" i="5"/>
  <c r="A156" i="5"/>
  <c r="A199" i="5"/>
  <c r="A95" i="5"/>
  <c r="A96" i="5"/>
  <c r="A12" i="5"/>
  <c r="A158" i="5"/>
  <c r="A175" i="5"/>
  <c r="A78" i="5"/>
  <c r="A64" i="5"/>
  <c r="A147" i="5"/>
  <c r="A49" i="5"/>
  <c r="A41" i="5"/>
  <c r="A216" i="5"/>
  <c r="A97" i="5"/>
  <c r="A184" i="5"/>
  <c r="A192" i="5"/>
  <c r="A59" i="5"/>
  <c r="A18" i="5"/>
  <c r="A27" i="5"/>
  <c r="A193" i="5"/>
  <c r="A31" i="5"/>
  <c r="A53" i="5"/>
  <c r="A91" i="5"/>
  <c r="A89" i="5"/>
  <c r="A209" i="5"/>
  <c r="A92" i="5"/>
  <c r="A61" i="5"/>
  <c r="A135" i="5"/>
  <c r="A4" i="5"/>
  <c r="A21" i="5"/>
  <c r="A35" i="5"/>
  <c r="A168" i="5"/>
  <c r="A207" i="5"/>
  <c r="A69" i="5"/>
  <c r="A34" i="5"/>
  <c r="A103" i="5"/>
  <c r="A166" i="5"/>
  <c r="A164" i="5"/>
  <c r="A42" i="5"/>
  <c r="A188" i="5"/>
  <c r="A81" i="5"/>
  <c r="A202" i="5"/>
  <c r="A20" i="5"/>
  <c r="A90" i="5"/>
  <c r="A22" i="5"/>
  <c r="A190" i="5"/>
  <c r="A182" i="5"/>
  <c r="A55" i="5"/>
  <c r="A138" i="5"/>
  <c r="A119" i="5"/>
  <c r="A115" i="5"/>
  <c r="A33" i="5"/>
  <c r="A117" i="5"/>
  <c r="A165" i="5"/>
  <c r="A195" i="5"/>
  <c r="A121" i="5"/>
  <c r="A169" i="5"/>
  <c r="A206" i="5"/>
  <c r="A203" i="5"/>
  <c r="A186" i="5"/>
  <c r="A86" i="5"/>
  <c r="A214" i="5"/>
  <c r="A39" i="5"/>
  <c r="A148" i="5"/>
  <c r="A212" i="5"/>
  <c r="A140" i="5"/>
  <c r="A26" i="5"/>
  <c r="A38" i="5"/>
  <c r="A87" i="5"/>
  <c r="A65" i="5"/>
  <c r="A126" i="5"/>
  <c r="A167" i="5"/>
  <c r="A215" i="5"/>
  <c r="A23" i="5"/>
  <c r="A9" i="5"/>
  <c r="A194" i="5"/>
  <c r="A67" i="5"/>
  <c r="A152" i="5"/>
  <c r="A44" i="5"/>
  <c r="A82" i="5"/>
  <c r="A73" i="5"/>
  <c r="A134" i="5"/>
  <c r="A5" i="5"/>
  <c r="A151" i="5"/>
  <c r="A6" i="5"/>
  <c r="A77" i="5"/>
  <c r="A108" i="5"/>
  <c r="A159" i="5"/>
  <c r="A189" i="5"/>
  <c r="A187" i="5"/>
  <c r="A201" i="5"/>
  <c r="A125" i="5"/>
  <c r="A128" i="5"/>
  <c r="A62" i="5"/>
  <c r="A142" i="5"/>
  <c r="A181" i="5"/>
  <c r="A155" i="5"/>
  <c r="A60" i="5"/>
  <c r="A178" i="5"/>
  <c r="A122" i="5"/>
  <c r="A57" i="5"/>
  <c r="A93" i="5"/>
  <c r="A66" i="5"/>
  <c r="A28" i="5"/>
  <c r="A52" i="5"/>
  <c r="A105" i="5"/>
  <c r="A139" i="5"/>
  <c r="A124" i="5"/>
  <c r="A141" i="5"/>
  <c r="A196" i="5"/>
  <c r="A94" i="5"/>
  <c r="A76" i="5"/>
  <c r="A211" i="5"/>
  <c r="A132" i="5"/>
  <c r="A111" i="5"/>
  <c r="A173" i="5"/>
  <c r="A197" i="5"/>
  <c r="A68" i="5"/>
  <c r="A8" i="5"/>
  <c r="A160" i="5"/>
  <c r="A120" i="5"/>
  <c r="A29" i="5"/>
  <c r="A172" i="5"/>
  <c r="A162" i="5"/>
  <c r="A32" i="5"/>
  <c r="A37" i="5"/>
  <c r="A112" i="5"/>
  <c r="A130" i="5"/>
  <c r="A161" i="5"/>
  <c r="A176" i="5"/>
  <c r="A104" i="5"/>
  <c r="A84" i="5"/>
  <c r="A106" i="5"/>
  <c r="A137" i="5"/>
  <c r="A36" i="5"/>
  <c r="A205" i="5"/>
  <c r="A208" i="5"/>
  <c r="A145" i="5"/>
  <c r="A63" i="5"/>
  <c r="A180" i="5"/>
  <c r="A179" i="5"/>
  <c r="A98" i="5"/>
  <c r="A19" i="5"/>
  <c r="A17" i="5"/>
  <c r="A200" i="5"/>
  <c r="A210" i="5"/>
  <c r="A80" i="5"/>
  <c r="A7" i="5"/>
  <c r="A191" i="5"/>
  <c r="A144" i="5"/>
  <c r="A110" i="5"/>
  <c r="A70" i="5"/>
  <c r="A88" i="5"/>
  <c r="A101" i="5"/>
  <c r="A136" i="5"/>
  <c r="A24" i="5"/>
  <c r="A154" i="5"/>
  <c r="A100" i="5"/>
  <c r="A123" i="5"/>
  <c r="A198" i="5"/>
  <c r="A56" i="5"/>
  <c r="A185" i="5"/>
  <c r="A46" i="5"/>
  <c r="A48" i="5"/>
  <c r="A11" i="5"/>
  <c r="A71" i="5"/>
  <c r="A10" i="5"/>
  <c r="A177" i="5"/>
  <c r="A149" i="5"/>
  <c r="A213" i="5"/>
  <c r="A174" i="5"/>
  <c r="A83" i="5"/>
  <c r="A15" i="5"/>
  <c r="A13" i="5"/>
  <c r="A75" i="5"/>
  <c r="A109" i="5"/>
  <c r="A157" i="5"/>
  <c r="A25" i="5"/>
  <c r="A163" i="5"/>
  <c r="A170" i="5"/>
  <c r="A30" i="5"/>
  <c r="A43" i="5"/>
  <c r="A114" i="5"/>
  <c r="A146" i="5"/>
  <c r="A143" i="5"/>
  <c r="A74" i="5"/>
  <c r="A133" i="5"/>
  <c r="A102" i="5"/>
  <c r="A127" i="5"/>
  <c r="A153" i="5"/>
  <c r="A107" i="5"/>
  <c r="A116" i="5"/>
  <c r="A171" i="5"/>
  <c r="A204" i="5"/>
  <c r="A54" i="5"/>
  <c r="A118" i="5"/>
  <c r="A50" i="5"/>
  <c r="A85" i="5"/>
  <c r="A129" i="5"/>
  <c r="A51" i="5"/>
  <c r="A45" i="5"/>
  <c r="A72" i="5"/>
  <c r="A131" i="5"/>
  <c r="A150" i="5"/>
  <c r="A58" i="5"/>
  <c r="A40" i="5"/>
  <c r="A16" i="5"/>
  <c r="A113" i="5"/>
  <c r="F11" i="4"/>
  <c r="F186" i="4"/>
  <c r="F145" i="4"/>
  <c r="F122" i="4"/>
  <c r="F4" i="4"/>
  <c r="F24" i="4"/>
  <c r="F133" i="4"/>
  <c r="F162" i="4"/>
  <c r="F14" i="4"/>
  <c r="F129" i="4"/>
  <c r="F38" i="4"/>
  <c r="F139" i="4"/>
  <c r="F53" i="4"/>
  <c r="F107" i="4"/>
  <c r="F35" i="4"/>
  <c r="F170" i="4"/>
  <c r="F59" i="4"/>
  <c r="F103" i="4"/>
  <c r="F120" i="4"/>
  <c r="A79" i="5"/>
  <c r="F77" i="4"/>
  <c r="F92" i="4"/>
  <c r="F176" i="4"/>
  <c r="F65" i="4"/>
  <c r="F105" i="4"/>
  <c r="F158" i="4"/>
  <c r="F17" i="4"/>
  <c r="F22" i="4"/>
  <c r="F152" i="4"/>
  <c r="F21" i="4"/>
  <c r="F150" i="4"/>
  <c r="F137" i="4"/>
  <c r="F20" i="4"/>
  <c r="F174" i="4"/>
  <c r="F171" i="4"/>
  <c r="F167" i="4"/>
  <c r="F163" i="4"/>
  <c r="F12" i="4"/>
  <c r="F43" i="4"/>
  <c r="F117" i="4"/>
  <c r="F172" i="4"/>
  <c r="F128" i="4"/>
  <c r="F178" i="4"/>
  <c r="F164" i="4"/>
  <c r="F138" i="4"/>
  <c r="F168" i="4"/>
  <c r="F185" i="4"/>
  <c r="F141" i="4"/>
  <c r="F184" i="4"/>
  <c r="F125" i="4"/>
  <c r="F104" i="4"/>
  <c r="F114" i="4"/>
  <c r="F183" i="4"/>
  <c r="F136" i="4"/>
  <c r="F182" i="4"/>
  <c r="F42" i="4"/>
  <c r="F160" i="4"/>
  <c r="F73" i="4"/>
  <c r="F154" i="4"/>
  <c r="F181" i="4"/>
  <c r="F56" i="4"/>
  <c r="F166" i="4"/>
  <c r="F146" i="4"/>
  <c r="F62" i="4"/>
  <c r="F100" i="4"/>
  <c r="F106" i="4"/>
  <c r="F147" i="4"/>
  <c r="F157" i="4"/>
  <c r="F41" i="4"/>
  <c r="F64" i="4"/>
  <c r="F60" i="4"/>
  <c r="F93" i="4"/>
  <c r="F18" i="4"/>
  <c r="F151" i="4"/>
  <c r="F88" i="4"/>
  <c r="F159" i="4"/>
  <c r="F78" i="4"/>
  <c r="F30" i="4"/>
  <c r="F39" i="4"/>
  <c r="F148" i="4"/>
  <c r="F119" i="4"/>
  <c r="F72" i="4"/>
  <c r="F108" i="4"/>
  <c r="F36" i="4"/>
  <c r="F6" i="4"/>
  <c r="F15" i="4"/>
  <c r="F5" i="4"/>
  <c r="F142" i="4"/>
  <c r="F52" i="4"/>
  <c r="F165" i="4"/>
  <c r="F89" i="4"/>
  <c r="F44" i="4"/>
  <c r="F81" i="4"/>
  <c r="F76" i="4"/>
  <c r="F70" i="4"/>
  <c r="F126" i="4"/>
  <c r="F144" i="4"/>
  <c r="F115" i="4"/>
  <c r="F132" i="4"/>
  <c r="F95" i="4"/>
  <c r="F31" i="4"/>
  <c r="F50" i="4"/>
  <c r="F16" i="4"/>
  <c r="F131" i="4"/>
  <c r="F86" i="4"/>
  <c r="F130" i="4"/>
  <c r="F102" i="4"/>
  <c r="F173" i="4"/>
  <c r="F58" i="4"/>
  <c r="F135" i="4"/>
  <c r="F87" i="4"/>
  <c r="F155" i="4"/>
  <c r="F121" i="4"/>
  <c r="F156" i="4"/>
  <c r="F79" i="4"/>
  <c r="F40" i="4"/>
  <c r="F179" i="4"/>
  <c r="F7" i="4"/>
  <c r="F175" i="4"/>
  <c r="F37" i="4"/>
  <c r="F29" i="4"/>
  <c r="F71" i="4"/>
  <c r="F124" i="4"/>
  <c r="F153" i="4"/>
  <c r="F109" i="4"/>
  <c r="F177" i="4"/>
  <c r="F127" i="4"/>
  <c r="F91" i="4"/>
  <c r="F23" i="4"/>
  <c r="F51" i="4"/>
  <c r="F45" i="4"/>
  <c r="F80" i="4"/>
  <c r="F57" i="4"/>
  <c r="F19" i="4"/>
  <c r="F3" i="4"/>
  <c r="F149" i="4"/>
  <c r="F13" i="4"/>
  <c r="F113" i="4"/>
  <c r="F118" i="4"/>
  <c r="F63" i="4"/>
  <c r="F96" i="4"/>
  <c r="F161" i="4"/>
  <c r="F180" i="4"/>
  <c r="F116" i="4"/>
  <c r="F61" i="4"/>
  <c r="F75" i="4"/>
  <c r="F140" i="4"/>
  <c r="F169" i="4"/>
  <c r="F94" i="4"/>
  <c r="E17" i="5" l="1"/>
  <c r="E14" i="5"/>
  <c r="E4" i="5"/>
  <c r="E6" i="5"/>
  <c r="E7" i="5"/>
  <c r="E5" i="5"/>
  <c r="E16" i="5"/>
  <c r="E23" i="5"/>
  <c r="E9" i="5"/>
  <c r="E24" i="5"/>
  <c r="E22" i="5"/>
  <c r="E13" i="5"/>
  <c r="E20" i="5"/>
  <c r="E15" i="5"/>
  <c r="E11" i="5"/>
  <c r="E12" i="5"/>
  <c r="E21" i="5"/>
  <c r="E19" i="5"/>
  <c r="E18" i="5"/>
  <c r="G208" i="4"/>
  <c r="G207" i="4"/>
  <c r="G206" i="4"/>
  <c r="G28" i="4"/>
  <c r="G205" i="4"/>
  <c r="G204" i="4"/>
  <c r="E8" i="5"/>
  <c r="E10" i="5"/>
  <c r="G203" i="4"/>
  <c r="G27" i="4"/>
  <c r="G202" i="4"/>
  <c r="G49" i="4"/>
  <c r="G201" i="4"/>
  <c r="G26" i="4"/>
  <c r="G200" i="4"/>
  <c r="G48" i="4"/>
  <c r="G199" i="4"/>
  <c r="G69" i="4"/>
  <c r="G25" i="4"/>
  <c r="G47" i="4"/>
  <c r="G198" i="4"/>
  <c r="G68" i="4"/>
  <c r="G197" i="4"/>
  <c r="G85" i="4"/>
  <c r="G46" i="4"/>
  <c r="G67" i="4"/>
  <c r="G196" i="4"/>
  <c r="G84" i="4"/>
  <c r="G195" i="4"/>
  <c r="G99" i="4"/>
  <c r="G66" i="4"/>
  <c r="G83" i="4"/>
  <c r="G194" i="4"/>
  <c r="G9" i="4"/>
  <c r="G193" i="4"/>
  <c r="G112" i="4"/>
  <c r="G82" i="4"/>
  <c r="G98" i="4"/>
  <c r="G192" i="4"/>
  <c r="G33" i="4"/>
  <c r="G191" i="4"/>
  <c r="G10" i="4"/>
  <c r="G97" i="4"/>
  <c r="G111" i="4"/>
  <c r="G190" i="4"/>
  <c r="G54" i="4"/>
  <c r="G34" i="4"/>
  <c r="G123" i="4"/>
  <c r="G189" i="4"/>
  <c r="G8" i="4"/>
  <c r="G55" i="4"/>
  <c r="G134" i="4"/>
  <c r="G188" i="4"/>
  <c r="G187" i="4"/>
  <c r="G32" i="4"/>
  <c r="G74" i="4"/>
  <c r="G143" i="4"/>
  <c r="G101" i="4"/>
  <c r="G90" i="4"/>
  <c r="G110" i="4"/>
  <c r="G11" i="4"/>
  <c r="G186" i="4"/>
  <c r="G145" i="4"/>
  <c r="G122" i="4"/>
  <c r="G4" i="4"/>
  <c r="G24" i="4"/>
  <c r="G133" i="4"/>
  <c r="G162" i="4"/>
  <c r="G14" i="4"/>
  <c r="G129" i="4"/>
  <c r="G38" i="4"/>
  <c r="G139" i="4"/>
  <c r="G53" i="4"/>
  <c r="G107" i="4"/>
  <c r="G35" i="4"/>
  <c r="G170" i="4"/>
  <c r="G59" i="4"/>
  <c r="G103" i="4"/>
  <c r="G120" i="4"/>
  <c r="G77" i="4"/>
  <c r="G92" i="4"/>
  <c r="G176" i="4"/>
  <c r="G65" i="4"/>
  <c r="G105" i="4"/>
  <c r="G158" i="4"/>
  <c r="G17" i="4"/>
  <c r="G22" i="4"/>
  <c r="G152" i="4"/>
  <c r="G21" i="4"/>
  <c r="G150" i="4"/>
  <c r="G137" i="4"/>
  <c r="G20" i="4"/>
  <c r="G174" i="4"/>
  <c r="G171" i="4"/>
  <c r="G167" i="4"/>
  <c r="G163" i="4"/>
  <c r="G12" i="4"/>
  <c r="G43" i="4"/>
  <c r="G117" i="4"/>
  <c r="G172" i="4"/>
  <c r="G128" i="4"/>
  <c r="G178" i="4"/>
  <c r="G164" i="4"/>
  <c r="G138" i="4"/>
  <c r="G168" i="4"/>
  <c r="G185" i="4"/>
  <c r="G141" i="4"/>
  <c r="G184" i="4"/>
  <c r="G125" i="4"/>
  <c r="G104" i="4"/>
  <c r="G114" i="4"/>
  <c r="G183" i="4"/>
  <c r="G136" i="4"/>
  <c r="G182" i="4"/>
  <c r="G42" i="4"/>
  <c r="G160" i="4"/>
  <c r="G73" i="4"/>
  <c r="G154" i="4"/>
  <c r="G181" i="4"/>
  <c r="G56" i="4"/>
  <c r="G166" i="4"/>
  <c r="G146" i="4"/>
  <c r="G62" i="4"/>
  <c r="G100" i="4"/>
  <c r="G106" i="4"/>
  <c r="G147" i="4"/>
  <c r="G157" i="4"/>
  <c r="G41" i="4"/>
  <c r="G64" i="4"/>
  <c r="G60" i="4"/>
  <c r="G93" i="4"/>
  <c r="G18" i="4"/>
  <c r="G151" i="4"/>
  <c r="G88" i="4"/>
  <c r="G159" i="4"/>
  <c r="G78" i="4"/>
  <c r="G30" i="4"/>
  <c r="G39" i="4"/>
  <c r="G148" i="4"/>
  <c r="G119" i="4"/>
  <c r="G72" i="4"/>
  <c r="G108" i="4"/>
  <c r="G36" i="4"/>
  <c r="G6" i="4"/>
  <c r="G15" i="4"/>
  <c r="G5" i="4"/>
  <c r="G142" i="4"/>
  <c r="G52" i="4"/>
  <c r="G165" i="4"/>
  <c r="G89" i="4"/>
  <c r="G44" i="4"/>
  <c r="G81" i="4"/>
  <c r="G76" i="4"/>
  <c r="G70" i="4"/>
  <c r="G126" i="4"/>
  <c r="G144" i="4"/>
  <c r="G115" i="4"/>
  <c r="G132" i="4"/>
  <c r="G95" i="4"/>
  <c r="G31" i="4"/>
  <c r="G50" i="4"/>
  <c r="G16" i="4"/>
  <c r="G131" i="4"/>
  <c r="G86" i="4"/>
  <c r="G130" i="4"/>
  <c r="G102" i="4"/>
  <c r="G173" i="4"/>
  <c r="G58" i="4"/>
  <c r="G135" i="4"/>
  <c r="G87" i="4"/>
  <c r="G155" i="4"/>
  <c r="G121" i="4"/>
  <c r="G156" i="4"/>
  <c r="G79" i="4"/>
  <c r="G40" i="4"/>
  <c r="G179" i="4"/>
  <c r="G7" i="4"/>
  <c r="G175" i="4"/>
  <c r="G37" i="4"/>
  <c r="G29" i="4"/>
  <c r="G71" i="4"/>
  <c r="G124" i="4"/>
  <c r="G153" i="4"/>
  <c r="G109" i="4"/>
  <c r="G177" i="4"/>
  <c r="G127" i="4"/>
  <c r="G91" i="4"/>
  <c r="G23" i="4"/>
  <c r="G51" i="4"/>
  <c r="G45" i="4"/>
  <c r="G80" i="4"/>
  <c r="G57" i="4"/>
  <c r="G19" i="4"/>
  <c r="G3" i="4"/>
  <c r="G149" i="4"/>
  <c r="G13" i="4"/>
  <c r="G113" i="4"/>
  <c r="G118" i="4"/>
  <c r="G63" i="4"/>
  <c r="G96" i="4"/>
  <c r="G161" i="4"/>
  <c r="G180" i="4"/>
  <c r="G116" i="4"/>
  <c r="G61" i="4"/>
  <c r="G75" i="4"/>
  <c r="B3" i="4"/>
  <c r="F17" i="5" l="1"/>
  <c r="F6" i="5"/>
  <c r="F16" i="5"/>
  <c r="F24" i="5"/>
  <c r="F13" i="5"/>
  <c r="F15" i="5"/>
  <c r="F12" i="5"/>
  <c r="F19" i="5"/>
  <c r="F14" i="5"/>
  <c r="F7" i="5"/>
  <c r="F23" i="5"/>
  <c r="F22" i="5"/>
  <c r="F20" i="5"/>
  <c r="F11" i="5"/>
  <c r="F21" i="5"/>
  <c r="F18" i="5"/>
  <c r="F4" i="5"/>
  <c r="F5" i="5"/>
  <c r="F9" i="5"/>
  <c r="F10" i="5"/>
  <c r="F8" i="5"/>
  <c r="G169" i="4"/>
  <c r="G140" i="4"/>
  <c r="G94" i="4"/>
  <c r="B30" i="4"/>
  <c r="B31" i="4"/>
  <c r="B32" i="4"/>
  <c r="B33" i="4"/>
  <c r="B34" i="4"/>
  <c r="B7" i="4"/>
  <c r="B35" i="4"/>
  <c r="B36" i="4"/>
  <c r="B37" i="4"/>
  <c r="B38" i="4"/>
  <c r="B16" i="4"/>
  <c r="B10" i="4"/>
  <c r="B4" i="4"/>
  <c r="B39" i="4"/>
  <c r="B40" i="4"/>
  <c r="B11" i="4"/>
  <c r="B41" i="4"/>
  <c r="B6" i="4"/>
  <c r="B17" i="4"/>
  <c r="B18" i="4"/>
  <c r="B42" i="4"/>
  <c r="B43" i="4"/>
  <c r="B44" i="4"/>
  <c r="B45" i="4"/>
  <c r="B46" i="4"/>
  <c r="B15" i="4"/>
  <c r="B47" i="4"/>
  <c r="B48" i="4"/>
  <c r="B19" i="4"/>
  <c r="B20" i="4"/>
  <c r="B49" i="4"/>
  <c r="B50" i="4"/>
  <c r="B21" i="4"/>
  <c r="B51" i="4"/>
  <c r="B22" i="4"/>
  <c r="B52" i="4"/>
  <c r="B53" i="4"/>
  <c r="B54" i="4"/>
  <c r="B55" i="4"/>
  <c r="B26" i="4"/>
  <c r="B23" i="4"/>
  <c r="B56" i="4"/>
  <c r="B57" i="4"/>
  <c r="B58" i="4"/>
  <c r="B59" i="4"/>
  <c r="B8" i="4"/>
  <c r="B60" i="4"/>
  <c r="B5" i="4"/>
  <c r="B61" i="4"/>
  <c r="B62" i="4"/>
  <c r="B63" i="4"/>
  <c r="B64" i="4"/>
  <c r="B65" i="4"/>
  <c r="B66" i="4"/>
  <c r="B67" i="4"/>
  <c r="B68" i="4"/>
  <c r="B69" i="4"/>
  <c r="B70" i="4"/>
  <c r="B71" i="4"/>
  <c r="B9" i="4"/>
  <c r="B29" i="4"/>
  <c r="B72" i="4"/>
  <c r="B24" i="4"/>
  <c r="B73" i="4"/>
  <c r="B74" i="4"/>
  <c r="B12"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2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8" i="4"/>
  <c r="B201" i="4"/>
  <c r="B202" i="4"/>
  <c r="B203" i="4"/>
  <c r="B204" i="4"/>
  <c r="B25" i="4"/>
  <c r="B205" i="4"/>
  <c r="B206" i="4"/>
  <c r="B207" i="4"/>
  <c r="B208" i="4"/>
  <c r="B209" i="4"/>
  <c r="B210" i="4"/>
  <c r="B13" i="4"/>
  <c r="B14" i="4"/>
  <c r="B211" i="4"/>
  <c r="B212" i="4"/>
  <c r="B213" i="4"/>
  <c r="B214" i="4"/>
  <c r="B215" i="4"/>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1" i="1"/>
  <c r="H12" i="1" l="1"/>
  <c r="A5" i="9"/>
  <c r="C14" i="4"/>
  <c r="C190" i="4"/>
  <c r="C142" i="4"/>
  <c r="C118" i="4"/>
  <c r="C103" i="4"/>
  <c r="C197" i="4"/>
  <c r="C215" i="4"/>
  <c r="C209" i="4"/>
  <c r="C202" i="4"/>
  <c r="C195" i="4"/>
  <c r="C187" i="4"/>
  <c r="C179" i="4"/>
  <c r="C171" i="4"/>
  <c r="C163" i="4"/>
  <c r="C155" i="4"/>
  <c r="C147" i="4"/>
  <c r="C139" i="4"/>
  <c r="C131" i="4"/>
  <c r="C123" i="4"/>
  <c r="C115" i="4"/>
  <c r="C27" i="4"/>
  <c r="C100" i="4"/>
  <c r="C92" i="4"/>
  <c r="C84" i="4"/>
  <c r="C76" i="4"/>
  <c r="C9" i="4"/>
  <c r="C64" i="4"/>
  <c r="C58" i="4"/>
  <c r="C52" i="4"/>
  <c r="C48" i="4"/>
  <c r="C4" i="4"/>
  <c r="C3" i="4"/>
  <c r="C34" i="4"/>
  <c r="C25" i="4"/>
  <c r="C150" i="4"/>
  <c r="C194" i="4"/>
  <c r="C178" i="4"/>
  <c r="C170" i="4"/>
  <c r="C162" i="4"/>
  <c r="C154" i="4"/>
  <c r="C146" i="4"/>
  <c r="C138" i="4"/>
  <c r="C130" i="4"/>
  <c r="C122" i="4"/>
  <c r="C114" i="4"/>
  <c r="C107" i="4"/>
  <c r="C99" i="4"/>
  <c r="C91" i="4"/>
  <c r="C83" i="4"/>
  <c r="C75" i="4"/>
  <c r="C71" i="4"/>
  <c r="C63" i="4"/>
  <c r="C57" i="4"/>
  <c r="C22" i="4"/>
  <c r="C47" i="4"/>
  <c r="C18" i="4"/>
  <c r="C10" i="4"/>
  <c r="C33" i="4"/>
  <c r="C174" i="4"/>
  <c r="C208" i="4"/>
  <c r="C213" i="4"/>
  <c r="C28" i="4"/>
  <c r="C185" i="4"/>
  <c r="C177" i="4"/>
  <c r="C169" i="4"/>
  <c r="C161" i="4"/>
  <c r="C153" i="4"/>
  <c r="C145" i="4"/>
  <c r="C137" i="4"/>
  <c r="C129" i="4"/>
  <c r="C121" i="4"/>
  <c r="C113" i="4"/>
  <c r="C106" i="4"/>
  <c r="C98" i="4"/>
  <c r="C90" i="4"/>
  <c r="C82" i="4"/>
  <c r="C12" i="4"/>
  <c r="C70" i="4"/>
  <c r="C62" i="4"/>
  <c r="C56" i="4"/>
  <c r="C51" i="4"/>
  <c r="C15" i="4"/>
  <c r="C17" i="4"/>
  <c r="C16" i="4"/>
  <c r="C32" i="4"/>
  <c r="C214" i="4"/>
  <c r="C186" i="4"/>
  <c r="C212" i="4"/>
  <c r="C206" i="4"/>
  <c r="C200" i="4"/>
  <c r="C192" i="4"/>
  <c r="C184" i="4"/>
  <c r="C176" i="4"/>
  <c r="C168" i="4"/>
  <c r="C160" i="4"/>
  <c r="C152" i="4"/>
  <c r="C144" i="4"/>
  <c r="C136" i="4"/>
  <c r="C128" i="4"/>
  <c r="C120" i="4"/>
  <c r="C112" i="4"/>
  <c r="C105" i="4"/>
  <c r="C97" i="4"/>
  <c r="C89" i="4"/>
  <c r="C81" i="4"/>
  <c r="C74" i="4"/>
  <c r="C69" i="4"/>
  <c r="C61" i="4"/>
  <c r="C23" i="4"/>
  <c r="C21" i="4"/>
  <c r="C46" i="4"/>
  <c r="C6" i="4"/>
  <c r="C38" i="4"/>
  <c r="C31" i="4"/>
  <c r="C198" i="4"/>
  <c r="C158" i="4"/>
  <c r="C201" i="4"/>
  <c r="C207" i="4"/>
  <c r="C193" i="4"/>
  <c r="C211" i="4"/>
  <c r="C205" i="4"/>
  <c r="C199" i="4"/>
  <c r="C191" i="4"/>
  <c r="C183" i="4"/>
  <c r="C175" i="4"/>
  <c r="C167" i="4"/>
  <c r="C159" i="4"/>
  <c r="C151" i="4"/>
  <c r="C143" i="4"/>
  <c r="C135" i="4"/>
  <c r="C127" i="4"/>
  <c r="C119" i="4"/>
  <c r="C111" i="4"/>
  <c r="C104" i="4"/>
  <c r="C96" i="4"/>
  <c r="C88" i="4"/>
  <c r="C80" i="4"/>
  <c r="C73" i="4"/>
  <c r="C68" i="4"/>
  <c r="C5" i="4"/>
  <c r="C26" i="4"/>
  <c r="C50" i="4"/>
  <c r="C45" i="4"/>
  <c r="C41" i="4"/>
  <c r="C37" i="4"/>
  <c r="C30" i="4"/>
  <c r="C95" i="4"/>
  <c r="C87" i="4"/>
  <c r="C79" i="4"/>
  <c r="C24" i="4"/>
  <c r="C67" i="4"/>
  <c r="C60" i="4"/>
  <c r="C55" i="4"/>
  <c r="C49" i="4"/>
  <c r="C44" i="4"/>
  <c r="C11" i="4"/>
  <c r="C36" i="4"/>
  <c r="C182" i="4"/>
  <c r="C134" i="4"/>
  <c r="C110" i="4"/>
  <c r="C204" i="4"/>
  <c r="C189" i="4"/>
  <c r="C181" i="4"/>
  <c r="C173" i="4"/>
  <c r="C165" i="4"/>
  <c r="C157" i="4"/>
  <c r="C149" i="4"/>
  <c r="C141" i="4"/>
  <c r="C133" i="4"/>
  <c r="C125" i="4"/>
  <c r="C117" i="4"/>
  <c r="C109" i="4"/>
  <c r="C102" i="4"/>
  <c r="C94" i="4"/>
  <c r="C86" i="4"/>
  <c r="C78" i="4"/>
  <c r="C72" i="4"/>
  <c r="C66" i="4"/>
  <c r="C8" i="4"/>
  <c r="C54" i="4"/>
  <c r="C20" i="4"/>
  <c r="C43" i="4"/>
  <c r="C40" i="4"/>
  <c r="C35" i="4"/>
  <c r="C166" i="4"/>
  <c r="C126" i="4"/>
  <c r="C13" i="4"/>
  <c r="C210" i="4"/>
  <c r="C203" i="4"/>
  <c r="C196" i="4"/>
  <c r="C188" i="4"/>
  <c r="C180" i="4"/>
  <c r="C172" i="4"/>
  <c r="C164" i="4"/>
  <c r="C156" i="4"/>
  <c r="C148" i="4"/>
  <c r="C140" i="4"/>
  <c r="C132" i="4"/>
  <c r="C124" i="4"/>
  <c r="C116" i="4"/>
  <c r="C108" i="4"/>
  <c r="C101" i="4"/>
  <c r="C93" i="4"/>
  <c r="C85" i="4"/>
  <c r="C77" i="4"/>
  <c r="C29" i="4"/>
  <c r="C65" i="4"/>
  <c r="C59" i="4"/>
  <c r="C53" i="4"/>
  <c r="C19" i="4"/>
  <c r="C42" i="4"/>
  <c r="C39" i="4"/>
  <c r="C7" i="4"/>
  <c r="H13" i="1" l="1"/>
  <c r="A6" i="9"/>
  <c r="H14" i="1" l="1"/>
  <c r="A7" i="9"/>
  <c r="H15" i="1" l="1"/>
  <c r="A8" i="9"/>
  <c r="H16" i="1" l="1"/>
  <c r="A9" i="9"/>
  <c r="H17" i="1" l="1"/>
  <c r="A10" i="9"/>
  <c r="H18" i="1" l="1"/>
  <c r="A11" i="9"/>
  <c r="H19" i="1" l="1"/>
  <c r="A12" i="9"/>
  <c r="H20" i="1" l="1"/>
  <c r="A13" i="9"/>
  <c r="H21" i="1" l="1"/>
  <c r="A14" i="9"/>
  <c r="H22" i="1" l="1"/>
  <c r="A15" i="9"/>
  <c r="H23" i="1" l="1"/>
  <c r="A16" i="9"/>
  <c r="H24" i="1" l="1"/>
  <c r="A17" i="9"/>
  <c r="H25" i="1" l="1"/>
  <c r="A18" i="9"/>
  <c r="H26" i="1" l="1"/>
  <c r="A19" i="9"/>
  <c r="H27" i="1" l="1"/>
  <c r="A20" i="9"/>
  <c r="H28" i="1" l="1"/>
  <c r="A21" i="9"/>
  <c r="H29" i="1" l="1"/>
  <c r="A22" i="9"/>
  <c r="H30" i="1" l="1"/>
  <c r="A23" i="9"/>
  <c r="H31" i="1" l="1"/>
  <c r="A24" i="9"/>
  <c r="H32" i="1" l="1"/>
  <c r="A25" i="9"/>
  <c r="H33" i="1" l="1"/>
  <c r="A26" i="9"/>
  <c r="H34" i="1" l="1"/>
  <c r="A27" i="9"/>
  <c r="H35" i="1" l="1"/>
  <c r="A28" i="9"/>
  <c r="H36" i="1" l="1"/>
  <c r="A29" i="9"/>
  <c r="H37" i="1" l="1"/>
  <c r="A30" i="9"/>
  <c r="H38" i="1" l="1"/>
  <c r="A31" i="9"/>
  <c r="H39" i="1" l="1"/>
  <c r="A32" i="9"/>
  <c r="H40" i="1" l="1"/>
  <c r="A33" i="9"/>
  <c r="H41" i="1" l="1"/>
  <c r="A34" i="9"/>
  <c r="H42" i="1" l="1"/>
  <c r="A35" i="9"/>
  <c r="H43" i="1" l="1"/>
  <c r="A36" i="9"/>
  <c r="H44" i="1" l="1"/>
  <c r="A37" i="9"/>
  <c r="H45" i="1" l="1"/>
  <c r="A38" i="9"/>
  <c r="H46" i="1" l="1"/>
  <c r="A39" i="9"/>
  <c r="H47" i="1" l="1"/>
  <c r="A40" i="9"/>
  <c r="H48" i="1" l="1"/>
  <c r="A41" i="9"/>
  <c r="H49" i="1" l="1"/>
  <c r="A42" i="9"/>
  <c r="H50" i="1" l="1"/>
  <c r="A43" i="9"/>
  <c r="H51" i="1" l="1"/>
  <c r="A44" i="9"/>
  <c r="H52" i="1" l="1"/>
  <c r="A45" i="9"/>
  <c r="H53" i="1" l="1"/>
  <c r="A46" i="9"/>
  <c r="H54" i="1" l="1"/>
  <c r="A47" i="9"/>
  <c r="H55" i="1" l="1"/>
  <c r="A48" i="9"/>
  <c r="H56" i="1" l="1"/>
  <c r="A49" i="9"/>
  <c r="H57" i="1" l="1"/>
  <c r="A50" i="9"/>
  <c r="H58" i="1" l="1"/>
  <c r="A51" i="9"/>
  <c r="H59" i="1" l="1"/>
  <c r="A52" i="9"/>
  <c r="H60" i="1" l="1"/>
  <c r="A53" i="9"/>
  <c r="H61" i="1" l="1"/>
  <c r="A54" i="9"/>
  <c r="H62" i="1" l="1"/>
  <c r="A55" i="9"/>
  <c r="H63" i="1" l="1"/>
  <c r="A56" i="9"/>
  <c r="H64" i="1" l="1"/>
  <c r="A57" i="9"/>
  <c r="H65" i="1" l="1"/>
  <c r="A58" i="9"/>
  <c r="H66" i="1" l="1"/>
  <c r="A59" i="9"/>
  <c r="H67" i="1" l="1"/>
  <c r="A60" i="9"/>
  <c r="H68" i="1" l="1"/>
  <c r="A61" i="9"/>
  <c r="H69" i="1" l="1"/>
  <c r="A62" i="9"/>
  <c r="H70" i="1" l="1"/>
  <c r="A63" i="9"/>
  <c r="H71" i="1" l="1"/>
  <c r="A64" i="9"/>
  <c r="H72" i="1" l="1"/>
  <c r="A65" i="9"/>
  <c r="H73" i="1" l="1"/>
  <c r="A66" i="9"/>
  <c r="H74" i="1" l="1"/>
  <c r="A67" i="9"/>
  <c r="H75" i="1" l="1"/>
  <c r="A68" i="9"/>
  <c r="A69" i="9" l="1"/>
  <c r="H5" i="1"/>
</calcChain>
</file>

<file path=xl/sharedStrings.xml><?xml version="1.0" encoding="utf-8"?>
<sst xmlns="http://schemas.openxmlformats.org/spreadsheetml/2006/main" count="2739" uniqueCount="1375">
  <si>
    <t>Thematic analysis and coding template</t>
  </si>
  <si>
    <t xml:space="preserve">Issues Count: </t>
  </si>
  <si>
    <t>What are you looking for? What is your discovery question/purpose</t>
  </si>
  <si>
    <t>Notes/Additional</t>
  </si>
  <si>
    <t>Count</t>
  </si>
  <si>
    <t>https://moodle.ara.ac.nz/pluginfile.php/1604914/mod_page/content/13/Case%20Study%2001%20NSW%20Health%20%281%29.pdf</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</si>
  <si>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</si>
  <si>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</si>
  <si>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</si>
  <si>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</si>
  <si>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</si>
  <si>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</si>
  <si>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</si>
  <si>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</si>
  <si>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</si>
  <si>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</si>
  <si>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</si>
  <si>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</si>
  <si>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</si>
  <si>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</si>
  <si>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</si>
  <si>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</si>
  <si>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</si>
  <si>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</si>
  <si>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</si>
  <si>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</si>
  <si>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</si>
  <si>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</si>
  <si>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</si>
  <si>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</si>
  <si>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</si>
  <si>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</si>
  <si>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</si>
  <si>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</si>
  <si>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</si>
  <si>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</si>
  <si>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</si>
  <si>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</si>
  <si>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</si>
  <si>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</si>
  <si>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</si>
  <si>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</si>
  <si>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</si>
  <si>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</si>
  <si>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</si>
  <si>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</si>
  <si>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</si>
  <si>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</si>
  <si>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</si>
  <si>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</si>
  <si>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</si>
  <si>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</si>
  <si>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</si>
  <si>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</si>
  <si>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</si>
  <si>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</si>
  <si>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</si>
  <si>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</si>
  <si>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</si>
  <si>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</si>
  <si>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</si>
  <si>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</si>
  <si>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</si>
  <si>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</si>
  <si>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</si>
  <si>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</si>
  <si>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</si>
  <si>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</si>
  <si>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</si>
  <si>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</si>
  <si>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</si>
  <si>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</si>
  <si>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</si>
  <si>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</si>
  <si>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</si>
  <si>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</si>
  <si>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</si>
  <si>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</si>
  <si>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</si>
  <si>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</si>
  <si>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</si>
  <si>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</si>
  <si>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</si>
  <si>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</si>
  <si>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</si>
  <si>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</si>
  <si>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</si>
  <si>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</si>
  <si>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</si>
  <si>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</si>
  <si>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</si>
  <si>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</si>
  <si>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</si>
  <si>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</si>
  <si>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</si>
  <si>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</si>
  <si>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</si>
  <si>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</si>
  <si>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</si>
  <si>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</si>
  <si>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</si>
  <si>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</si>
  <si>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</si>
  <si>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</si>
  <si>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</si>
  <si>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</si>
  <si>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</si>
  <si>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</si>
  <si>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</si>
  <si>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</si>
  <si>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</si>
  <si>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</si>
  <si>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</si>
  <si>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</si>
  <si>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</si>
  <si>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Data sharing
Performance monitoring
Maintenance costs</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</si>
  <si>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</si>
  <si>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</si>
  <si>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</si>
  <si>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</si>
  <si>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</si>
  <si>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</si>
  <si>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</si>
  <si>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</si>
  <si>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</si>
  <si>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</si>
  <si>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</si>
  <si>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</si>
  <si>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</si>
  <si>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</si>
  <si>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</si>
  <si>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</si>
  <si>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</si>
  <si>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</si>
  <si>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</si>
  <si>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</si>
  <si>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</si>
  <si>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</si>
  <si>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</si>
  <si>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</si>
  <si>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</si>
  <si>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</si>
  <si>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</si>
  <si>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</si>
  <si>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</si>
  <si>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</si>
  <si>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</si>
  <si>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</si>
  <si>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</si>
  <si>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</si>
  <si>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</si>
  <si>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</si>
  <si>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</si>
  <si>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</si>
  <si>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</si>
  <si>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</si>
  <si>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</si>
  <si>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</si>
  <si>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</si>
  <si>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</si>
  <si>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</si>
  <si>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</si>
  <si>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</si>
  <si>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</si>
  <si>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</si>
  <si>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</si>
  <si>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</si>
  <si>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</si>
  <si>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</si>
  <si>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</si>
  <si>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</si>
  <si>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</si>
  <si>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</si>
  <si>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</si>
  <si>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</si>
  <si>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</si>
  <si>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</si>
  <si>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</si>
  <si>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</si>
  <si>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</si>
  <si>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</si>
  <si>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</si>
  <si>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</si>
  <si>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</si>
  <si>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</si>
  <si>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</si>
  <si>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</si>
  <si>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</si>
  <si>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</si>
  <si>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</si>
  <si>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</si>
  <si>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</si>
  <si>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</si>
  <si>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</si>
  <si>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</si>
  <si>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</si>
  <si>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</si>
  <si>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</si>
  <si>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</si>
  <si>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</si>
  <si>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</si>
  <si>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</si>
  <si>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</si>
  <si>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</si>
  <si>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</si>
  <si>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</si>
  <si>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</si>
  <si>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</si>
  <si>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</si>
  <si>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</si>
  <si>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</si>
  <si>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</si>
  <si>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</si>
  <si>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</si>
  <si>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</si>
  <si>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</si>
  <si>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</si>
  <si>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</si>
  <si>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</si>
  <si>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</si>
  <si>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</si>
  <si>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</si>
  <si>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</si>
  <si>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</si>
  <si>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</si>
  <si>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</si>
  <si>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</si>
  <si>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</si>
  <si>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</si>
  <si>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</si>
  <si>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</si>
  <si>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</si>
  <si>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</si>
  <si>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</si>
  <si>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</si>
  <si>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</si>
  <si>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</si>
  <si>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</si>
  <si>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</si>
  <si>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</si>
  <si>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</si>
  <si>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</si>
  <si>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</si>
  <si>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</si>
  <si>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</si>
  <si>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</si>
  <si>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</si>
  <si>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</si>
  <si>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</si>
  <si>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</si>
  <si>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</si>
  <si>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</si>
  <si>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</si>
  <si>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</si>
  <si>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</si>
  <si>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</si>
  <si>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</si>
  <si>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</si>
  <si>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</si>
  <si>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</si>
  <si>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</si>
  <si>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</si>
  <si>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</si>
  <si>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</si>
  <si>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</si>
  <si>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</si>
  <si>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</si>
  <si>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</si>
  <si>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</si>
  <si>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</si>
  <si>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</si>
  <si>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</si>
  <si>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</si>
  <si>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</si>
  <si>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</si>
  <si>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</si>
  <si>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</si>
  <si>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</si>
  <si>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</si>
  <si>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</si>
  <si>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</si>
  <si>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</si>
  <si>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</si>
  <si>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</si>
  <si>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</si>
  <si>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</si>
  <si>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</si>
  <si>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</si>
  <si>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</si>
  <si>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</si>
  <si>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</si>
  <si>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</si>
  <si>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</si>
  <si>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</si>
  <si>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</si>
  <si>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</si>
  <si>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</si>
  <si>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</si>
  <si>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</si>
  <si>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</si>
  <si>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</si>
  <si>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</si>
  <si>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</si>
  <si>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</si>
  <si>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</si>
  <si>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</si>
  <si>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</si>
  <si>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</si>
  <si>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</si>
  <si>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</si>
  <si>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</si>
  <si>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</si>
  <si>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</si>
  <si>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</si>
  <si>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</si>
  <si>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</si>
  <si>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</si>
  <si>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</si>
  <si>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</si>
  <si>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</si>
  <si>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</si>
  <si>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</si>
  <si>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</si>
  <si>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</si>
  <si>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</si>
  <si>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</si>
  <si>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</si>
  <si>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</si>
  <si>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</si>
  <si>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</si>
  <si>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Duplication
Disparate systems
Outdated infrastructure</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</si>
  <si>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</si>
  <si>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</si>
  <si>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</si>
  <si>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</si>
  <si>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</si>
  <si>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</si>
  <si>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</si>
  <si>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</si>
  <si>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</si>
  <si>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</si>
  <si>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</si>
  <si>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</si>
  <si>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</si>
  <si>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</si>
  <si>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</si>
  <si>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</si>
  <si>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</si>
  <si>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</si>
  <si>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</si>
  <si>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</si>
  <si>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</si>
  <si>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</si>
  <si>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</si>
  <si>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</si>
  <si>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</si>
  <si>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</si>
  <si>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</si>
  <si>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</si>
  <si>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</si>
  <si>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</si>
  <si>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</si>
  <si>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</si>
  <si>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</si>
  <si>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</si>
  <si>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</si>
  <si>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</si>
  <si>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</si>
  <si>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Table 1: Glossary</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</si>
  <si>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</si>
  <si>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</si>
  <si>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</si>
  <si>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</si>
  <si>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</si>
  <si>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</si>
  <si>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</si>
  <si>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</si>
  <si>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</si>
  <si>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</si>
  <si>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</si>
  <si>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</si>
  <si>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</si>
  <si>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</si>
  <si>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</si>
  <si>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</si>
  <si>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</si>
  <si>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</si>
  <si>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</si>
  <si>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</si>
  <si>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</si>
  <si>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</si>
  <si>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</si>
  <si>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</si>
  <si>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</si>
  <si>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</si>
  <si>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</si>
  <si>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</si>
  <si>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</si>
  <si>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</si>
  <si>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</si>
  <si>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</si>
  <si>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</si>
  <si>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</si>
  <si>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</si>
  <si>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</si>
  <si>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</si>
  <si>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</si>
  <si>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</si>
  <si>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</si>
  <si>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</si>
  <si>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</si>
  <si>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</si>
  <si>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</si>
  <si>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</si>
  <si>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</si>
  <si>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</si>
  <si>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</si>
  <si>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</si>
  <si>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</si>
  <si>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</si>
  <si>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</si>
  <si>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</si>
  <si>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</si>
  <si>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</si>
  <si>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</si>
  <si>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</si>
  <si>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</si>
  <si>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</si>
  <si>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</si>
  <si>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</si>
  <si>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</si>
  <si>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</si>
  <si>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</si>
  <si>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</si>
  <si>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</si>
  <si>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</si>
  <si>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</si>
  <si>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</si>
  <si>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</si>
  <si>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</si>
  <si>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</si>
  <si>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</si>
  <si>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</si>
  <si>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</si>
  <si>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</si>
  <si>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</si>
  <si>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</si>
  <si>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</si>
  <si>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</si>
  <si>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</si>
  <si>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</si>
  <si>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</si>
  <si>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</si>
  <si>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</si>
  <si>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</si>
  <si>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</si>
  <si>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</si>
  <si>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</si>
  <si>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</si>
  <si>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</si>
  <si>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</si>
  <si>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</si>
  <si>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</si>
  <si>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</si>
  <si>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</si>
  <si>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</si>
  <si>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</si>
  <si>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</si>
  <si>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</si>
  <si>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</si>
  <si>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</si>
  <si>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</si>
  <si>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</si>
  <si>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</si>
  <si>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</si>
  <si>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</si>
  <si>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</si>
  <si>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</si>
  <si>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</si>
  <si>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</si>
  <si>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</si>
  <si>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</si>
  <si>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</si>
  <si>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</si>
  <si>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</si>
  <si>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</si>
  <si>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</si>
  <si>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</si>
  <si>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</si>
  <si>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</si>
  <si>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</si>
  <si>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</si>
  <si>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</si>
  <si>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</si>
  <si>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</si>
  <si>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</si>
  <si>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</si>
  <si>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</si>
  <si>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</si>
  <si>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</si>
  <si>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</si>
  <si>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</si>
  <si>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</si>
  <si>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</si>
  <si>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</si>
  <si>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</si>
  <si>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</si>
  <si>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</si>
  <si>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</si>
  <si>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</si>
  <si>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</si>
  <si>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</si>
  <si>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</si>
  <si>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</si>
  <si>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</si>
  <si>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</si>
  <si>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</si>
  <si>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</si>
  <si>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</si>
  <si>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</si>
  <si>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</si>
  <si>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</si>
  <si>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</si>
  <si>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</si>
  <si>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</si>
  <si>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</si>
  <si>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</si>
  <si>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</si>
  <si>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</si>
  <si>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</si>
  <si>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</si>
  <si>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</si>
  <si>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</si>
  <si>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</si>
  <si>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</si>
  <si>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</si>
  <si>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</si>
  <si>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</si>
  <si>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</si>
  <si>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</si>
  <si>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</si>
  <si>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</si>
  <si>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</si>
  <si>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</si>
  <si>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</si>
  <si>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</si>
  <si>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</si>
  <si>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</si>
  <si>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</si>
  <si>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</si>
  <si>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</si>
  <si>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</si>
  <si>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</si>
  <si>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</si>
  <si>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</si>
  <si>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</si>
  <si>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</si>
  <si>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</si>
  <si>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</si>
  <si>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</si>
  <si>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</si>
  <si>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</si>
  <si>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</si>
  <si>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</si>
  <si>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</si>
  <si>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</si>
  <si>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</si>
  <si>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</si>
  <si>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</si>
  <si>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</si>
  <si>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</si>
  <si>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</si>
  <si>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Streamlined processes
Unified platform
Modernization</t>
  </si>
  <si>
    <t>Secure exchange
Analytics tools
Budget control</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</si>
  <si>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</si>
  <si>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</si>
  <si>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</si>
  <si>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</si>
  <si>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</si>
  <si>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</si>
  <si>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</si>
  <si>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</si>
  <si>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</si>
  <si>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</si>
  <si>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</si>
  <si>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</si>
  <si>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</si>
  <si>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</si>
  <si>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</si>
  <si>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</si>
  <si>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</si>
  <si>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</si>
  <si>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</si>
  <si>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</si>
  <si>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</si>
  <si>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</si>
  <si>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</si>
  <si>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</si>
  <si>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</si>
  <si>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</si>
  <si>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</si>
  <si>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</si>
  <si>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</si>
  <si>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</si>
  <si>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</si>
  <si>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</si>
  <si>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</si>
  <si>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</si>
  <si>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</si>
  <si>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</si>
  <si>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</si>
  <si>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</si>
  <si>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</si>
  <si>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</si>
  <si>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</si>
  <si>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</si>
  <si>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</si>
  <si>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</si>
  <si>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</si>
  <si>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</si>
  <si>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</si>
  <si>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</si>
  <si>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</si>
  <si>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</si>
  <si>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</si>
  <si>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</si>
  <si>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</si>
  <si>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</si>
  <si>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</si>
  <si>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</si>
  <si>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</si>
  <si>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</si>
  <si>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</si>
  <si>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</si>
  <si>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</si>
  <si>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</si>
  <si>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</si>
  <si>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</si>
  <si>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</si>
  <si>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</si>
  <si>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</si>
  <si>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</si>
  <si>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Table 3: Possible Solutions Values Unique</t>
  </si>
  <si>
    <t>Extract</t>
  </si>
  <si>
    <r>
      <t xml:space="preserve">Facts
</t>
    </r>
    <r>
      <rPr>
        <sz val="11"/>
        <color theme="1"/>
        <rFont val="Calibri"/>
        <family val="2"/>
        <scheme val="minor"/>
      </rPr>
      <t>Taken for the supplied data source, the basic points contained within the extract</t>
    </r>
  </si>
  <si>
    <r>
      <t xml:space="preserve">Concerns
</t>
    </r>
    <r>
      <rPr>
        <sz val="11"/>
        <color theme="1"/>
        <rFont val="Calibri"/>
        <family val="2"/>
        <scheme val="minor"/>
      </rPr>
      <t>The major concern about the implementation that is emphazied within the extract</t>
    </r>
  </si>
  <si>
    <r>
      <t xml:space="preserve">Possible Solutions
</t>
    </r>
    <r>
      <rPr>
        <sz val="11"/>
        <color theme="1"/>
        <rFont val="Calibri"/>
        <family val="2"/>
        <scheme val="minor"/>
      </rPr>
      <t>Possible techinques that can be put in place to reduce the risk of the concern negatively affecting the project outcome</t>
    </r>
  </si>
  <si>
    <r>
      <t xml:space="preserve">Organizational Values
</t>
    </r>
    <r>
      <rPr>
        <sz val="11"/>
        <color theme="1"/>
        <rFont val="Calibri"/>
        <family val="2"/>
        <scheme val="minor"/>
      </rPr>
      <t>The organization value of the company that aligns to the potentional solution.</t>
    </r>
  </si>
  <si>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</si>
  <si>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</si>
  <si>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</si>
  <si>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</si>
  <si>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</si>
  <si>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</si>
  <si>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</si>
  <si>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</si>
  <si>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</si>
  <si>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</si>
  <si>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</si>
  <si>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</si>
  <si>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</si>
  <si>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</si>
  <si>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</si>
  <si>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</si>
  <si>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</si>
  <si>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</si>
  <si>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</si>
  <si>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</si>
  <si>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</si>
  <si>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</si>
  <si>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</si>
  <si>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</si>
  <si>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</si>
  <si>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</si>
  <si>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</si>
  <si>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</si>
  <si>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</si>
  <si>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</si>
  <si>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</si>
  <si>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</si>
  <si>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</si>
  <si>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</si>
  <si>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</si>
  <si>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</si>
  <si>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</si>
  <si>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</si>
  <si>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</si>
  <si>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</si>
  <si>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</si>
  <si>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</si>
  <si>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</si>
  <si>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</si>
  <si>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</si>
  <si>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</si>
  <si>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</si>
  <si>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</si>
  <si>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</si>
  <si>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</si>
  <si>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</si>
  <si>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</si>
  <si>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</si>
  <si>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</si>
  <si>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</si>
  <si>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</si>
  <si>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</si>
  <si>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</si>
  <si>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</si>
  <si>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</si>
  <si>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</si>
  <si>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</si>
  <si>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Concern
Check</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</si>
  <si>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</si>
  <si>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</si>
  <si>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</si>
  <si>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</si>
  <si>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</si>
  <si>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</si>
  <si>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</si>
  <si>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</si>
  <si>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</si>
  <si>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Reference
(resources and page number)</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</si>
  <si>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</si>
  <si>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</si>
  <si>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t>
  </si>
  <si>
    <t>Table 2: Concerns Values Unique</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</si>
  <si>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</si>
  <si>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</si>
  <si>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</si>
  <si>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</si>
  <si>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</si>
  <si>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</si>
  <si>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</si>
  <si>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</si>
  <si>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</si>
  <si>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</si>
  <si>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</si>
  <si>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</si>
  <si>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</si>
  <si>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</si>
  <si>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</si>
  <si>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</si>
  <si>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</si>
  <si>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</si>
  <si>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</si>
  <si>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</si>
  <si>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Table 5: Concerns &amp; Themes</t>
  </si>
  <si>
    <t>Table 6: Unique Themes</t>
  </si>
  <si>
    <t>Themes Unique</t>
  </si>
  <si>
    <t>Theme Catergory Acceptance Value:</t>
  </si>
  <si>
    <t>Table 7: Selected Theme Gatergory</t>
  </si>
  <si>
    <t>Table 8: Theme Catergory</t>
  </si>
  <si>
    <t>Number of Concerns:</t>
  </si>
  <si>
    <t>Relating Concern</t>
  </si>
  <si>
    <t>Data Security, Quality and Privacy</t>
  </si>
  <si>
    <t>Theme Name</t>
  </si>
  <si>
    <t>Concern</t>
  </si>
  <si>
    <t>Total Weighting</t>
  </si>
  <si>
    <t>Weighting</t>
  </si>
  <si>
    <t>Decriptor</t>
  </si>
  <si>
    <t>Definition</t>
  </si>
  <si>
    <t>Complete Failure</t>
  </si>
  <si>
    <t>Your Project is in Danger of Immediate Failure</t>
  </si>
  <si>
    <t>Major Issues</t>
  </si>
  <si>
    <t>Senior Management Action is required</t>
  </si>
  <si>
    <t>Moderate Issues</t>
  </si>
  <si>
    <t>Management Action is Required</t>
  </si>
  <si>
    <t>Minor Issues</t>
  </si>
  <si>
    <t>Acceptable Risk</t>
  </si>
  <si>
    <t>Project Good to go</t>
  </si>
  <si>
    <t>All good to go</t>
  </si>
  <si>
    <t>Min</t>
  </si>
  <si>
    <t>Max</t>
  </si>
  <si>
    <t>Table 9: Risk Assessment Rubric</t>
  </si>
  <si>
    <t>Total Value</t>
  </si>
  <si>
    <t>Project Outcome</t>
  </si>
  <si>
    <t>Project Description</t>
  </si>
  <si>
    <t>Collaboration and Communication
Operational Effectiveness and Efficiency
Infrastructure and Hardware Management</t>
  </si>
  <si>
    <t>Compliance and Governance
System Maintenance and Support
Financial Management and Budgeting</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</si>
  <si>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</si>
  <si>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</si>
  <si>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</si>
  <si>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</si>
  <si>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</si>
  <si>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</si>
  <si>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</si>
  <si>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</si>
  <si>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</si>
  <si>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</si>
  <si>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Collaboration and Communication
Collaboration and Communication
Financial Management and Budgeting</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</si>
  <si>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</si>
  <si>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</si>
  <si>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</si>
  <si>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</si>
  <si>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</si>
  <si>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</si>
  <si>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</si>
  <si>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</si>
  <si>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</si>
  <si>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</si>
  <si>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</si>
  <si>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</si>
  <si>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</si>
  <si>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</si>
  <si>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</si>
  <si>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</si>
  <si>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</si>
  <si>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</si>
  <si>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</si>
  <si>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Consumer Experience and Support
Operational Effectiveness and Efficiency
Consumer Experience and Support
Implementation Challenges and Delays</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</si>
  <si>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</si>
  <si>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</si>
  <si>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</si>
  <si>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</si>
  <si>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</si>
  <si>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</si>
  <si>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</si>
  <si>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Consumer Experience and Support
Policy and Organizational Reform
Business Alignment
Data and Information Management
Strategic Planning and Development</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</si>
  <si>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</si>
  <si>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</si>
  <si>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</si>
  <si>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</si>
  <si>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</si>
  <si>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</si>
  <si>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</si>
  <si>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</si>
  <si>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</si>
  <si>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</si>
  <si>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</si>
  <si>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</si>
  <si>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</si>
  <si>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</si>
  <si>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</si>
  <si>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</si>
  <si>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</si>
  <si>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</si>
  <si>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</si>
  <si>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</si>
  <si>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</si>
  <si>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</si>
  <si>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</si>
  <si>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Alignment
Sustainability
Program effectiveness
System Support</t>
  </si>
  <si>
    <t>Strategic fit
Green practices
KPI tracking
Helpdesk services</t>
  </si>
  <si>
    <t>Business Alignment
Policy and Organizational Reform
Operational Effectiveness and Efficiency
System and Technology Improvement</t>
  </si>
  <si>
    <t>Implemeneted (Y/N)</t>
  </si>
  <si>
    <t>Table 4: Organizational Values Unique (Themes)</t>
  </si>
  <si>
    <t>Concern Weighting</t>
  </si>
  <si>
    <t>Total Weighting:</t>
  </si>
  <si>
    <t>Comments</t>
  </si>
  <si>
    <t>Tech Concept</t>
  </si>
  <si>
    <t>Tech Layers</t>
  </si>
  <si>
    <t>Table 10: Tech Concept Table</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</si>
  <si>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</si>
  <si>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</si>
  <si>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</si>
  <si>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</si>
  <si>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</si>
  <si>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</si>
  <si>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</si>
  <si>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</si>
  <si>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</si>
  <si>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</si>
  <si>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</si>
  <si>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</si>
  <si>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</si>
  <si>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</si>
  <si>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</si>
  <si>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</si>
  <si>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</si>
  <si>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</si>
  <si>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</si>
  <si>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</si>
  <si>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</si>
  <si>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</si>
  <si>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</si>
  <si>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</si>
  <si>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</si>
  <si>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</si>
  <si>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</si>
  <si>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</si>
  <si>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</si>
  <si>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</si>
  <si>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</si>
  <si>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</si>
  <si>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</si>
  <si>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</si>
  <si>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</si>
  <si>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</si>
  <si>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</si>
  <si>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</si>
  <si>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</si>
  <si>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</si>
  <si>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</si>
  <si>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</si>
  <si>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</si>
  <si>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</si>
  <si>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</si>
  <si>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</si>
  <si>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</si>
  <si>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</si>
  <si>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</si>
  <si>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</si>
  <si>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</si>
  <si>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</si>
  <si>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</si>
  <si>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</si>
  <si>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</si>
  <si>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</si>
  <si>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</si>
  <si>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</si>
  <si>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</si>
  <si>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</si>
  <si>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</si>
  <si>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</si>
  <si>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</si>
  <si>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</si>
  <si>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</si>
  <si>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</si>
  <si>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</si>
  <si>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</si>
  <si>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</si>
  <si>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</si>
  <si>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</si>
  <si>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</si>
  <si>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</si>
  <si>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</si>
  <si>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</si>
  <si>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</si>
  <si>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</si>
  <si>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</si>
  <si>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</si>
  <si>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</si>
  <si>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</si>
  <si>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</si>
  <si>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</si>
  <si>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</si>
  <si>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</si>
  <si>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</si>
  <si>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</si>
  <si>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</si>
  <si>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</si>
  <si>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</si>
  <si>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</si>
  <si>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</si>
  <si>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</si>
  <si>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</si>
  <si>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</si>
  <si>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</si>
  <si>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</si>
  <si>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</si>
  <si>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</si>
  <si>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</si>
  <si>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</si>
  <si>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</si>
  <si>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</si>
  <si>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</si>
  <si>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</si>
  <si>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</si>
  <si>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</si>
  <si>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</si>
  <si>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</si>
  <si>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</si>
  <si>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</si>
  <si>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</si>
  <si>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</si>
  <si>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</si>
  <si>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</si>
  <si>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</si>
  <si>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</si>
  <si>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</si>
  <si>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</si>
  <si>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</si>
  <si>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</si>
  <si>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</si>
  <si>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</si>
  <si>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</si>
  <si>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</si>
  <si>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</si>
  <si>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</si>
  <si>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</si>
  <si>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</si>
  <si>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</si>
  <si>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</si>
  <si>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</si>
  <si>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</si>
  <si>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</si>
  <si>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</si>
  <si>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</si>
  <si>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</si>
  <si>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</si>
  <si>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</si>
  <si>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</si>
  <si>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</si>
  <si>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</si>
  <si>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</si>
  <si>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</si>
  <si>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</si>
  <si>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</si>
  <si>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</si>
  <si>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</si>
  <si>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</si>
  <si>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</si>
  <si>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</si>
  <si>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</si>
  <si>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</si>
  <si>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</si>
  <si>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</si>
  <si>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</si>
  <si>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</si>
  <si>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</si>
  <si>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</si>
  <si>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</si>
  <si>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</si>
  <si>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</si>
  <si>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</si>
  <si>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</si>
  <si>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</si>
  <si>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</si>
  <si>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</si>
  <si>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</si>
  <si>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</si>
  <si>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</si>
  <si>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</si>
  <si>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</si>
  <si>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</si>
  <si>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</si>
  <si>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</si>
  <si>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</si>
  <si>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</si>
  <si>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</si>
  <si>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</si>
  <si>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</si>
  <si>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</si>
  <si>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</si>
  <si>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</si>
  <si>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</si>
  <si>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</si>
  <si>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</si>
  <si>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</si>
  <si>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</si>
  <si>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</si>
  <si>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</si>
  <si>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</si>
  <si>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</si>
  <si>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</si>
  <si>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</si>
  <si>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</si>
  <si>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</si>
  <si>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</si>
  <si>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</si>
  <si>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</si>
  <si>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</si>
  <si>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</si>
  <si>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</si>
  <si>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</si>
  <si>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</si>
  <si>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</si>
  <si>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</si>
  <si>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</si>
  <si>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</si>
  <si>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</si>
  <si>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</si>
  <si>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</si>
  <si>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</si>
  <si>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</si>
  <si>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</si>
  <si>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</si>
  <si>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</si>
  <si>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</si>
  <si>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</si>
  <si>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</si>
  <si>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</si>
  <si>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</si>
  <si>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</si>
  <si>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</si>
  <si>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</si>
  <si>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</si>
  <si>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</si>
  <si>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</si>
  <si>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</si>
  <si>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</si>
  <si>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</si>
  <si>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</si>
  <si>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</si>
  <si>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</si>
  <si>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</si>
  <si>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</si>
  <si>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</si>
  <si>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</si>
  <si>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</si>
  <si>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</si>
  <si>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</si>
  <si>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</si>
  <si>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</si>
  <si>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</si>
  <si>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</si>
  <si>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</si>
  <si>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</si>
  <si>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</si>
  <si>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</si>
  <si>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</si>
  <si>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</si>
  <si>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</si>
  <si>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</si>
  <si>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</si>
  <si>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</si>
  <si>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</si>
  <si>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</si>
  <si>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</si>
  <si>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</si>
  <si>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</si>
  <si>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</si>
  <si>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</si>
  <si>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</si>
  <si>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</si>
  <si>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</si>
  <si>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</si>
  <si>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</si>
  <si>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</si>
  <si>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</si>
  <si>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</si>
  <si>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</si>
  <si>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</si>
  <si>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</si>
  <si>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</si>
  <si>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</si>
  <si>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</si>
  <si>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</si>
  <si>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</si>
  <si>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</si>
  <si>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</si>
  <si>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</si>
  <si>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</si>
  <si>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</si>
  <si>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</si>
  <si>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</si>
  <si>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</si>
  <si>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</si>
  <si>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</si>
  <si>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</si>
  <si>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</si>
  <si>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</si>
  <si>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</si>
  <si>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</si>
  <si>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</si>
  <si>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</si>
  <si>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</si>
  <si>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</si>
  <si>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</si>
  <si>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</si>
  <si>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</si>
  <si>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</si>
  <si>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</si>
  <si>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</si>
  <si>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</si>
  <si>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</si>
  <si>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</si>
  <si>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</si>
  <si>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</si>
  <si>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</si>
  <si>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</si>
  <si>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</si>
  <si>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</si>
  <si>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</si>
  <si>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</si>
  <si>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</si>
  <si>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</si>
  <si>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</si>
  <si>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</si>
  <si>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</si>
  <si>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</si>
  <si>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</si>
  <si>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</si>
  <si>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</si>
  <si>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</si>
  <si>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</si>
  <si>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</si>
  <si>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</si>
  <si>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</si>
  <si>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</si>
  <si>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</si>
  <si>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</si>
  <si>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</si>
  <si>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</si>
  <si>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</si>
  <si>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</si>
  <si>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</si>
  <si>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</si>
  <si>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</si>
  <si>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</si>
  <si>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</si>
  <si>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</si>
  <si>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</si>
  <si>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</si>
  <si>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</si>
  <si>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</si>
  <si>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</si>
  <si>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</si>
  <si>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</si>
  <si>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</si>
  <si>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</si>
  <si>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</si>
  <si>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</si>
  <si>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</si>
  <si>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</si>
  <si>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</si>
  <si>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</si>
  <si>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</si>
  <si>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</si>
  <si>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</si>
  <si>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</si>
  <si>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</si>
  <si>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</si>
  <si>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</si>
  <si>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</si>
  <si>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</si>
  <si>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</si>
  <si>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</si>
  <si>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</si>
  <si>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</si>
  <si>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</si>
  <si>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</si>
  <si>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</si>
  <si>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</si>
  <si>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</si>
  <si>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</si>
  <si>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</si>
  <si>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</si>
  <si>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</si>
  <si>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</si>
  <si>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</si>
  <si>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</si>
  <si>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</si>
  <si>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</si>
  <si>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</si>
  <si>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</si>
  <si>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</si>
  <si>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</si>
  <si>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</si>
  <si>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</si>
  <si>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</si>
  <si>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</si>
  <si>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</si>
  <si>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Table 11: Tool Data</t>
  </si>
  <si>
    <t>Possible Solution</t>
  </si>
  <si>
    <t>Workflow automation tools
Unified platform tools
Modernization tools</t>
  </si>
  <si>
    <t>Secure transfer tools
Analytics software
Budget control software</t>
  </si>
  <si>
    <t>Enterprise architecture tools
Sustainability management software
KPI tracking tools
Helpdesk software</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</si>
  <si>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</si>
  <si>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</si>
  <si>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</si>
  <si>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</si>
  <si>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</si>
  <si>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</si>
  <si>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</si>
  <si>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</si>
  <si>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</si>
  <si>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</si>
  <si>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</si>
  <si>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</si>
  <si>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</si>
  <si>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</si>
  <si>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</si>
  <si>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</si>
  <si>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</si>
  <si>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</si>
  <si>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</si>
  <si>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</si>
  <si>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</si>
  <si>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</si>
  <si>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</si>
  <si>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</si>
  <si>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</si>
  <si>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</si>
  <si>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</si>
  <si>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</si>
  <si>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</si>
  <si>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</si>
  <si>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</si>
  <si>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</si>
  <si>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</si>
  <si>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</si>
  <si>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</si>
  <si>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</si>
  <si>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</si>
  <si>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</si>
  <si>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</si>
  <si>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</si>
  <si>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</si>
  <si>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</si>
  <si>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</si>
  <si>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</si>
  <si>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</si>
  <si>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</si>
  <si>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</si>
  <si>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</si>
  <si>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</si>
  <si>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</si>
  <si>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</si>
  <si>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</si>
  <si>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</si>
  <si>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</si>
  <si>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</si>
  <si>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</si>
  <si>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</si>
  <si>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</si>
  <si>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</si>
  <si>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</si>
  <si>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</si>
  <si>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</si>
  <si>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</si>
  <si>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Automate repetitive tasks and streamline workflows to improve efficiency.
Create a unified platform or environment for integrating and managing various systems and applications.
Modernize legacy systems or applications to improve performance and usability.</t>
  </si>
  <si>
    <t>Securely transfer data between systems or parties to protect sensitive information.
Utilize analytics software to analyze data and generate insights to inform decision-making and strategies.
Monitor and control budgets to ensure spending stays within predefined limits.</t>
  </si>
  <si>
    <t>Assist in designing and managing the structure and operation of an organization's IT infrastructure and applications.
Help organizations track, manage, and report on their environmental and social impacts to promote sustainability.
Track and analyze Key Performance Indicators (KPIs) to assess organizational performance.
Expand and scale data storage, processing, or analysis capabilities to accommodate organizational needs.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</si>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</sst>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u/>
      <sz val="11"/>
      <color theme="10"/>
      <name val="Calibri"/>
      <family val="2"/>
      <scheme val="minor"/>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1"/>
      <color theme="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rgb="FF7030A0"/>
        <bgColor indexed="64"/>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rgb="FFADD8E6"/>
        <bgColor indexed="64"/>
      </patternFill>
    </fill>
    <fill>
      <patternFill patternType="solid">
        <fgColor rgb="FFD8BFD8"/>
        <bgColor indexed="64"/>
      </patternFill>
    </fill>
    <fill>
      <patternFill patternType="solid">
        <fgColor rgb="FF90EE90"/>
        <bgColor indexed="64"/>
      </patternFill>
    </fill>
    <fill>
      <patternFill patternType="solid">
        <fgColor rgb="FFFF6666"/>
        <bgColor indexed="64"/>
      </patternFill>
    </fill>
    <fill>
      <patternFill patternType="solid">
        <fgColor theme="8" tint="-0.249977111117893"/>
        <bgColor indexed="64"/>
      </patternFill>
    </fill>
  </fills>
  <borders count="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5" fillId="0" borderId="0" applyNumberFormat="0" applyFill="0" applyBorder="0" applyAlignment="0" applyProtection="0"/>
    <xf numFmtId="9" fontId="9" fillId="0" borderId="0" applyFont="0" applyFill="0" applyBorder="0" applyAlignment="0" applyProtection="0"/>
  </cellStyleXfs>
  <cellXfs count="67">
    <xf numFmtId="0" fontId="0" fillId="0" borderId="0" xfId="0"/>
    <xf numFmtId="0" fontId="0" fillId="0" borderId="0" xfId="0" applyAlignment="1">
      <alignment vertical="center" wrapText="1"/>
    </xf>
    <xf numFmtId="0" fontId="0" fillId="0" borderId="0" xfId="0" applyAlignment="1">
      <alignment horizontal="center" vertical="center"/>
    </xf>
    <xf numFmtId="0" fontId="1" fillId="0" borderId="0" xfId="0" applyFont="1"/>
    <xf numFmtId="0" fontId="1" fillId="0" borderId="0" xfId="0" applyFont="1" applyAlignment="1">
      <alignment vertical="center" wrapText="1"/>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1" fillId="6" borderId="0" xfId="0" applyFont="1" applyFill="1" applyAlignment="1">
      <alignment wrapText="1"/>
    </xf>
    <xf numFmtId="0" fontId="0" fillId="6" borderId="0" xfId="0" applyFill="1"/>
    <xf numFmtId="0" fontId="0" fillId="0" borderId="0" xfId="0" applyProtection="1">
      <protection locked="0"/>
    </xf>
    <xf numFmtId="0" fontId="1" fillId="3" borderId="5" xfId="0" applyFont="1" applyFill="1" applyBorder="1" applyAlignment="1" applyProtection="1">
      <alignment horizontal="center" vertical="center" wrapText="1"/>
      <protection locked="0"/>
    </xf>
    <xf numFmtId="0" fontId="1" fillId="3" borderId="0" xfId="0" applyFont="1" applyFill="1" applyAlignment="1" applyProtection="1">
      <alignment vertical="center" wrapText="1"/>
      <protection locked="0"/>
    </xf>
    <xf numFmtId="0" fontId="1" fillId="3" borderId="0" xfId="0" applyFont="1" applyFill="1" applyAlignment="1" applyProtection="1">
      <alignment horizontal="left" vertical="center" wrapText="1"/>
      <protection locked="0"/>
    </xf>
    <xf numFmtId="0" fontId="0" fillId="4" borderId="0" xfId="0" applyFill="1" applyAlignment="1">
      <alignment vertical="center" wrapText="1"/>
    </xf>
    <xf numFmtId="0" fontId="0" fillId="0" borderId="5" xfId="0" applyBorder="1" applyAlignment="1">
      <alignment vertical="center" wrapText="1"/>
    </xf>
    <xf numFmtId="0" fontId="1" fillId="3" borderId="6" xfId="0" applyFont="1" applyFill="1" applyBorder="1" applyAlignment="1" applyProtection="1">
      <alignment horizontal="center" vertical="center" wrapText="1"/>
      <protection locked="0"/>
    </xf>
    <xf numFmtId="0" fontId="0" fillId="4" borderId="6" xfId="0" applyFill="1" applyBorder="1"/>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1" fillId="3" borderId="6" xfId="0" applyFont="1" applyFill="1" applyBorder="1" applyAlignment="1" applyProtection="1">
      <alignment vertical="center" wrapText="1"/>
      <protection locked="0"/>
    </xf>
    <xf numFmtId="0" fontId="0" fillId="4" borderId="6" xfId="0" applyFill="1" applyBorder="1" applyAlignment="1">
      <alignment vertical="center" wrapText="1"/>
    </xf>
    <xf numFmtId="0" fontId="1" fillId="3" borderId="6" xfId="0" applyFont="1" applyFill="1" applyBorder="1" applyAlignment="1" applyProtection="1">
      <alignment horizontal="left" vertical="center" wrapText="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5" borderId="5"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4" fillId="0" borderId="5" xfId="0" applyFont="1" applyBorder="1" applyAlignment="1">
      <alignment horizontal="center" vertical="center" wrapText="1"/>
    </xf>
    <xf numFmtId="0" fontId="5" fillId="4" borderId="5" xfId="1" applyFill="1" applyBorder="1" applyAlignment="1">
      <alignment vertical="center" wrapText="1"/>
    </xf>
    <xf numFmtId="9" fontId="0" fillId="0" borderId="0" xfId="2" applyFont="1"/>
    <xf numFmtId="9" fontId="0" fillId="6" borderId="0" xfId="2" applyFont="1" applyFill="1" applyAlignment="1">
      <alignment horizontal="center"/>
    </xf>
    <xf numFmtId="0" fontId="0" fillId="6" borderId="0" xfId="0" applyFill="1" applyAlignment="1">
      <alignment horizontal="center"/>
    </xf>
    <xf numFmtId="0" fontId="0" fillId="0" borderId="0" xfId="0" applyAlignment="1">
      <alignment horizontal="center"/>
    </xf>
    <xf numFmtId="9" fontId="0" fillId="2" borderId="3" xfId="2" applyFont="1" applyFill="1" applyBorder="1" applyAlignment="1">
      <alignment horizontal="left"/>
    </xf>
    <xf numFmtId="9" fontId="0" fillId="0" borderId="0" xfId="2" applyFont="1" applyFill="1" applyBorder="1" applyAlignment="1">
      <alignment horizontal="left"/>
    </xf>
    <xf numFmtId="9" fontId="0" fillId="0" borderId="0" xfId="0" applyNumberFormat="1"/>
    <xf numFmtId="0" fontId="0" fillId="2" borderId="1" xfId="0" applyFill="1" applyBorder="1" applyAlignment="1">
      <alignment horizontal="right"/>
    </xf>
    <xf numFmtId="1" fontId="0" fillId="2" borderId="3" xfId="2" applyNumberFormat="1" applyFont="1" applyFill="1" applyBorder="1" applyAlignment="1">
      <alignment horizontal="left"/>
    </xf>
    <xf numFmtId="0" fontId="6" fillId="8" borderId="0" xfId="0" applyFont="1" applyFill="1" applyAlignment="1">
      <alignment horizontal="center" vertical="center"/>
    </xf>
    <xf numFmtId="0" fontId="0" fillId="9" borderId="0" xfId="0" applyFill="1"/>
    <xf numFmtId="164" fontId="0" fillId="9" borderId="0" xfId="0" applyNumberFormat="1" applyFill="1"/>
    <xf numFmtId="0" fontId="0" fillId="10" borderId="0" xfId="0" applyFill="1"/>
    <xf numFmtId="164" fontId="0" fillId="10" borderId="0" xfId="0" applyNumberFormat="1" applyFill="1"/>
    <xf numFmtId="164" fontId="0" fillId="11" borderId="0" xfId="0" applyNumberFormat="1" applyFill="1"/>
    <xf numFmtId="0" fontId="0" fillId="11" borderId="0" xfId="0" applyFill="1"/>
    <xf numFmtId="0" fontId="0" fillId="12" borderId="0" xfId="0" applyFill="1"/>
    <xf numFmtId="164" fontId="0" fillId="12" borderId="0" xfId="0" applyNumberFormat="1" applyFill="1"/>
    <xf numFmtId="0" fontId="0" fillId="10" borderId="0" xfId="0" applyFill="1" applyAlignment="1">
      <alignment horizontal="center"/>
    </xf>
    <xf numFmtId="0" fontId="0" fillId="11" borderId="0" xfId="0" applyFill="1" applyAlignment="1">
      <alignment horizontal="center"/>
    </xf>
    <xf numFmtId="164" fontId="0" fillId="11" borderId="0" xfId="0" applyNumberFormat="1" applyFill="1" applyAlignment="1">
      <alignment horizontal="center"/>
    </xf>
    <xf numFmtId="164" fontId="0" fillId="9" borderId="0" xfId="0" applyNumberFormat="1" applyFill="1" applyAlignment="1">
      <alignment horizontal="center"/>
    </xf>
    <xf numFmtId="164" fontId="0" fillId="10" borderId="0" xfId="0" applyNumberForma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6" fillId="7" borderId="0" xfId="0" applyFont="1" applyFill="1" applyAlignment="1">
      <alignment horizontal="center"/>
    </xf>
    <xf numFmtId="0" fontId="10" fillId="8" borderId="0" xfId="0" applyFont="1" applyFill="1" applyAlignment="1">
      <alignment horizontal="center"/>
    </xf>
    <xf numFmtId="0" fontId="6" fillId="8" borderId="0" xfId="0" applyFont="1" applyFill="1" applyAlignment="1">
      <alignment horizontal="center"/>
    </xf>
    <xf numFmtId="0" fontId="6" fillId="13" borderId="0" xfId="0" applyFont="1" applyFill="1" applyAlignment="1">
      <alignment horizontal="center"/>
    </xf>
    <xf numFmtId="0" fontId="6" fillId="8" borderId="0" xfId="0" applyFont="1" applyFill="1"/>
    <xf numFmtId="0" fontId="0" fillId="0" borderId="0" xfId="0" applyNumberFormat="1"/>
    <xf numFmtId="9" fontId="0" fillId="0" borderId="0" xfId="2" applyNumberFormat="1" applyFont="1"/>
  </cellXfs>
  <cellStyles count="3">
    <cellStyle name="Hyperlink" xfId="1" builtinId="8"/>
    <cellStyle name="Normal" xfId="0" builtinId="0"/>
    <cellStyle name="Percent" xfId="2" builtinId="5"/>
  </cellStyles>
  <dxfs count="31">
    <dxf>
      <font>
        <b/>
        <i val="0"/>
        <color theme="0"/>
      </font>
      <fill>
        <patternFill>
          <bgColor rgb="FFFF0000"/>
        </patternFill>
      </fill>
    </dxf>
    <dxf>
      <numFmt numFmtId="13" formatCode="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numFmt numFmtId="13" formatCode="0%"/>
    </dxf>
    <dxf>
      <numFmt numFmtId="0" formatCode="General"/>
    </dxf>
    <dxf>
      <numFmt numFmtId="0" formatCode="General"/>
    </dxf>
    <dxf>
      <numFmt numFmtId="0" formatCode="General"/>
    </dxf>
    <dxf>
      <alignment horizontal="center" vertical="bottom" textRotation="0" wrapText="0" indent="0" justifyLastLine="0" shrinkToFit="0" readingOrder="0"/>
    </dxf>
    <dxf>
      <numFmt numFmtId="13" formatCode="0%"/>
    </dxf>
    <dxf>
      <numFmt numFmtId="0" formatCode="General"/>
    </dxf>
    <dxf>
      <fill>
        <patternFill patternType="solid">
          <fgColor indexed="64"/>
          <bgColor theme="4" tint="-0.249977111117893"/>
        </patternFill>
      </fill>
    </dxf>
    <dxf>
      <numFmt numFmtId="0" formatCode="General"/>
    </dxf>
    <dxf>
      <fill>
        <patternFill patternType="solid">
          <fgColor indexed="64"/>
          <bgColor theme="4" tint="-0.249977111117893"/>
        </patternFill>
      </fill>
    </dxf>
    <dxf>
      <numFmt numFmtId="0" formatCode="Genera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ill>
        <patternFill>
          <fgColor indexed="64"/>
          <bgColor theme="4"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general" vertical="bottom"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8</xdr:row>
          <xdr:rowOff>142875</xdr:rowOff>
        </xdr:from>
        <xdr:to>
          <xdr:col>4</xdr:col>
          <xdr:colOff>2124075</xdr:colOff>
          <xdr:row>8</xdr:row>
          <xdr:rowOff>838200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409575</xdr:colOff>
          <xdr:row>8</xdr:row>
          <xdr:rowOff>142875</xdr:rowOff>
        </xdr:from>
        <xdr:to>
          <xdr:col>5</xdr:col>
          <xdr:colOff>2990850</xdr:colOff>
          <xdr:row>8</xdr:row>
          <xdr:rowOff>838200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47625</xdr:rowOff>
        </xdr:from>
        <xdr:to>
          <xdr:col>6</xdr:col>
          <xdr:colOff>723900</xdr:colOff>
          <xdr:row>0</xdr:row>
          <xdr:rowOff>314325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Possible Solutions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47625</xdr:rowOff>
        </xdr:from>
        <xdr:to>
          <xdr:col>11</xdr:col>
          <xdr:colOff>9525</xdr:colOff>
          <xdr:row>0</xdr:row>
          <xdr:rowOff>314325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Organizational Values Unique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76200</xdr:rowOff>
        </xdr:from>
        <xdr:to>
          <xdr:col>5</xdr:col>
          <xdr:colOff>885825</xdr:colOff>
          <xdr:row>0</xdr:row>
          <xdr:rowOff>495300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Themes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57150</xdr:rowOff>
        </xdr:from>
        <xdr:to>
          <xdr:col>1</xdr:col>
          <xdr:colOff>3057525</xdr:colOff>
          <xdr:row>0</xdr:row>
          <xdr:rowOff>476250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Copy Updated Concerns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76200</xdr:rowOff>
        </xdr:from>
        <xdr:to>
          <xdr:col>2</xdr:col>
          <xdr:colOff>904875</xdr:colOff>
          <xdr:row>0</xdr:row>
          <xdr:rowOff>495300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Model Theme Catergories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76200</xdr:rowOff>
        </xdr:from>
        <xdr:to>
          <xdr:col>7</xdr:col>
          <xdr:colOff>1038225</xdr:colOff>
          <xdr:row>0</xdr:row>
          <xdr:rowOff>495300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Model Concern Catergories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1</xdr:row>
          <xdr:rowOff>76200</xdr:rowOff>
        </xdr:from>
        <xdr:to>
          <xdr:col>6</xdr:col>
          <xdr:colOff>2933700</xdr:colOff>
          <xdr:row>1</xdr:row>
          <xdr:rowOff>495300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Create Model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1" displayName="Table1" ref="A2:C215" totalsRowShown="0" headerRowDxfId="30" dataDxfId="29">
  <autoFilter ref="A2:C215" xr:uid="{F557346A-8157-4AB7-BA24-95DEAB55C7E0}"/>
  <sortState xmlns:xlrd2="http://schemas.microsoft.com/office/spreadsheetml/2017/richdata2" ref="A3:C215">
    <sortCondition ref="B2:B215"/>
  </sortState>
  <tableColumns count="3">
    <tableColumn id="1" xr3:uid="{A62D73FD-7276-4F2D-9085-D203977C73C4}" name="Concerns" dataDxfId="28"/>
    <tableColumn id="4" xr3:uid="{CEE9EB9B-E91C-41C5-A782-3045000D3D4D}" name="Themes (Organizational Values)"/>
    <tableColumn id="2" xr3:uid="{4D87C797-9AF2-4A53-B9A2-1F9D701C9272}" name="Possible Solutions"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321CB8-459E-43CE-A37A-1298D370E863}" name="Table2" displayName="Table2" ref="A2:C215" totalsRowShown="0" headerRowDxfId="26">
  <autoFilter ref="A2:C215" xr:uid="{05321CB8-459E-43CE-A37A-1298D370E863}"/>
  <sortState xmlns:xlrd2="http://schemas.microsoft.com/office/spreadsheetml/2017/richdata2" ref="A3:C215">
    <sortCondition descending="1" ref="B2:B215"/>
  </sortState>
  <tableColumns count="3">
    <tableColumn id="1" xr3:uid="{7631EBDD-7C1E-4E4A-868D-5AAF5A62F741}" name="Table 2: Concerns Values Unique" dataDxfId="25"/>
    <tableColumn id="2" xr3:uid="{6A4783E8-8831-469A-8154-57FB75FB4466}" name="Count" dataDxfId="24">
      <calculatedColumnFormula>COUNTIF(Concerns, "*"&amp;Table2[[#This Row],[Table 2: Concerns Values Unique]]&amp;"*")</calculatedColumnFormula>
    </tableColumn>
    <tableColumn id="3" xr3:uid="{5B372820-F259-46A6-B551-B2A153546820}" name="%" dataCellStyle="Percent">
      <calculatedColumnFormula>Table2[[#This Row],[Count]]/SUM(Table2[Count])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E2D4ADA-AFD8-4ABF-B37B-559649D8713F}" name="Table4" displayName="Table4" ref="I2:K23" totalsRowShown="0" headerRowDxfId="23">
  <autoFilter ref="I2:K23" xr:uid="{6E2D4ADA-AFD8-4ABF-B37B-559649D8713F}"/>
  <sortState xmlns:xlrd2="http://schemas.microsoft.com/office/spreadsheetml/2017/richdata2" ref="I3:K23">
    <sortCondition descending="1" ref="J2:J103"/>
  </sortState>
  <tableColumns count="3">
    <tableColumn id="1" xr3:uid="{C239206A-36DE-4D68-99EE-26D7B22FB2E2}" name="Table 4: Organizational Values Unique (Themes)"/>
    <tableColumn id="2" xr3:uid="{94D725C0-79E6-4991-868F-3B5CA7F03A2E}" name="Count" dataDxfId="22">
      <calculatedColumnFormula>COUNTIF(Organizational_Values, "*"&amp;Table4[[#This Row],[Table 4: Organizational Values Unique (Themes)]]&amp;"*")</calculatedColumnFormula>
    </tableColumn>
    <tableColumn id="3" xr3:uid="{9400CFCB-ACD7-4E33-84EE-76AAC01AEC5C}" name="%" dataCellStyle="Percent">
      <calculatedColumnFormula>Table4[[#This Row],[Count]]/SUM(Table4[Count])</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C5162C-E5A0-4CFF-883C-1D78BCA3425F}" name="Table3" displayName="Table3" ref="E2:G208" totalsRowShown="0" headerRowDxfId="21">
  <autoFilter ref="E2:G208" xr:uid="{7CC5162C-E5A0-4CFF-883C-1D78BCA3425F}"/>
  <sortState xmlns:xlrd2="http://schemas.microsoft.com/office/spreadsheetml/2017/richdata2" ref="E3:G208">
    <sortCondition descending="1" ref="F2:F209"/>
  </sortState>
  <tableColumns count="3">
    <tableColumn id="1" xr3:uid="{BF08B1B2-C0FD-4F98-B53D-014CC3CA26CC}" name="Table 3: Possible Solutions Values Unique"/>
    <tableColumn id="2" xr3:uid="{D2B4553E-C8BB-41F5-9736-0D4E83B3CA1C}" name="Count" dataDxfId="20">
      <calculatedColumnFormula>COUNTIF(Possible_Solutions, "*"&amp;Table3[[#This Row],[Table 3: Possible Solutions Values Unique]]&amp;"*")</calculatedColumnFormula>
    </tableColumn>
    <tableColumn id="3" xr3:uid="{72A8C708-9E26-46B8-B313-15F82CF76F66}" name="%" dataDxfId="19" dataCellStyle="Percent">
      <calculatedColumnFormula>Table3[[#This Row],[Count]]/SUM(Table3[Count])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87DEEB4-02E1-4541-A90C-80BB2CE7101B}" name="Table5" displayName="Table5" ref="A3:B216" totalsRowShown="0" headerRowDxfId="18">
  <autoFilter ref="A3:B216" xr:uid="{287DEEB4-02E1-4541-A90C-80BB2CE7101B}"/>
  <sortState xmlns:xlrd2="http://schemas.microsoft.com/office/spreadsheetml/2017/richdata2" ref="A4:B216">
    <sortCondition ref="A3:A216"/>
  </sortState>
  <tableColumns count="2">
    <tableColumn id="2" xr3:uid="{B3B1F971-595E-41A9-9560-63A2C9E812E1}" name="Themes (Organizational Values)" dataDxfId="17">
      <calculatedColumnFormula>VLOOKUP(Table5[[#This Row],[Concerns]],Table1[],2,FALSE)</calculatedColumnFormula>
    </tableColumn>
    <tableColumn id="1" xr3:uid="{987EF57B-18E8-4C3B-9C50-9FC157B8ECE6}" name="Concer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FD2A16-FA71-40F8-BC02-39B827BCB3AA}" name="Table6" displayName="Table6" ref="D3:F24" totalsRowShown="0">
  <autoFilter ref="D3:F24" xr:uid="{DBFD2A16-FA71-40F8-BC02-39B827BCB3AA}"/>
  <sortState xmlns:xlrd2="http://schemas.microsoft.com/office/spreadsheetml/2017/richdata2" ref="D4:F24">
    <sortCondition descending="1" ref="E3:E41"/>
  </sortState>
  <tableColumns count="3">
    <tableColumn id="1" xr3:uid="{BADF9C7A-0E5F-4B86-A953-600E0FDC70E6}" name="Themes Unique"/>
    <tableColumn id="2" xr3:uid="{C3634AE9-4DC4-4A84-8694-46D2935EC985}" name="Count" dataDxfId="16">
      <calculatedColumnFormula>COUNTIF(Table5[Themes (Organizational Values)], "*"&amp;Table6[[#This Row],[Themes Unique]]&amp;"*")</calculatedColumnFormula>
    </tableColumn>
    <tableColumn id="3" xr3:uid="{D8C5FD5A-83E4-45E4-9ACE-615BEF6D58FB}" name="%" dataCellStyle="Percent">
      <calculatedColumnFormula>Table6[[#This Row],[Count]]/SUM(Table6[Count])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6F1391-4761-460D-B6A4-2072E8F8F93E}" name="Table7" displayName="Table7" ref="A4:C13" totalsRowShown="0">
  <autoFilter ref="A4:C13" xr:uid="{AF6F1391-4761-460D-B6A4-2072E8F8F93E}"/>
  <sortState xmlns:xlrd2="http://schemas.microsoft.com/office/spreadsheetml/2017/richdata2" ref="A5:C13">
    <sortCondition ref="A4:A13"/>
  </sortState>
  <tableColumns count="3">
    <tableColumn id="1" xr3:uid="{131938F2-A542-4641-8912-713D9251EF78}" name="Table 7: Selected Theme Gatergory"/>
    <tableColumn id="3" xr3:uid="{C19CBDF7-CCC3-4C40-A6C2-82AE4B2837F4}" name="Count">
      <calculatedColumnFormula>VLOOKUP(Table7[[#This Row],[Table 7: Selected Theme Gatergory]],Table6[],2,FALSE)</calculatedColumnFormula>
    </tableColumn>
    <tableColumn id="2" xr3:uid="{B5EC1295-9ACB-458A-B8FC-4B7509EE9D1F}" name="%" dataDxfId="1">
      <calculatedColumnFormula>B5/SUM(B$5:B$13)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B81CDB-6E25-466F-B823-418A71A3623D}" name="Table8" displayName="Table8" ref="E4:H31" totalsRowShown="0">
  <autoFilter ref="E4:H31" xr:uid="{E9B81CDB-6E25-466F-B823-418A71A3623D}"/>
  <tableColumns count="4">
    <tableColumn id="1" xr3:uid="{461E879A-EE99-400F-A297-B4266EFA4623}" name="Table 8: Theme Catergory"/>
    <tableColumn id="2" xr3:uid="{1BC9E121-8D57-4B89-85A9-2F6B1CAB55C6}" name="Relating Concern"/>
    <tableColumn id="3" xr3:uid="{93515681-6784-48BB-85E9-02B014923879}" name="Count" dataDxfId="15">
      <calculatedColumnFormula>VLOOKUP(Table8[[#This Row],[Relating Concern]],Table2[],2,FALSE)</calculatedColumnFormula>
    </tableColumn>
    <tableColumn id="4" xr3:uid="{42111F9E-1A15-4F19-9E6B-191564517695}" name="%" dataDxfId="14">
      <calculatedColumnFormula>Table8[[#This Row],[Count]]/SUM(Table8[Count])</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62141AC-0808-4890-B19F-B55F8938F9E3}" name="Table9" displayName="Table9" ref="I6:L11" totalsRowShown="0">
  <autoFilter ref="I6:L11" xr:uid="{362141AC-0808-4890-B19F-B55F8938F9E3}"/>
  <sortState xmlns:xlrd2="http://schemas.microsoft.com/office/spreadsheetml/2017/richdata2" ref="I7:L11">
    <sortCondition ref="I6:I11"/>
  </sortState>
  <tableColumns count="4">
    <tableColumn id="2" xr3:uid="{BB13F185-F937-4927-91B1-A5948F67E000}" name="Min" dataCellStyle="Percent"/>
    <tableColumn id="3" xr3:uid="{6CAC4A8E-1E32-4CA4-ACED-BE892869561C}" name="Max" dataCellStyle="Percent"/>
    <tableColumn id="1" xr3:uid="{1956F3BC-9008-4543-926C-4EB3140F7D06}" name="Decriptor"/>
    <tableColumn id="4" xr3:uid="{451F592E-D116-45F3-92D1-FDB479142C4F}" name="Definit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10" displayName="Table10" ref="A3:C209" totalsRowShown="0" dataDxfId="13">
  <autoFilter ref="A3:C209" xr:uid="{88A77055-C259-414B-BB36-D21754969C94}"/>
  <tableColumns count="3">
    <tableColumn id="1" xr3:uid="{0C4B0DBE-4A73-4192-B377-7DA531385DE2}" name="Possible Solutions" dataDxfId="12"/>
    <tableColumn id="2" xr3:uid="{3E208449-6526-44CF-AC59-CB9429924362}" name="Tech Concept" dataDxfId="11"/>
    <tableColumn id="3" xr3:uid="{0C1310BA-D048-4003-820D-563F24B1B8D2}" name="Tech Layers" dataDxfId="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12" displayName="Table12" ref="A3:G69" totalsRowShown="0" dataDxfId="9">
  <autoFilter ref="A3:G69" xr:uid="{F79CF538-C3D7-4737-A223-A0DBD291B3C6}"/>
  <tableColumns count="7">
    <tableColumn id="1" xr3:uid="{D1D6EA50-9BC1-4A54-BECD-39796F25EBD7}" name="ID" dataDxfId="8">
      <calculatedColumnFormula>'NSW Thematic Analysis'!$H10</calculatedColumnFormula>
    </tableColumn>
    <tableColumn id="2" xr3:uid="{E24CE3CC-B4B6-4C4F-90E7-295304758DF1}" name="Concern" dataDxfId="7">
      <calculatedColumnFormula>'NSW Thematic Analysis'!$D10</calculatedColumnFormula>
    </tableColumn>
    <tableColumn id="3" xr3:uid="{DDA15557-5AE9-4190-B274-0F309E7E6249}" name="Organizational Value" dataDxfId="6">
      <calculatedColumnFormula>'NSW Thematic Analysis'!$F10</calculatedColumnFormula>
    </tableColumn>
    <tableColumn id="7" xr3:uid="{922643FC-B475-48C8-895E-24816DC8ADB8}" name="Possible Solution" dataDxfId="5">
      <calculatedColumnFormula>'NSW Thematic Analysis'!$E10</calculatedColumnFormula>
    </tableColumn>
    <tableColumn id="4" xr3:uid="{8317CC99-47AA-4512-9B48-6638EFE433BC}" name="Tech Concepts" dataDxfId="4"/>
    <tableColumn id="5" xr3:uid="{CFDDE1F2-4EBC-4AF6-BED1-F881894AC077}" name="Tech Layers" dataDxfId="3"/>
    <tableColumn id="6" xr3:uid="{75D8CE58-185C-4867-8B65-8D04627A39E7}" name="Use Case" dataDxfId="2">
      <calculatedColumnFormula>'NSW Thematic Analysis'!$C10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oodle.ara.ac.nz/pluginfile.php/1604914/mod_page/content/13/Case%20Study%2001%20NSW%20Health%20%281%29.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268"/>
  <sheetViews>
    <sheetView tabSelected="1" zoomScaleNormal="100" workbookViewId="0">
      <pane ySplit="9" topLeftCell="A10" activePane="bottomLeft" state="frozen"/>
      <selection pane="bottomLeft" activeCell="B5" sqref="B5:E5"/>
    </sheetView>
  </sheetViews>
  <sheetFormatPr defaultRowHeight="15" x14ac:dyDescent="0.25"/>
  <cols>
    <col min="1" max="1" width="28.42578125" customWidth="1"/>
    <col min="2" max="2" width="80.140625" bestFit="1" customWidth="1"/>
    <col min="3" max="3" width="49.7109375" customWidth="1"/>
    <col min="4" max="4" width="45.5703125" customWidth="1"/>
    <col min="5" max="5" width="41.85546875" customWidth="1"/>
    <col min="6" max="6" width="51.28515625" customWidth="1"/>
    <col min="7" max="7" width="21.42578125" customWidth="1"/>
    <col min="9" max="9" width="20.28515625" customWidth="1"/>
  </cols>
  <sheetData>
    <row r="1" spans="1:10" x14ac:dyDescent="0.25">
      <c r="H1" s="2"/>
    </row>
    <row r="2" spans="1:10" ht="15" customHeight="1" x14ac:dyDescent="0.3">
      <c r="B2" s="59" t="s">
        <v>0</v>
      </c>
      <c r="C2" s="59"/>
      <c r="D2" s="59"/>
      <c r="E2" s="59"/>
      <c r="H2" s="2"/>
    </row>
    <row r="3" spans="1:10" x14ac:dyDescent="0.25">
      <c r="H3" s="2"/>
    </row>
    <row r="4" spans="1:10" ht="19.5" thickBot="1" x14ac:dyDescent="0.35">
      <c r="B4" s="55" t="s">
        <v>2</v>
      </c>
      <c r="C4" s="55"/>
      <c r="D4" s="55"/>
      <c r="E4" s="55"/>
      <c r="H4" s="2"/>
    </row>
    <row r="5" spans="1:10" ht="30.75" customHeight="1" thickBot="1" x14ac:dyDescent="0.3">
      <c r="B5" s="56" t="s">
        <v>707</v>
      </c>
      <c r="C5" s="57"/>
      <c r="D5" s="57"/>
      <c r="E5" s="58"/>
      <c r="G5" s="28" t="s">
        <v>1</v>
      </c>
      <c r="H5" s="29">
        <f>MAX(H9:H262)</f>
        <v>66</v>
      </c>
    </row>
    <row r="6" spans="1:10" x14ac:dyDescent="0.25">
      <c r="B6" s="3"/>
      <c r="C6" s="3"/>
      <c r="H6" s="2"/>
    </row>
    <row r="7" spans="1:10" x14ac:dyDescent="0.25">
      <c r="H7" s="2"/>
    </row>
    <row r="8" spans="1:10" s="11" customFormat="1" ht="63" customHeight="1" x14ac:dyDescent="0.25">
      <c r="A8" s="12" t="s">
        <v>720</v>
      </c>
      <c r="B8" s="17" t="s">
        <v>643</v>
      </c>
      <c r="C8" s="21" t="s">
        <v>644</v>
      </c>
      <c r="D8" s="23" t="s">
        <v>645</v>
      </c>
      <c r="E8" s="14" t="s">
        <v>646</v>
      </c>
      <c r="F8" s="21" t="s">
        <v>647</v>
      </c>
      <c r="G8" s="13" t="s">
        <v>3</v>
      </c>
      <c r="H8" s="17" t="s">
        <v>4</v>
      </c>
      <c r="I8" s="17" t="s">
        <v>710</v>
      </c>
    </row>
    <row r="9" spans="1:10" ht="75" x14ac:dyDescent="0.25">
      <c r="A9" s="31" t="s">
        <v>5</v>
      </c>
      <c r="B9" s="22"/>
      <c r="C9" s="22"/>
      <c r="D9" s="22"/>
      <c r="E9" s="15"/>
      <c r="F9" s="22"/>
      <c r="G9" s="15"/>
      <c r="H9" s="20"/>
      <c r="I9" s="18"/>
    </row>
    <row r="10" spans="1:10" ht="300" x14ac:dyDescent="0.25">
      <c r="A10" s="16" t="s">
        <v>10</v>
      </c>
      <c r="B10" s="16" t="s">
        <v>28</v>
      </c>
      <c r="C10" s="16" t="s">
        <v>648</v>
      </c>
      <c r="D10" s="26" t="s">
        <v>330</v>
      </c>
      <c r="E10" s="26" t="s">
        <v>572</v>
      </c>
      <c r="F10" s="19" t="s">
        <v>776</v>
      </c>
      <c r="G10" s="6"/>
      <c r="H10" s="27">
        <v>1</v>
      </c>
      <c r="I10" s="19" t="str">
        <f>CheckGlossary($D10, Table1[Concerns])</f>
        <v>In Glossary
In Glossary
In Glossary</v>
      </c>
      <c r="J10" s="25"/>
    </row>
    <row r="11" spans="1:10" ht="60" x14ac:dyDescent="0.25">
      <c r="A11" s="16" t="s">
        <v>6</v>
      </c>
      <c r="B11" s="16" t="s">
        <v>11</v>
      </c>
      <c r="C11" s="16" t="s">
        <v>649</v>
      </c>
      <c r="D11" s="26" t="s">
        <v>115</v>
      </c>
      <c r="E11" s="26" t="s">
        <v>573</v>
      </c>
      <c r="F11" s="26" t="s">
        <v>777</v>
      </c>
      <c r="G11" s="24"/>
      <c r="H11" s="26">
        <f>IF(ISBLANK(B11), "", H10+1)</f>
        <v>2</v>
      </c>
      <c r="I11" s="19" t="str">
        <f>CheckGlossary($D11, Table1[Concerns])</f>
        <v>In Glossary
In Glossary
In Glossary</v>
      </c>
      <c r="J11" s="25"/>
    </row>
    <row r="12" spans="1:10" ht="90" x14ac:dyDescent="0.25">
      <c r="A12" s="16" t="s">
        <v>6</v>
      </c>
      <c r="B12" s="16" t="s">
        <v>12</v>
      </c>
      <c r="C12" s="16" t="s">
        <v>650</v>
      </c>
      <c r="D12" s="26" t="s">
        <v>840</v>
      </c>
      <c r="E12" s="26" t="s">
        <v>841</v>
      </c>
      <c r="F12" s="26" t="s">
        <v>842</v>
      </c>
      <c r="G12" s="24"/>
      <c r="H12" s="26">
        <f t="shared" ref="H12:H75" si="0">IF(ISBLANK(B12), "", H11+1)</f>
        <v>3</v>
      </c>
      <c r="I12" s="19" t="str">
        <f>CheckGlossary($D12, Table1[Concerns])</f>
        <v>In Glossary
In Glossary
In Glossary
In Glossary</v>
      </c>
      <c r="J12" s="25"/>
    </row>
    <row r="13" spans="1:10" ht="105" x14ac:dyDescent="0.25">
      <c r="A13" s="16" t="s">
        <v>6</v>
      </c>
      <c r="B13" s="16" t="s">
        <v>13</v>
      </c>
      <c r="C13" s="16" t="s">
        <v>651</v>
      </c>
      <c r="D13" s="26" t="s">
        <v>331</v>
      </c>
      <c r="E13" s="26" t="s">
        <v>574</v>
      </c>
      <c r="F13" s="26" t="s">
        <v>778</v>
      </c>
      <c r="G13" s="24"/>
      <c r="H13" s="26">
        <f t="shared" si="0"/>
        <v>4</v>
      </c>
      <c r="I13" s="19" t="str">
        <f>CheckGlossary($D13, Table1[Concerns])</f>
        <v>In Glossary
In Glossary
In Glossary</v>
      </c>
      <c r="J13" s="25"/>
    </row>
    <row r="14" spans="1:10" ht="150" x14ac:dyDescent="0.25">
      <c r="A14" s="16" t="s">
        <v>7</v>
      </c>
      <c r="B14" s="16" t="s">
        <v>36</v>
      </c>
      <c r="C14" s="16" t="s">
        <v>652</v>
      </c>
      <c r="D14" s="26" t="s">
        <v>116</v>
      </c>
      <c r="E14" s="26" t="s">
        <v>575</v>
      </c>
      <c r="F14" s="26" t="s">
        <v>779</v>
      </c>
      <c r="G14" s="25"/>
      <c r="H14" s="26">
        <f t="shared" si="0"/>
        <v>5</v>
      </c>
      <c r="I14" s="19" t="str">
        <f>CheckGlossary($D14, Table1[Concerns])</f>
        <v>In Glossary
In Glossary
In Glossary
In Glossary
In Glossary</v>
      </c>
      <c r="J14" s="25"/>
    </row>
    <row r="15" spans="1:10" ht="60" x14ac:dyDescent="0.25">
      <c r="A15" s="16" t="s">
        <v>15</v>
      </c>
      <c r="B15" s="16" t="s">
        <v>14</v>
      </c>
      <c r="C15" s="16" t="s">
        <v>653</v>
      </c>
      <c r="D15" s="26" t="s">
        <v>332</v>
      </c>
      <c r="E15" s="26" t="s">
        <v>576</v>
      </c>
      <c r="F15" s="26" t="s">
        <v>780</v>
      </c>
      <c r="G15" s="25"/>
      <c r="H15" s="26">
        <f t="shared" si="0"/>
        <v>6</v>
      </c>
      <c r="I15" s="19" t="str">
        <f>CheckGlossary($D15, Table1[Concerns])</f>
        <v>In Glossary
In Glossary
In Glossary</v>
      </c>
      <c r="J15" s="25"/>
    </row>
    <row r="16" spans="1:10" ht="75" x14ac:dyDescent="0.25">
      <c r="A16" s="16" t="s">
        <v>15</v>
      </c>
      <c r="B16" s="16" t="s">
        <v>41</v>
      </c>
      <c r="C16" s="16" t="s">
        <v>654</v>
      </c>
      <c r="D16" s="26" t="s">
        <v>711</v>
      </c>
      <c r="E16" s="26" t="s">
        <v>712</v>
      </c>
      <c r="F16" s="26" t="s">
        <v>781</v>
      </c>
      <c r="G16" s="25"/>
      <c r="H16" s="26">
        <f t="shared" si="0"/>
        <v>7</v>
      </c>
      <c r="I16" s="19" t="str">
        <f>CheckGlossary($D16, Table1[Concerns])</f>
        <v>In Glossary
In Glossary
In Glossary</v>
      </c>
      <c r="J16" s="25"/>
    </row>
    <row r="17" spans="1:10" ht="210" x14ac:dyDescent="0.25">
      <c r="A17" s="16" t="s">
        <v>15</v>
      </c>
      <c r="B17" s="16" t="s">
        <v>42</v>
      </c>
      <c r="C17" s="16" t="s">
        <v>655</v>
      </c>
      <c r="D17" s="26" t="s">
        <v>333</v>
      </c>
      <c r="E17" s="26" t="s">
        <v>577</v>
      </c>
      <c r="F17" s="26" t="s">
        <v>782</v>
      </c>
      <c r="G17" s="25"/>
      <c r="H17" s="26">
        <f t="shared" si="0"/>
        <v>8</v>
      </c>
      <c r="I17" s="19" t="str">
        <f>CheckGlossary($D17, Table1[Concerns])</f>
        <v>In Glossary
In Glossary
In Glossary
In Glossary
In Glossary</v>
      </c>
      <c r="J17" s="25"/>
    </row>
    <row r="18" spans="1:10" ht="255" x14ac:dyDescent="0.25">
      <c r="A18" s="16" t="s">
        <v>16</v>
      </c>
      <c r="B18" s="16" t="s">
        <v>37</v>
      </c>
      <c r="C18" s="16" t="s">
        <v>656</v>
      </c>
      <c r="D18" s="26" t="s">
        <v>117</v>
      </c>
      <c r="E18" s="26" t="s">
        <v>578</v>
      </c>
      <c r="F18" s="26" t="s">
        <v>783</v>
      </c>
      <c r="G18" s="25"/>
      <c r="H18" s="26">
        <f t="shared" si="0"/>
        <v>9</v>
      </c>
      <c r="I18" s="19" t="str">
        <f>CheckGlossary($D18, Table1[Concerns])</f>
        <v>In Glossary
In Glossary
In Glossary</v>
      </c>
      <c r="J18" s="25"/>
    </row>
    <row r="19" spans="1:10" ht="225" x14ac:dyDescent="0.25">
      <c r="A19" s="16" t="s">
        <v>17</v>
      </c>
      <c r="B19" s="16" t="s">
        <v>38</v>
      </c>
      <c r="C19" s="16" t="s">
        <v>657</v>
      </c>
      <c r="D19" s="26" t="s">
        <v>334</v>
      </c>
      <c r="E19" s="26" t="s">
        <v>579</v>
      </c>
      <c r="F19" s="26" t="s">
        <v>784</v>
      </c>
      <c r="G19" s="25"/>
      <c r="H19" s="26">
        <f t="shared" si="0"/>
        <v>10</v>
      </c>
      <c r="I19" s="19" t="str">
        <f>CheckGlossary($D19, Table1[Concerns])</f>
        <v>In Glossary
In Glossary
In Glossary
In Glossary</v>
      </c>
      <c r="J19" s="25"/>
    </row>
    <row r="20" spans="1:10" ht="330" x14ac:dyDescent="0.25">
      <c r="A20" s="16" t="s">
        <v>18</v>
      </c>
      <c r="B20" s="16" t="s">
        <v>19</v>
      </c>
      <c r="C20" s="16" t="s">
        <v>658</v>
      </c>
      <c r="D20" s="26" t="s">
        <v>335</v>
      </c>
      <c r="E20" s="26" t="s">
        <v>580</v>
      </c>
      <c r="F20" s="26" t="s">
        <v>785</v>
      </c>
      <c r="G20" s="25"/>
      <c r="H20" s="26">
        <f t="shared" si="0"/>
        <v>11</v>
      </c>
      <c r="I20" s="19" t="str">
        <f>CheckGlossary($D20, Table1[Concerns])</f>
        <v>In Glossary
In Glossary
In Glossary</v>
      </c>
      <c r="J20" s="25"/>
    </row>
    <row r="21" spans="1:10" ht="240" x14ac:dyDescent="0.25">
      <c r="A21" s="16" t="s">
        <v>20</v>
      </c>
      <c r="B21" s="16" t="s">
        <v>29</v>
      </c>
      <c r="C21" s="16" t="s">
        <v>659</v>
      </c>
      <c r="D21" s="26" t="s">
        <v>172</v>
      </c>
      <c r="E21" s="26" t="s">
        <v>405</v>
      </c>
      <c r="F21" s="26" t="s">
        <v>729</v>
      </c>
      <c r="G21" s="25"/>
      <c r="H21" s="26">
        <f t="shared" si="0"/>
        <v>12</v>
      </c>
      <c r="I21" s="19" t="str">
        <f>CheckGlossary($D21, Table1[Concerns])</f>
        <v>In Glossary</v>
      </c>
      <c r="J21" s="25"/>
    </row>
    <row r="22" spans="1:10" ht="90" x14ac:dyDescent="0.25">
      <c r="A22" s="16" t="s">
        <v>20</v>
      </c>
      <c r="B22" s="16" t="s">
        <v>39</v>
      </c>
      <c r="C22" s="16" t="s">
        <v>660</v>
      </c>
      <c r="D22" s="26" t="s">
        <v>57</v>
      </c>
      <c r="E22" s="26" t="s">
        <v>581</v>
      </c>
      <c r="F22" s="26" t="s">
        <v>786</v>
      </c>
      <c r="G22" s="24"/>
      <c r="H22" s="26">
        <f t="shared" si="0"/>
        <v>13</v>
      </c>
      <c r="I22" s="19" t="str">
        <f>CheckGlossary($D22, Table1[Concerns])</f>
        <v>In Glossary
In Glossary
In Glossary</v>
      </c>
      <c r="J22" s="25"/>
    </row>
    <row r="23" spans="1:10" ht="120" x14ac:dyDescent="0.25">
      <c r="A23" s="16" t="s">
        <v>21</v>
      </c>
      <c r="B23" s="16" t="s">
        <v>40</v>
      </c>
      <c r="C23" s="16" t="s">
        <v>661</v>
      </c>
      <c r="D23" s="26" t="s">
        <v>139</v>
      </c>
      <c r="E23" s="26" t="s">
        <v>582</v>
      </c>
      <c r="F23" s="26" t="s">
        <v>787</v>
      </c>
      <c r="G23" s="24"/>
      <c r="H23" s="26">
        <f t="shared" si="0"/>
        <v>14</v>
      </c>
      <c r="I23" s="19" t="str">
        <f>CheckGlossary($D23, Table1[Concerns])</f>
        <v>In Glossary
In Glossary
In Glossary
In Glossary</v>
      </c>
      <c r="J23" s="25"/>
    </row>
    <row r="24" spans="1:10" ht="150" x14ac:dyDescent="0.25">
      <c r="A24" s="16" t="s">
        <v>21</v>
      </c>
      <c r="B24" s="24" t="s">
        <v>30</v>
      </c>
      <c r="C24" s="24" t="s">
        <v>662</v>
      </c>
      <c r="D24" s="26" t="s">
        <v>140</v>
      </c>
      <c r="E24" s="26" t="s">
        <v>583</v>
      </c>
      <c r="F24" s="26" t="s">
        <v>788</v>
      </c>
      <c r="G24" s="24"/>
      <c r="H24" s="26">
        <f t="shared" si="0"/>
        <v>15</v>
      </c>
      <c r="I24" s="19" t="str">
        <f>CheckGlossary($D24, Table1[Concerns])</f>
        <v>In Glossary
In Glossary
In Glossary</v>
      </c>
      <c r="J24" s="25"/>
    </row>
    <row r="25" spans="1:10" ht="105" x14ac:dyDescent="0.25">
      <c r="A25" s="16" t="s">
        <v>21</v>
      </c>
      <c r="B25" s="16" t="s">
        <v>22</v>
      </c>
      <c r="C25" s="16" t="s">
        <v>663</v>
      </c>
      <c r="D25" s="26" t="s">
        <v>118</v>
      </c>
      <c r="E25" s="26" t="s">
        <v>584</v>
      </c>
      <c r="F25" s="26" t="s">
        <v>789</v>
      </c>
      <c r="G25" s="24"/>
      <c r="H25" s="26">
        <f t="shared" si="0"/>
        <v>16</v>
      </c>
      <c r="I25" s="19" t="str">
        <f>CheckGlossary($D25, Table1[Concerns])</f>
        <v>In Glossary
In Glossary
In Glossary</v>
      </c>
      <c r="J25" s="25"/>
    </row>
    <row r="26" spans="1:10" ht="75" x14ac:dyDescent="0.25">
      <c r="A26" s="16" t="s">
        <v>23</v>
      </c>
      <c r="B26" s="16" t="s">
        <v>24</v>
      </c>
      <c r="C26" s="16" t="s">
        <v>664</v>
      </c>
      <c r="D26" s="26" t="s">
        <v>336</v>
      </c>
      <c r="E26" s="26" t="s">
        <v>585</v>
      </c>
      <c r="F26" s="26" t="s">
        <v>790</v>
      </c>
      <c r="G26" s="24"/>
      <c r="H26" s="26">
        <f t="shared" si="0"/>
        <v>17</v>
      </c>
      <c r="I26" s="19" t="str">
        <f>CheckGlossary($D26, Table1[Concerns])</f>
        <v>In Glossary
In Glossary
In Glossary</v>
      </c>
      <c r="J26" s="25"/>
    </row>
    <row r="27" spans="1:10" ht="60" x14ac:dyDescent="0.25">
      <c r="A27" s="16" t="s">
        <v>23</v>
      </c>
      <c r="B27" s="16" t="s">
        <v>31</v>
      </c>
      <c r="C27" s="16" t="s">
        <v>665</v>
      </c>
      <c r="D27" s="26" t="s">
        <v>337</v>
      </c>
      <c r="E27" s="26" t="s">
        <v>586</v>
      </c>
      <c r="F27" s="26" t="s">
        <v>791</v>
      </c>
      <c r="G27" s="24"/>
      <c r="H27" s="26">
        <f t="shared" si="0"/>
        <v>18</v>
      </c>
      <c r="I27" s="19" t="str">
        <f>CheckGlossary($D27, Table1[Concerns])</f>
        <v>In Glossary
In Glossary
In Glossary</v>
      </c>
      <c r="J27" s="25"/>
    </row>
    <row r="28" spans="1:10" ht="75" x14ac:dyDescent="0.25">
      <c r="A28" s="16" t="s">
        <v>23</v>
      </c>
      <c r="B28" s="16" t="s">
        <v>32</v>
      </c>
      <c r="C28" s="16" t="s">
        <v>666</v>
      </c>
      <c r="D28" s="26" t="s">
        <v>338</v>
      </c>
      <c r="E28" s="26" t="s">
        <v>587</v>
      </c>
      <c r="F28" s="26" t="s">
        <v>792</v>
      </c>
      <c r="G28" s="24"/>
      <c r="H28" s="26">
        <f t="shared" si="0"/>
        <v>19</v>
      </c>
      <c r="I28" s="19" t="str">
        <f>CheckGlossary($D28, Table1[Concerns])</f>
        <v>In Glossary
In Glossary
In Glossary</v>
      </c>
      <c r="J28" s="25"/>
    </row>
    <row r="29" spans="1:10" ht="135" x14ac:dyDescent="0.25">
      <c r="A29" s="16" t="s">
        <v>23</v>
      </c>
      <c r="B29" s="16" t="s">
        <v>33</v>
      </c>
      <c r="C29" s="16" t="s">
        <v>667</v>
      </c>
      <c r="D29" s="30" t="s">
        <v>713</v>
      </c>
      <c r="E29" s="26" t="s">
        <v>716</v>
      </c>
      <c r="F29" s="26" t="s">
        <v>793</v>
      </c>
      <c r="G29" s="24"/>
      <c r="H29" s="26">
        <f t="shared" si="0"/>
        <v>20</v>
      </c>
      <c r="I29" s="19" t="str">
        <f>CheckGlossary($D29, Table1[Concerns])</f>
        <v>In Glossary
In Glossary
In Glossary
In Glossary</v>
      </c>
      <c r="J29" s="25"/>
    </row>
    <row r="30" spans="1:10" ht="165" x14ac:dyDescent="0.25">
      <c r="A30" s="16" t="s">
        <v>23</v>
      </c>
      <c r="B30" s="16" t="s">
        <v>43</v>
      </c>
      <c r="C30" s="16" t="s">
        <v>668</v>
      </c>
      <c r="D30" s="26" t="s">
        <v>339</v>
      </c>
      <c r="E30" s="26" t="s">
        <v>588</v>
      </c>
      <c r="F30" s="26" t="s">
        <v>794</v>
      </c>
      <c r="G30" s="24"/>
      <c r="H30" s="26">
        <f t="shared" si="0"/>
        <v>21</v>
      </c>
      <c r="I30" s="19" t="str">
        <f>CheckGlossary($D30, Table1[Concerns])</f>
        <v>In Glossary
In Glossary
In Glossary</v>
      </c>
      <c r="J30" s="25"/>
    </row>
    <row r="31" spans="1:10" ht="409.5" x14ac:dyDescent="0.25">
      <c r="A31" s="16" t="s">
        <v>25</v>
      </c>
      <c r="B31" s="16" t="s">
        <v>34</v>
      </c>
      <c r="C31" s="16" t="s">
        <v>669</v>
      </c>
      <c r="D31" s="26" t="s">
        <v>714</v>
      </c>
      <c r="E31" s="26" t="s">
        <v>717</v>
      </c>
      <c r="F31" s="26" t="s">
        <v>795</v>
      </c>
      <c r="G31" s="24"/>
      <c r="H31" s="26">
        <f t="shared" si="0"/>
        <v>22</v>
      </c>
      <c r="I31" s="19" t="str">
        <f>CheckGlossary($D31, Table1[Concerns])</f>
        <v>In Glossary
In Glossary
In Glossary
In Glossary
In Glossary</v>
      </c>
      <c r="J31" s="25"/>
    </row>
    <row r="32" spans="1:10" ht="165" x14ac:dyDescent="0.25">
      <c r="A32" s="16" t="s">
        <v>26</v>
      </c>
      <c r="B32" s="16" t="s">
        <v>35</v>
      </c>
      <c r="C32" s="16" t="s">
        <v>670</v>
      </c>
      <c r="D32" s="26" t="s">
        <v>715</v>
      </c>
      <c r="E32" s="26" t="s">
        <v>718</v>
      </c>
      <c r="F32" s="26" t="s">
        <v>796</v>
      </c>
      <c r="G32" s="24"/>
      <c r="H32" s="26">
        <f t="shared" si="0"/>
        <v>23</v>
      </c>
      <c r="I32" s="19" t="str">
        <f>CheckGlossary($D32, Table1[Concerns])</f>
        <v>In Glossary
In Glossary
In Glossary
In Glossary</v>
      </c>
      <c r="J32" s="25"/>
    </row>
    <row r="33" spans="1:10" ht="90" x14ac:dyDescent="0.25">
      <c r="A33" s="16" t="s">
        <v>27</v>
      </c>
      <c r="B33" s="16" t="s">
        <v>44</v>
      </c>
      <c r="C33" s="24" t="s">
        <v>671</v>
      </c>
      <c r="D33" s="26" t="s">
        <v>340</v>
      </c>
      <c r="E33" s="26" t="s">
        <v>589</v>
      </c>
      <c r="F33" s="26" t="s">
        <v>797</v>
      </c>
      <c r="G33" s="24"/>
      <c r="H33" s="26">
        <f t="shared" si="0"/>
        <v>24</v>
      </c>
      <c r="I33" s="19" t="str">
        <f>CheckGlossary($D33, Table1[Concerns])</f>
        <v>In Glossary
In Glossary
In Glossary</v>
      </c>
      <c r="J33" s="25"/>
    </row>
    <row r="34" spans="1:10" ht="75" customHeight="1" x14ac:dyDescent="0.25">
      <c r="A34" s="16" t="s">
        <v>27</v>
      </c>
      <c r="B34" s="16" t="s">
        <v>45</v>
      </c>
      <c r="C34" s="16" t="s">
        <v>672</v>
      </c>
      <c r="D34" s="26" t="s">
        <v>119</v>
      </c>
      <c r="E34" s="26" t="s">
        <v>590</v>
      </c>
      <c r="F34" s="26" t="s">
        <v>798</v>
      </c>
      <c r="G34" s="24"/>
      <c r="H34" s="26">
        <f t="shared" si="0"/>
        <v>25</v>
      </c>
      <c r="I34" s="19" t="str">
        <f>CheckGlossary($D34, Table1[Concerns])</f>
        <v>In Glossary
In Glossary
In Glossary</v>
      </c>
      <c r="J34" s="25"/>
    </row>
    <row r="35" spans="1:10" ht="75" x14ac:dyDescent="0.25">
      <c r="A35" s="16" t="s">
        <v>27</v>
      </c>
      <c r="B35" s="16" t="s">
        <v>46</v>
      </c>
      <c r="C35" s="16" t="s">
        <v>673</v>
      </c>
      <c r="D35" s="26" t="s">
        <v>620</v>
      </c>
      <c r="E35" s="26" t="s">
        <v>621</v>
      </c>
      <c r="F35" s="26" t="s">
        <v>799</v>
      </c>
      <c r="G35" s="24"/>
      <c r="H35" s="26">
        <f t="shared" si="0"/>
        <v>26</v>
      </c>
      <c r="I35" s="19" t="str">
        <f>CheckGlossary($D35, Table1[Concerns])</f>
        <v>In Glossary
In Glossary
In Glossary</v>
      </c>
      <c r="J35" s="25"/>
    </row>
    <row r="36" spans="1:10" ht="45" x14ac:dyDescent="0.25">
      <c r="A36" s="16" t="s">
        <v>27</v>
      </c>
      <c r="B36" s="16" t="s">
        <v>47</v>
      </c>
      <c r="C36" s="16" t="s">
        <v>47</v>
      </c>
      <c r="D36" s="26" t="s">
        <v>120</v>
      </c>
      <c r="E36" s="26" t="s">
        <v>591</v>
      </c>
      <c r="F36" s="26" t="s">
        <v>800</v>
      </c>
      <c r="G36" s="24"/>
      <c r="H36" s="26">
        <f t="shared" si="0"/>
        <v>27</v>
      </c>
      <c r="I36" s="19" t="str">
        <f>CheckGlossary($D36, Table1[Concerns])</f>
        <v>In Glossary
In Glossary</v>
      </c>
      <c r="J36" s="25"/>
    </row>
    <row r="37" spans="1:10" ht="30" x14ac:dyDescent="0.25">
      <c r="A37" s="16" t="s">
        <v>27</v>
      </c>
      <c r="B37" s="16" t="s">
        <v>48</v>
      </c>
      <c r="C37" s="16" t="s">
        <v>48</v>
      </c>
      <c r="D37" s="26" t="s">
        <v>121</v>
      </c>
      <c r="E37" s="26" t="s">
        <v>592</v>
      </c>
      <c r="F37" s="26" t="s">
        <v>801</v>
      </c>
      <c r="G37" s="24"/>
      <c r="H37" s="26">
        <f t="shared" si="0"/>
        <v>28</v>
      </c>
      <c r="I37" s="19" t="str">
        <f>CheckGlossary($D37, Table1[Concerns])</f>
        <v>In Glossary
In Glossary</v>
      </c>
      <c r="J37" s="25"/>
    </row>
    <row r="38" spans="1:10" ht="45" x14ac:dyDescent="0.25">
      <c r="A38" s="16" t="s">
        <v>27</v>
      </c>
      <c r="B38" s="16" t="s">
        <v>49</v>
      </c>
      <c r="C38" s="16" t="s">
        <v>49</v>
      </c>
      <c r="D38" s="26" t="s">
        <v>122</v>
      </c>
      <c r="E38" s="26" t="s">
        <v>593</v>
      </c>
      <c r="F38" s="26" t="s">
        <v>802</v>
      </c>
      <c r="G38" s="24"/>
      <c r="H38" s="26">
        <f t="shared" si="0"/>
        <v>29</v>
      </c>
      <c r="I38" s="19" t="str">
        <f>CheckGlossary($D38, Table1[Concerns])</f>
        <v>In Glossary
In Glossary
In Glossary</v>
      </c>
      <c r="J38" s="25"/>
    </row>
    <row r="39" spans="1:10" ht="105" x14ac:dyDescent="0.25">
      <c r="A39" s="16" t="s">
        <v>27</v>
      </c>
      <c r="B39" s="16" t="s">
        <v>50</v>
      </c>
      <c r="C39" s="16" t="s">
        <v>674</v>
      </c>
      <c r="D39" s="26" t="s">
        <v>341</v>
      </c>
      <c r="E39" s="26" t="s">
        <v>594</v>
      </c>
      <c r="F39" s="26" t="s">
        <v>803</v>
      </c>
      <c r="G39" s="24"/>
      <c r="H39" s="26">
        <f t="shared" si="0"/>
        <v>30</v>
      </c>
      <c r="I39" s="19" t="str">
        <f>CheckGlossary($D39, Table1[Concerns])</f>
        <v>In Glossary
In Glossary
In Glossary</v>
      </c>
      <c r="J39" s="25"/>
    </row>
    <row r="40" spans="1:10" ht="90" x14ac:dyDescent="0.25">
      <c r="A40" s="16" t="s">
        <v>27</v>
      </c>
      <c r="B40" s="16" t="s">
        <v>51</v>
      </c>
      <c r="C40" s="16" t="s">
        <v>675</v>
      </c>
      <c r="D40" s="26" t="s">
        <v>342</v>
      </c>
      <c r="E40" s="26" t="s">
        <v>595</v>
      </c>
      <c r="F40" s="26" t="s">
        <v>804</v>
      </c>
      <c r="G40" s="24"/>
      <c r="H40" s="26">
        <f t="shared" si="0"/>
        <v>31</v>
      </c>
      <c r="I40" s="19" t="str">
        <f>CheckGlossary($D40, Table1[Concerns])</f>
        <v>In Glossary
In Glossary
In Glossary
In Glossary</v>
      </c>
      <c r="J40" s="25"/>
    </row>
    <row r="41" spans="1:10" ht="75" x14ac:dyDescent="0.25">
      <c r="A41" s="16" t="s">
        <v>27</v>
      </c>
      <c r="B41" s="16" t="s">
        <v>52</v>
      </c>
      <c r="C41" s="16" t="s">
        <v>52</v>
      </c>
      <c r="D41" s="26" t="s">
        <v>123</v>
      </c>
      <c r="E41" s="26" t="s">
        <v>596</v>
      </c>
      <c r="F41" s="26" t="s">
        <v>805</v>
      </c>
      <c r="G41" s="24"/>
      <c r="H41" s="26">
        <f t="shared" si="0"/>
        <v>32</v>
      </c>
      <c r="I41" s="19" t="str">
        <f>CheckGlossary($D41, Table1[Concerns])</f>
        <v>In Glossary
In Glossary</v>
      </c>
      <c r="J41" s="25"/>
    </row>
    <row r="42" spans="1:10" ht="105" x14ac:dyDescent="0.25">
      <c r="A42" s="16" t="s">
        <v>27</v>
      </c>
      <c r="B42" s="16" t="s">
        <v>53</v>
      </c>
      <c r="C42" s="16" t="s">
        <v>53</v>
      </c>
      <c r="D42" s="26" t="s">
        <v>343</v>
      </c>
      <c r="E42" s="26" t="s">
        <v>597</v>
      </c>
      <c r="F42" s="30" t="s">
        <v>806</v>
      </c>
      <c r="G42" s="24"/>
      <c r="H42" s="26">
        <f t="shared" si="0"/>
        <v>33</v>
      </c>
      <c r="I42" s="19" t="str">
        <f>CheckGlossary($D42, Table1[Concerns])</f>
        <v>In Glossary
In Glossary
In Glossary</v>
      </c>
      <c r="J42" s="25"/>
    </row>
    <row r="43" spans="1:10" ht="60" x14ac:dyDescent="0.25">
      <c r="A43" s="16" t="s">
        <v>27</v>
      </c>
      <c r="B43" s="16" t="s">
        <v>54</v>
      </c>
      <c r="C43" s="16" t="s">
        <v>676</v>
      </c>
      <c r="D43" s="26" t="s">
        <v>58</v>
      </c>
      <c r="E43" s="26" t="s">
        <v>598</v>
      </c>
      <c r="F43" s="26" t="s">
        <v>807</v>
      </c>
      <c r="G43" s="24"/>
      <c r="H43" s="26">
        <f t="shared" si="0"/>
        <v>34</v>
      </c>
      <c r="I43" s="19" t="str">
        <f>CheckGlossary($D43, Table1[Concerns])</f>
        <v>In Glossary
In Glossary
In Glossary</v>
      </c>
      <c r="J43" s="25"/>
    </row>
    <row r="44" spans="1:10" ht="105" x14ac:dyDescent="0.25">
      <c r="A44" s="16" t="s">
        <v>55</v>
      </c>
      <c r="B44" s="16" t="s">
        <v>56</v>
      </c>
      <c r="C44" s="16" t="s">
        <v>677</v>
      </c>
      <c r="D44" s="26" t="s">
        <v>59</v>
      </c>
      <c r="E44" s="26" t="s">
        <v>599</v>
      </c>
      <c r="F44" s="26" t="s">
        <v>807</v>
      </c>
      <c r="G44" s="24"/>
      <c r="H44" s="26">
        <f t="shared" si="0"/>
        <v>35</v>
      </c>
      <c r="I44" s="19" t="str">
        <f>CheckGlossary($D44, Table1[Concerns])</f>
        <v>In Glossary
In Glossary
In Glossary</v>
      </c>
      <c r="J44" s="25"/>
    </row>
    <row r="45" spans="1:10" ht="150" x14ac:dyDescent="0.25">
      <c r="A45" s="16" t="s">
        <v>60</v>
      </c>
      <c r="B45" s="16" t="s">
        <v>61</v>
      </c>
      <c r="C45" s="16" t="s">
        <v>678</v>
      </c>
      <c r="D45" s="26" t="s">
        <v>124</v>
      </c>
      <c r="E45" s="26" t="s">
        <v>600</v>
      </c>
      <c r="F45" s="26" t="s">
        <v>808</v>
      </c>
      <c r="G45" s="24"/>
      <c r="H45" s="26">
        <f t="shared" si="0"/>
        <v>36</v>
      </c>
      <c r="I45" s="19" t="str">
        <f>CheckGlossary($D45, Table1[Concerns])</f>
        <v>In Glossary
In Glossary
In Glossary
In Glossary</v>
      </c>
      <c r="J45" s="25"/>
    </row>
    <row r="46" spans="1:10" ht="120" x14ac:dyDescent="0.25">
      <c r="A46" s="16" t="s">
        <v>60</v>
      </c>
      <c r="B46" s="16" t="s">
        <v>62</v>
      </c>
      <c r="C46" s="16" t="s">
        <v>679</v>
      </c>
      <c r="D46" s="26" t="s">
        <v>63</v>
      </c>
      <c r="E46" s="26" t="s">
        <v>601</v>
      </c>
      <c r="F46" s="26" t="s">
        <v>809</v>
      </c>
      <c r="G46" s="24"/>
      <c r="H46" s="26">
        <f t="shared" si="0"/>
        <v>37</v>
      </c>
      <c r="I46" s="19" t="str">
        <f>CheckGlossary($D46, Table1[Concerns])</f>
        <v>In Glossary
In Glossary
In Glossary
In Glossary</v>
      </c>
      <c r="J46" s="25"/>
    </row>
    <row r="47" spans="1:10" ht="225" x14ac:dyDescent="0.25">
      <c r="A47" s="16" t="s">
        <v>65</v>
      </c>
      <c r="B47" s="16" t="s">
        <v>64</v>
      </c>
      <c r="C47" s="16" t="s">
        <v>680</v>
      </c>
      <c r="D47" s="26" t="s">
        <v>622</v>
      </c>
      <c r="E47" s="26" t="s">
        <v>623</v>
      </c>
      <c r="F47" s="26" t="s">
        <v>810</v>
      </c>
      <c r="G47" s="24"/>
      <c r="H47" s="26">
        <f t="shared" si="0"/>
        <v>38</v>
      </c>
      <c r="I47" s="19" t="str">
        <f>CheckGlossary($D47, Table1[Concerns])</f>
        <v>In Glossary
In Glossary
In Glossary
In Glossary
In Glossary
In Glossary
In Glossary</v>
      </c>
      <c r="J47" s="25"/>
    </row>
    <row r="48" spans="1:10" ht="120" x14ac:dyDescent="0.25">
      <c r="A48" s="16" t="s">
        <v>66</v>
      </c>
      <c r="B48" s="16" t="s">
        <v>67</v>
      </c>
      <c r="C48" s="16" t="s">
        <v>681</v>
      </c>
      <c r="D48" s="26" t="s">
        <v>138</v>
      </c>
      <c r="E48" s="26" t="s">
        <v>602</v>
      </c>
      <c r="F48" s="26" t="s">
        <v>811</v>
      </c>
      <c r="G48" s="24"/>
      <c r="H48" s="26">
        <f t="shared" si="0"/>
        <v>39</v>
      </c>
      <c r="I48" s="19" t="str">
        <f>CheckGlossary($D48, Table1[Concerns])</f>
        <v>In Glossary
In Glossary
In Glossary</v>
      </c>
      <c r="J48" s="25"/>
    </row>
    <row r="49" spans="1:10" ht="120" x14ac:dyDescent="0.25">
      <c r="A49" s="16" t="s">
        <v>68</v>
      </c>
      <c r="B49" s="16" t="s">
        <v>69</v>
      </c>
      <c r="C49" s="16" t="s">
        <v>682</v>
      </c>
      <c r="D49" s="26" t="s">
        <v>125</v>
      </c>
      <c r="E49" s="26" t="s">
        <v>603</v>
      </c>
      <c r="F49" s="26" t="s">
        <v>812</v>
      </c>
      <c r="G49" s="24"/>
      <c r="H49" s="26">
        <f t="shared" si="0"/>
        <v>40</v>
      </c>
      <c r="I49" s="19" t="str">
        <f>CheckGlossary($D49, Table1[Concerns])</f>
        <v>In Glossary
In Glossary
In Glossary
In Glossary
In Glossary
In Glossary
In Glossary
In Glossary</v>
      </c>
      <c r="J49" s="25"/>
    </row>
    <row r="50" spans="1:10" ht="150" x14ac:dyDescent="0.25">
      <c r="A50" s="16" t="s">
        <v>70</v>
      </c>
      <c r="B50" s="16" t="s">
        <v>71</v>
      </c>
      <c r="C50" s="16" t="s">
        <v>683</v>
      </c>
      <c r="D50" s="26" t="s">
        <v>126</v>
      </c>
      <c r="E50" s="26" t="s">
        <v>604</v>
      </c>
      <c r="F50" s="26" t="s">
        <v>813</v>
      </c>
      <c r="G50" s="24"/>
      <c r="H50" s="26">
        <f t="shared" si="0"/>
        <v>41</v>
      </c>
      <c r="I50" s="19" t="str">
        <f>CheckGlossary($D50, Table1[Concerns])</f>
        <v>In Glossary
In Glossary
In Glossary
In Glossary
In Glossary</v>
      </c>
      <c r="J50" s="25"/>
    </row>
    <row r="51" spans="1:10" ht="75" x14ac:dyDescent="0.25">
      <c r="A51" s="16" t="s">
        <v>72</v>
      </c>
      <c r="B51" s="16" t="s">
        <v>73</v>
      </c>
      <c r="C51" s="16" t="s">
        <v>684</v>
      </c>
      <c r="D51" s="26" t="s">
        <v>127</v>
      </c>
      <c r="E51" s="26" t="s">
        <v>605</v>
      </c>
      <c r="F51" s="26" t="s">
        <v>814</v>
      </c>
      <c r="G51" s="24"/>
      <c r="H51" s="26">
        <f t="shared" si="0"/>
        <v>42</v>
      </c>
      <c r="I51" s="19" t="str">
        <f>CheckGlossary($D51, Table1[Concerns])</f>
        <v>In Glossary
In Glossary</v>
      </c>
      <c r="J51" s="25"/>
    </row>
    <row r="52" spans="1:10" ht="225" x14ac:dyDescent="0.25">
      <c r="A52" s="16" t="s">
        <v>74</v>
      </c>
      <c r="B52" s="16" t="s">
        <v>75</v>
      </c>
      <c r="C52" s="16" t="s">
        <v>685</v>
      </c>
      <c r="D52" s="26" t="s">
        <v>128</v>
      </c>
      <c r="E52" s="26" t="s">
        <v>606</v>
      </c>
      <c r="F52" s="26" t="s">
        <v>815</v>
      </c>
      <c r="G52" s="24"/>
      <c r="H52" s="26">
        <f t="shared" si="0"/>
        <v>43</v>
      </c>
      <c r="I52" s="19" t="str">
        <f>CheckGlossary($D52, Table1[Concerns])</f>
        <v>In Glossary
In Glossary</v>
      </c>
      <c r="J52" s="25"/>
    </row>
    <row r="53" spans="1:10" ht="165" x14ac:dyDescent="0.25">
      <c r="A53" s="16" t="s">
        <v>74</v>
      </c>
      <c r="B53" s="16" t="s">
        <v>76</v>
      </c>
      <c r="C53" s="16" t="s">
        <v>686</v>
      </c>
      <c r="D53" s="26" t="s">
        <v>708</v>
      </c>
      <c r="E53" s="26" t="s">
        <v>719</v>
      </c>
      <c r="F53" s="26" t="s">
        <v>816</v>
      </c>
      <c r="G53" s="24"/>
      <c r="H53" s="26">
        <f t="shared" si="0"/>
        <v>44</v>
      </c>
      <c r="I53" s="19" t="str">
        <f>CheckGlossary($D53, Table1[Concerns])</f>
        <v>In Glossary
In Glossary
In Glossary
In Glossary
In Glossary</v>
      </c>
      <c r="J53" s="25"/>
    </row>
    <row r="54" spans="1:10" ht="150" x14ac:dyDescent="0.25">
      <c r="A54" s="16" t="s">
        <v>74</v>
      </c>
      <c r="B54" s="16" t="s">
        <v>709</v>
      </c>
      <c r="C54" s="16" t="s">
        <v>687</v>
      </c>
      <c r="D54" s="26" t="s">
        <v>129</v>
      </c>
      <c r="E54" s="26" t="s">
        <v>607</v>
      </c>
      <c r="F54" s="26" t="s">
        <v>817</v>
      </c>
      <c r="G54" s="24"/>
      <c r="H54" s="26">
        <f t="shared" si="0"/>
        <v>45</v>
      </c>
      <c r="I54" s="19" t="str">
        <f>CheckGlossary($D54, Table1[Concerns])</f>
        <v>In Glossary
In Glossary
In Glossary
In Glossary</v>
      </c>
      <c r="J54" s="25"/>
    </row>
    <row r="55" spans="1:10" ht="409.5" x14ac:dyDescent="0.25">
      <c r="A55" s="16" t="s">
        <v>77</v>
      </c>
      <c r="B55" s="16" t="s">
        <v>78</v>
      </c>
      <c r="C55" s="16" t="s">
        <v>721</v>
      </c>
      <c r="D55" s="26" t="s">
        <v>624</v>
      </c>
      <c r="E55" s="26" t="s">
        <v>632</v>
      </c>
      <c r="F55" s="26" t="s">
        <v>818</v>
      </c>
      <c r="G55" s="24"/>
      <c r="H55" s="26">
        <f t="shared" si="0"/>
        <v>46</v>
      </c>
      <c r="I55" s="19" t="str">
        <f>CheckGlossary($D55, Table1[Concerns])</f>
        <v>In Glossary
In Glossary
In Glossary
In Glossary
In Glossary
In Glossary
In Glossary
In Glossary
In Glossary</v>
      </c>
      <c r="J55" s="25"/>
    </row>
    <row r="56" spans="1:10" ht="105" x14ac:dyDescent="0.25">
      <c r="A56" s="16" t="s">
        <v>79</v>
      </c>
      <c r="B56" s="16" t="s">
        <v>80</v>
      </c>
      <c r="C56" s="16" t="s">
        <v>722</v>
      </c>
      <c r="D56" s="26" t="s">
        <v>113</v>
      </c>
      <c r="E56" s="26" t="s">
        <v>608</v>
      </c>
      <c r="F56" s="26" t="s">
        <v>819</v>
      </c>
      <c r="G56" s="24"/>
      <c r="H56" s="26">
        <f t="shared" si="0"/>
        <v>47</v>
      </c>
      <c r="I56" s="19" t="str">
        <f>CheckGlossary($D56, Table1[Concerns])</f>
        <v>In Glossary
In Glossary
In Glossary</v>
      </c>
      <c r="J56" s="25"/>
    </row>
    <row r="57" spans="1:10" ht="285" x14ac:dyDescent="0.25">
      <c r="A57" s="16" t="s">
        <v>79</v>
      </c>
      <c r="B57" s="16" t="s">
        <v>81</v>
      </c>
      <c r="C57" s="16" t="s">
        <v>688</v>
      </c>
      <c r="D57" s="26" t="s">
        <v>114</v>
      </c>
      <c r="E57" s="26" t="s">
        <v>609</v>
      </c>
      <c r="F57" s="26" t="s">
        <v>820</v>
      </c>
      <c r="G57" s="24"/>
      <c r="H57" s="26">
        <f t="shared" si="0"/>
        <v>48</v>
      </c>
      <c r="I57" s="19" t="str">
        <f>CheckGlossary($D57, Table1[Concerns])</f>
        <v>In Glossary
In Glossary
In Glossary
In Glossary</v>
      </c>
      <c r="J57" s="25"/>
    </row>
    <row r="58" spans="1:10" ht="120" x14ac:dyDescent="0.25">
      <c r="A58" s="16" t="s">
        <v>79</v>
      </c>
      <c r="B58" s="16" t="s">
        <v>82</v>
      </c>
      <c r="C58" s="16" t="s">
        <v>689</v>
      </c>
      <c r="D58" s="26" t="s">
        <v>625</v>
      </c>
      <c r="E58" s="26" t="s">
        <v>633</v>
      </c>
      <c r="F58" s="26" t="s">
        <v>821</v>
      </c>
      <c r="G58" s="24"/>
      <c r="H58" s="26">
        <f t="shared" si="0"/>
        <v>49</v>
      </c>
      <c r="I58" s="19" t="str">
        <f>CheckGlossary($D58, Table1[Concerns])</f>
        <v>In Glossary
In Glossary
In Glossary
In Glossary
In Glossary
In Glossary</v>
      </c>
      <c r="J58" s="25"/>
    </row>
    <row r="59" spans="1:10" ht="75" x14ac:dyDescent="0.25">
      <c r="A59" s="16" t="s">
        <v>83</v>
      </c>
      <c r="B59" s="16" t="s">
        <v>84</v>
      </c>
      <c r="C59" s="16" t="s">
        <v>690</v>
      </c>
      <c r="D59" s="26" t="s">
        <v>626</v>
      </c>
      <c r="E59" s="26" t="s">
        <v>634</v>
      </c>
      <c r="F59" s="26" t="s">
        <v>822</v>
      </c>
      <c r="G59" s="24"/>
      <c r="H59" s="26">
        <f t="shared" si="0"/>
        <v>50</v>
      </c>
      <c r="I59" s="19" t="str">
        <f>CheckGlossary($D59, Table1[Concerns])</f>
        <v>In Glossary
In Glossary
In Glossary
In Glossary
In Glossary</v>
      </c>
      <c r="J59" s="25"/>
    </row>
    <row r="60" spans="1:10" ht="210" x14ac:dyDescent="0.25">
      <c r="A60" s="16" t="s">
        <v>85</v>
      </c>
      <c r="B60" s="16" t="s">
        <v>86</v>
      </c>
      <c r="C60" s="16" t="s">
        <v>691</v>
      </c>
      <c r="D60" s="26" t="s">
        <v>130</v>
      </c>
      <c r="E60" s="26" t="s">
        <v>610</v>
      </c>
      <c r="F60" s="26" t="s">
        <v>823</v>
      </c>
      <c r="G60" s="24"/>
      <c r="H60" s="26">
        <f t="shared" si="0"/>
        <v>51</v>
      </c>
      <c r="I60" s="19" t="str">
        <f>CheckGlossary($D60, Table1[Concerns])</f>
        <v>In Glossary
In Glossary
In Glossary
In Glossary
In Glossary</v>
      </c>
      <c r="J60" s="25"/>
    </row>
    <row r="61" spans="1:10" ht="60" x14ac:dyDescent="0.25">
      <c r="A61" s="16" t="s">
        <v>85</v>
      </c>
      <c r="B61" s="16" t="s">
        <v>709</v>
      </c>
      <c r="C61" s="16" t="s">
        <v>692</v>
      </c>
      <c r="D61" s="26" t="s">
        <v>627</v>
      </c>
      <c r="E61" s="26" t="s">
        <v>635</v>
      </c>
      <c r="F61" s="26" t="s">
        <v>824</v>
      </c>
      <c r="G61" s="24"/>
      <c r="H61" s="26">
        <f t="shared" si="0"/>
        <v>52</v>
      </c>
      <c r="I61" s="19" t="str">
        <f>CheckGlossary($D61, Table1[Concerns])</f>
        <v>In Glossary
In Glossary
In Glossary
In Glossary</v>
      </c>
      <c r="J61" s="25"/>
    </row>
    <row r="62" spans="1:10" ht="105" x14ac:dyDescent="0.25">
      <c r="A62" s="16" t="s">
        <v>87</v>
      </c>
      <c r="B62" s="16" t="s">
        <v>88</v>
      </c>
      <c r="C62" s="16" t="s">
        <v>693</v>
      </c>
      <c r="D62" s="26" t="s">
        <v>131</v>
      </c>
      <c r="E62" s="26" t="s">
        <v>611</v>
      </c>
      <c r="F62" s="26" t="s">
        <v>825</v>
      </c>
      <c r="G62" s="24"/>
      <c r="H62" s="26">
        <f t="shared" si="0"/>
        <v>53</v>
      </c>
      <c r="I62" s="19" t="str">
        <f>CheckGlossary($D62, Table1[Concerns])</f>
        <v>In Glossary
In Glossary</v>
      </c>
      <c r="J62" s="25"/>
    </row>
    <row r="63" spans="1:10" ht="195" x14ac:dyDescent="0.25">
      <c r="A63" s="16" t="s">
        <v>89</v>
      </c>
      <c r="B63" s="16" t="s">
        <v>90</v>
      </c>
      <c r="C63" s="16" t="s">
        <v>694</v>
      </c>
      <c r="D63" s="26" t="s">
        <v>132</v>
      </c>
      <c r="E63" s="26" t="s">
        <v>612</v>
      </c>
      <c r="F63" s="26" t="s">
        <v>826</v>
      </c>
      <c r="G63" s="24"/>
      <c r="H63" s="26">
        <f t="shared" si="0"/>
        <v>54</v>
      </c>
      <c r="I63" s="19" t="str">
        <f>CheckGlossary($D63, Table1[Concerns])</f>
        <v>In Glossary
In Glossary
In Glossary</v>
      </c>
      <c r="J63" s="25"/>
    </row>
    <row r="64" spans="1:10" ht="195" x14ac:dyDescent="0.25">
      <c r="A64" s="16" t="s">
        <v>89</v>
      </c>
      <c r="B64" s="16" t="s">
        <v>91</v>
      </c>
      <c r="C64" s="16" t="s">
        <v>695</v>
      </c>
      <c r="D64" s="26" t="s">
        <v>628</v>
      </c>
      <c r="E64" s="26" t="s">
        <v>636</v>
      </c>
      <c r="F64" s="26" t="s">
        <v>827</v>
      </c>
      <c r="G64" s="24"/>
      <c r="H64" s="26">
        <f t="shared" si="0"/>
        <v>55</v>
      </c>
      <c r="I64" s="19" t="str">
        <f>CheckGlossary($D64, Table1[Concerns])</f>
        <v>In Glossary
In Glossary
In Glossary
In Glossary</v>
      </c>
      <c r="J64" s="25"/>
    </row>
    <row r="65" spans="1:10" ht="105" x14ac:dyDescent="0.25">
      <c r="A65" s="16" t="s">
        <v>93</v>
      </c>
      <c r="B65" s="16" t="s">
        <v>92</v>
      </c>
      <c r="C65" s="16" t="s">
        <v>696</v>
      </c>
      <c r="D65" s="26" t="s">
        <v>629</v>
      </c>
      <c r="E65" s="26" t="s">
        <v>637</v>
      </c>
      <c r="F65" s="26" t="s">
        <v>828</v>
      </c>
      <c r="G65" s="24"/>
      <c r="H65" s="26">
        <f t="shared" si="0"/>
        <v>56</v>
      </c>
      <c r="I65" s="19" t="str">
        <f>CheckGlossary($D65, Table1[Concerns])</f>
        <v>In Glossary
In Glossary
In Glossary</v>
      </c>
      <c r="J65" s="25"/>
    </row>
    <row r="66" spans="1:10" ht="135" x14ac:dyDescent="0.25">
      <c r="A66" s="16" t="s">
        <v>94</v>
      </c>
      <c r="B66" s="16" t="s">
        <v>95</v>
      </c>
      <c r="C66" s="16" t="s">
        <v>697</v>
      </c>
      <c r="D66" s="26" t="s">
        <v>133</v>
      </c>
      <c r="E66" s="26" t="s">
        <v>613</v>
      </c>
      <c r="F66" s="26" t="s">
        <v>829</v>
      </c>
      <c r="G66" s="24"/>
      <c r="H66" s="26">
        <f t="shared" si="0"/>
        <v>57</v>
      </c>
      <c r="I66" s="19" t="str">
        <f>CheckGlossary($D66, Table1[Concerns])</f>
        <v>In Glossary
In Glossary
In Glossary</v>
      </c>
      <c r="J66" s="25"/>
    </row>
    <row r="67" spans="1:10" ht="165" x14ac:dyDescent="0.25">
      <c r="A67" s="16" t="s">
        <v>97</v>
      </c>
      <c r="B67" s="16" t="s">
        <v>96</v>
      </c>
      <c r="C67" s="16" t="s">
        <v>698</v>
      </c>
      <c r="D67" s="26" t="s">
        <v>134</v>
      </c>
      <c r="E67" s="26" t="s">
        <v>614</v>
      </c>
      <c r="F67" s="26" t="s">
        <v>830</v>
      </c>
      <c r="G67" s="24"/>
      <c r="H67" s="26">
        <f t="shared" si="0"/>
        <v>58</v>
      </c>
      <c r="I67" s="19" t="str">
        <f>CheckGlossary($D67, Table1[Concerns])</f>
        <v>In Glossary
In Glossary
In Glossary
In Glossary</v>
      </c>
      <c r="J67" s="25"/>
    </row>
    <row r="68" spans="1:10" ht="390" x14ac:dyDescent="0.25">
      <c r="A68" s="16" t="s">
        <v>99</v>
      </c>
      <c r="B68" s="16" t="s">
        <v>98</v>
      </c>
      <c r="C68" s="16" t="s">
        <v>699</v>
      </c>
      <c r="D68" s="26" t="s">
        <v>135</v>
      </c>
      <c r="E68" s="26" t="s">
        <v>615</v>
      </c>
      <c r="F68" s="26" t="s">
        <v>831</v>
      </c>
      <c r="G68" s="24"/>
      <c r="H68" s="26">
        <f t="shared" si="0"/>
        <v>59</v>
      </c>
      <c r="I68" s="19" t="str">
        <f>CheckGlossary($D68, Table1[Concerns])</f>
        <v>In Glossary
In Glossary
In Glossary</v>
      </c>
      <c r="J68" s="25"/>
    </row>
    <row r="69" spans="1:10" ht="345" x14ac:dyDescent="0.25">
      <c r="A69" s="16" t="s">
        <v>100</v>
      </c>
      <c r="B69" s="16" t="s">
        <v>101</v>
      </c>
      <c r="C69" s="16" t="s">
        <v>700</v>
      </c>
      <c r="D69" s="26" t="s">
        <v>630</v>
      </c>
      <c r="E69" s="26" t="s">
        <v>638</v>
      </c>
      <c r="F69" s="26" t="s">
        <v>832</v>
      </c>
      <c r="G69" s="24"/>
      <c r="H69" s="26">
        <f t="shared" si="0"/>
        <v>60</v>
      </c>
      <c r="I69" s="19" t="str">
        <f>CheckGlossary($D69, Table1[Concerns])</f>
        <v>In Glossary
In Glossary
In Glossary</v>
      </c>
      <c r="J69" s="25"/>
    </row>
    <row r="70" spans="1:10" ht="180" x14ac:dyDescent="0.25">
      <c r="A70" s="16" t="s">
        <v>100</v>
      </c>
      <c r="B70" s="16" t="s">
        <v>102</v>
      </c>
      <c r="C70" s="16" t="s">
        <v>701</v>
      </c>
      <c r="D70" s="26" t="s">
        <v>136</v>
      </c>
      <c r="E70" s="26" t="s">
        <v>616</v>
      </c>
      <c r="F70" s="26" t="s">
        <v>833</v>
      </c>
      <c r="G70" s="24"/>
      <c r="H70" s="26">
        <f t="shared" si="0"/>
        <v>61</v>
      </c>
      <c r="I70" s="19" t="str">
        <f>CheckGlossary($D70, Table1[Concerns])</f>
        <v>In Glossary
In Glossary
In Glossary</v>
      </c>
      <c r="J70" s="25"/>
    </row>
    <row r="71" spans="1:10" ht="105" x14ac:dyDescent="0.25">
      <c r="A71" s="16" t="s">
        <v>103</v>
      </c>
      <c r="B71" s="16" t="s">
        <v>104</v>
      </c>
      <c r="C71" s="16" t="s">
        <v>702</v>
      </c>
      <c r="D71" s="26" t="s">
        <v>137</v>
      </c>
      <c r="E71" s="26" t="s">
        <v>617</v>
      </c>
      <c r="F71" s="26" t="s">
        <v>834</v>
      </c>
      <c r="G71" s="24"/>
      <c r="H71" s="26">
        <f t="shared" si="0"/>
        <v>62</v>
      </c>
      <c r="I71" s="19" t="str">
        <f>CheckGlossary($D71, Table1[Concerns])</f>
        <v>In Glossary
In Glossary
In Glossary
In Glossary</v>
      </c>
      <c r="J71" s="25"/>
    </row>
    <row r="72" spans="1:10" ht="150" x14ac:dyDescent="0.25">
      <c r="A72" s="16" t="s">
        <v>105</v>
      </c>
      <c r="B72" s="16" t="s">
        <v>106</v>
      </c>
      <c r="C72" s="16" t="s">
        <v>703</v>
      </c>
      <c r="D72" s="26" t="s">
        <v>640</v>
      </c>
      <c r="E72" s="26" t="s">
        <v>641</v>
      </c>
      <c r="F72" s="26" t="s">
        <v>835</v>
      </c>
      <c r="G72" s="24"/>
      <c r="H72" s="26">
        <f t="shared" si="0"/>
        <v>63</v>
      </c>
      <c r="I72" s="19" t="str">
        <f>CheckGlossary($D72, Table1[Concerns])</f>
        <v>In Glossary
In Glossary
In Glossary
In Glossary
In Glossary
In Glossary
In Glossary</v>
      </c>
      <c r="J72" s="25"/>
    </row>
    <row r="73" spans="1:10" ht="375" x14ac:dyDescent="0.25">
      <c r="A73" s="16" t="s">
        <v>105</v>
      </c>
      <c r="B73" s="16" t="s">
        <v>107</v>
      </c>
      <c r="C73" s="16" t="s">
        <v>704</v>
      </c>
      <c r="D73" s="26" t="s">
        <v>108</v>
      </c>
      <c r="E73" s="26" t="s">
        <v>618</v>
      </c>
      <c r="F73" s="26" t="s">
        <v>836</v>
      </c>
      <c r="G73" s="24"/>
      <c r="H73" s="26">
        <f t="shared" si="0"/>
        <v>64</v>
      </c>
      <c r="I73" s="19" t="str">
        <f>CheckGlossary($D73, Table1[Concerns])</f>
        <v>In Glossary
In Glossary
In Glossary</v>
      </c>
      <c r="J73" s="25"/>
    </row>
    <row r="74" spans="1:10" ht="90" x14ac:dyDescent="0.25">
      <c r="A74" s="16" t="s">
        <v>109</v>
      </c>
      <c r="B74" s="16" t="s">
        <v>110</v>
      </c>
      <c r="C74" s="16" t="s">
        <v>705</v>
      </c>
      <c r="D74" s="26" t="s">
        <v>631</v>
      </c>
      <c r="E74" s="26" t="s">
        <v>639</v>
      </c>
      <c r="F74" s="26" t="s">
        <v>837</v>
      </c>
      <c r="G74" s="24"/>
      <c r="H74" s="26">
        <f t="shared" si="0"/>
        <v>65</v>
      </c>
      <c r="I74" s="19" t="str">
        <f>CheckGlossary($D74, Table1[Concerns])</f>
        <v>In Glossary
In Glossary
In Glossary</v>
      </c>
      <c r="J74" s="25"/>
    </row>
    <row r="75" spans="1:10" ht="270" x14ac:dyDescent="0.25">
      <c r="A75" s="16" t="s">
        <v>109</v>
      </c>
      <c r="B75" s="16" t="s">
        <v>111</v>
      </c>
      <c r="C75" s="16" t="s">
        <v>706</v>
      </c>
      <c r="D75" s="26" t="s">
        <v>112</v>
      </c>
      <c r="E75" s="26" t="s">
        <v>619</v>
      </c>
      <c r="F75" s="26" t="s">
        <v>838</v>
      </c>
      <c r="G75" s="24"/>
      <c r="H75" s="26">
        <f t="shared" si="0"/>
        <v>66</v>
      </c>
      <c r="I75" s="19" t="str">
        <f>CheckGlossary($D75, Table1[Concerns])</f>
        <v>In Glossary
In Glossary
In Glossary</v>
      </c>
      <c r="J75" s="25"/>
    </row>
    <row r="76" spans="1:10" x14ac:dyDescent="0.25">
      <c r="A76" s="1"/>
      <c r="B76" s="1"/>
      <c r="C76" s="1"/>
      <c r="D76" s="1"/>
      <c r="E76" s="1"/>
      <c r="F76" s="1"/>
      <c r="G76" s="6"/>
      <c r="H76" s="5" t="str">
        <f t="shared" ref="H76:H139" si="1">IF(ISBLANK(B76), "", H75+1)</f>
        <v/>
      </c>
    </row>
    <row r="77" spans="1:10" x14ac:dyDescent="0.25">
      <c r="A77" s="1"/>
      <c r="B77" s="1"/>
      <c r="C77" s="1"/>
      <c r="D77" s="1"/>
      <c r="E77" s="1"/>
      <c r="F77" s="1"/>
      <c r="G77" s="6"/>
      <c r="H77" s="5" t="str">
        <f t="shared" si="1"/>
        <v/>
      </c>
    </row>
    <row r="78" spans="1:10" x14ac:dyDescent="0.25">
      <c r="A78" s="1"/>
      <c r="B78" s="1"/>
      <c r="C78" s="1"/>
      <c r="D78" s="1"/>
      <c r="E78" s="1"/>
      <c r="F78" s="1"/>
      <c r="G78" s="6"/>
      <c r="H78" s="5" t="str">
        <f t="shared" si="1"/>
        <v/>
      </c>
    </row>
    <row r="79" spans="1:10" x14ac:dyDescent="0.25">
      <c r="A79" s="1"/>
      <c r="B79" s="1"/>
      <c r="C79" s="1"/>
      <c r="D79" s="1"/>
      <c r="E79" s="1"/>
      <c r="F79" s="1"/>
      <c r="G79" s="6"/>
      <c r="H79" s="5" t="str">
        <f t="shared" si="1"/>
        <v/>
      </c>
    </row>
    <row r="80" spans="1:10" x14ac:dyDescent="0.25">
      <c r="A80" s="1"/>
      <c r="B80" s="1"/>
      <c r="C80" s="1"/>
      <c r="D80" s="1"/>
      <c r="E80" s="1"/>
      <c r="F80" s="1"/>
      <c r="G80" s="6"/>
      <c r="H80" s="5" t="str">
        <f t="shared" si="1"/>
        <v/>
      </c>
    </row>
    <row r="81" spans="1:8" x14ac:dyDescent="0.25">
      <c r="A81" s="1"/>
      <c r="B81" s="1"/>
      <c r="C81" s="1"/>
      <c r="D81" s="1"/>
      <c r="E81" s="1"/>
      <c r="F81" s="1"/>
      <c r="G81" s="6"/>
      <c r="H81" s="5" t="str">
        <f t="shared" si="1"/>
        <v/>
      </c>
    </row>
    <row r="82" spans="1:8" x14ac:dyDescent="0.25">
      <c r="A82" s="1"/>
      <c r="B82" s="1"/>
      <c r="C82" s="1"/>
      <c r="D82" s="1"/>
      <c r="E82" s="1"/>
      <c r="F82" s="1"/>
      <c r="G82" s="6"/>
      <c r="H82" s="5" t="str">
        <f t="shared" si="1"/>
        <v/>
      </c>
    </row>
    <row r="83" spans="1:8" x14ac:dyDescent="0.25">
      <c r="A83" s="1"/>
      <c r="B83" s="1"/>
      <c r="C83" s="1"/>
      <c r="D83" s="1"/>
      <c r="E83" s="1"/>
      <c r="F83" s="1"/>
      <c r="G83" s="6"/>
      <c r="H83" s="5" t="str">
        <f t="shared" si="1"/>
        <v/>
      </c>
    </row>
    <row r="84" spans="1:8" x14ac:dyDescent="0.25">
      <c r="A84" s="1"/>
      <c r="B84" s="1"/>
      <c r="C84" s="1"/>
      <c r="D84" s="1"/>
      <c r="E84" s="1"/>
      <c r="F84" s="1"/>
      <c r="G84" s="6"/>
      <c r="H84" s="5" t="str">
        <f t="shared" si="1"/>
        <v/>
      </c>
    </row>
    <row r="85" spans="1:8" x14ac:dyDescent="0.25">
      <c r="A85" s="1"/>
      <c r="B85" s="1"/>
      <c r="C85" s="1"/>
      <c r="D85" s="1"/>
      <c r="E85" s="1"/>
      <c r="F85" s="1"/>
      <c r="G85" s="6"/>
      <c r="H85" s="5" t="str">
        <f t="shared" si="1"/>
        <v/>
      </c>
    </row>
    <row r="86" spans="1:8" x14ac:dyDescent="0.25">
      <c r="A86" s="1"/>
      <c r="B86" s="1"/>
      <c r="C86" s="1"/>
      <c r="D86" s="1"/>
      <c r="E86" s="1"/>
      <c r="F86" s="1"/>
      <c r="G86" s="6"/>
      <c r="H86" s="5" t="str">
        <f t="shared" si="1"/>
        <v/>
      </c>
    </row>
    <row r="87" spans="1:8" x14ac:dyDescent="0.25">
      <c r="A87" s="1"/>
      <c r="B87" s="1"/>
      <c r="C87" s="1"/>
      <c r="D87" s="1"/>
      <c r="E87" s="1"/>
      <c r="F87" s="1"/>
      <c r="G87" s="6"/>
      <c r="H87" s="5" t="str">
        <f t="shared" si="1"/>
        <v/>
      </c>
    </row>
    <row r="88" spans="1:8" x14ac:dyDescent="0.25">
      <c r="A88" s="1"/>
      <c r="B88" s="1"/>
      <c r="C88" s="1"/>
      <c r="D88" s="1"/>
      <c r="E88" s="1"/>
      <c r="F88" s="1"/>
      <c r="G88" s="6"/>
      <c r="H88" s="5" t="str">
        <f t="shared" si="1"/>
        <v/>
      </c>
    </row>
    <row r="89" spans="1:8" x14ac:dyDescent="0.25">
      <c r="A89" s="1"/>
      <c r="B89" s="1"/>
      <c r="C89" s="1"/>
      <c r="D89" s="1"/>
      <c r="E89" s="1"/>
      <c r="F89" s="1"/>
      <c r="G89" s="6"/>
      <c r="H89" s="5" t="str">
        <f t="shared" si="1"/>
        <v/>
      </c>
    </row>
    <row r="90" spans="1:8" x14ac:dyDescent="0.25">
      <c r="A90" s="1"/>
      <c r="B90" s="1"/>
      <c r="C90" s="1"/>
      <c r="D90" s="1"/>
      <c r="E90" s="1"/>
      <c r="F90" s="1"/>
      <c r="G90" s="6"/>
      <c r="H90" s="5" t="str">
        <f t="shared" si="1"/>
        <v/>
      </c>
    </row>
    <row r="91" spans="1:8" x14ac:dyDescent="0.25">
      <c r="A91" s="1"/>
      <c r="B91" s="1"/>
      <c r="C91" s="1"/>
      <c r="D91" s="1"/>
      <c r="E91" s="1"/>
      <c r="F91" s="1"/>
      <c r="G91" s="6"/>
      <c r="H91" s="5" t="str">
        <f t="shared" si="1"/>
        <v/>
      </c>
    </row>
    <row r="92" spans="1:8" x14ac:dyDescent="0.25">
      <c r="A92" s="1"/>
      <c r="B92" s="1"/>
      <c r="C92" s="1"/>
      <c r="D92" s="1"/>
      <c r="E92" s="1"/>
      <c r="F92" s="1"/>
      <c r="G92" s="6"/>
      <c r="H92" s="5" t="str">
        <f t="shared" si="1"/>
        <v/>
      </c>
    </row>
    <row r="93" spans="1:8" x14ac:dyDescent="0.25">
      <c r="A93" s="1"/>
      <c r="B93" s="1"/>
      <c r="C93" s="1"/>
      <c r="D93" s="1"/>
      <c r="E93" s="1"/>
      <c r="F93" s="1"/>
      <c r="G93" s="6"/>
      <c r="H93" s="5" t="str">
        <f t="shared" si="1"/>
        <v/>
      </c>
    </row>
    <row r="94" spans="1:8" x14ac:dyDescent="0.25">
      <c r="A94" s="1"/>
      <c r="B94" s="1"/>
      <c r="C94" s="1"/>
      <c r="D94" s="1"/>
      <c r="E94" s="1"/>
      <c r="F94" s="1"/>
      <c r="G94" s="6"/>
      <c r="H94" s="5" t="str">
        <f t="shared" si="1"/>
        <v/>
      </c>
    </row>
    <row r="95" spans="1:8" x14ac:dyDescent="0.25">
      <c r="A95" s="1"/>
      <c r="B95" s="1"/>
      <c r="C95" s="1"/>
      <c r="D95" s="1"/>
      <c r="E95" s="1"/>
      <c r="F95" s="1"/>
      <c r="G95" s="6"/>
      <c r="H95" s="5" t="str">
        <f t="shared" si="1"/>
        <v/>
      </c>
    </row>
    <row r="96" spans="1:8" x14ac:dyDescent="0.25">
      <c r="A96" s="1"/>
      <c r="B96" s="1"/>
      <c r="C96" s="1"/>
      <c r="D96" s="1"/>
      <c r="E96" s="1"/>
      <c r="F96" s="1"/>
      <c r="G96" s="6"/>
      <c r="H96" s="5" t="str">
        <f t="shared" si="1"/>
        <v/>
      </c>
    </row>
    <row r="97" spans="1:8" x14ac:dyDescent="0.25">
      <c r="A97" s="1"/>
      <c r="B97" s="1"/>
      <c r="C97" s="1"/>
      <c r="D97" s="1"/>
      <c r="E97" s="1"/>
      <c r="F97" s="1"/>
      <c r="G97" s="6"/>
      <c r="H97" s="5" t="str">
        <f t="shared" si="1"/>
        <v/>
      </c>
    </row>
    <row r="98" spans="1:8" x14ac:dyDescent="0.25">
      <c r="A98" s="1"/>
      <c r="B98" s="1"/>
      <c r="C98" s="1"/>
      <c r="D98" s="1"/>
      <c r="E98" s="1"/>
      <c r="F98" s="1"/>
      <c r="G98" s="6"/>
      <c r="H98" s="5" t="str">
        <f t="shared" si="1"/>
        <v/>
      </c>
    </row>
    <row r="99" spans="1:8" x14ac:dyDescent="0.25">
      <c r="A99" s="1"/>
      <c r="B99" s="1"/>
      <c r="C99" s="1"/>
      <c r="D99" s="1"/>
      <c r="E99" s="1"/>
      <c r="F99" s="1"/>
      <c r="G99" s="6"/>
      <c r="H99" s="5" t="str">
        <f t="shared" si="1"/>
        <v/>
      </c>
    </row>
    <row r="100" spans="1:8" x14ac:dyDescent="0.25">
      <c r="A100" s="1"/>
      <c r="B100" s="1"/>
      <c r="C100" s="1"/>
      <c r="D100" s="1"/>
      <c r="E100" s="1"/>
      <c r="F100" s="1"/>
      <c r="G100" s="6"/>
      <c r="H100" s="5" t="str">
        <f t="shared" si="1"/>
        <v/>
      </c>
    </row>
    <row r="101" spans="1:8" x14ac:dyDescent="0.25">
      <c r="A101" s="1"/>
      <c r="B101" s="1"/>
      <c r="C101" s="1"/>
      <c r="D101" s="1"/>
      <c r="E101" s="1"/>
      <c r="F101" s="1"/>
      <c r="G101" s="6"/>
      <c r="H101" s="5" t="str">
        <f t="shared" si="1"/>
        <v/>
      </c>
    </row>
    <row r="102" spans="1:8" x14ac:dyDescent="0.25">
      <c r="A102" s="1"/>
      <c r="B102" s="1"/>
      <c r="C102" s="1"/>
      <c r="D102" s="1"/>
      <c r="E102" s="1"/>
      <c r="F102" s="1"/>
      <c r="G102" s="6"/>
      <c r="H102" s="5" t="str">
        <f t="shared" si="1"/>
        <v/>
      </c>
    </row>
    <row r="103" spans="1:8" x14ac:dyDescent="0.25">
      <c r="A103" s="1"/>
      <c r="B103" s="1"/>
      <c r="C103" s="1"/>
      <c r="D103" s="1"/>
      <c r="E103" s="1"/>
      <c r="F103" s="1"/>
      <c r="G103" s="6"/>
      <c r="H103" s="5" t="str">
        <f t="shared" si="1"/>
        <v/>
      </c>
    </row>
    <row r="104" spans="1:8" x14ac:dyDescent="0.25">
      <c r="A104" s="1"/>
      <c r="B104" s="1"/>
      <c r="C104" s="1"/>
      <c r="D104" s="1"/>
      <c r="E104" s="1"/>
      <c r="F104" s="1"/>
      <c r="G104" s="6"/>
      <c r="H104" s="5" t="str">
        <f t="shared" si="1"/>
        <v/>
      </c>
    </row>
    <row r="105" spans="1:8" x14ac:dyDescent="0.25">
      <c r="A105" s="1"/>
      <c r="B105" s="1"/>
      <c r="C105" s="1"/>
      <c r="D105" s="1"/>
      <c r="E105" s="1"/>
      <c r="F105" s="1"/>
      <c r="G105" s="6"/>
      <c r="H105" s="5" t="str">
        <f t="shared" si="1"/>
        <v/>
      </c>
    </row>
    <row r="106" spans="1:8" x14ac:dyDescent="0.25">
      <c r="A106" s="1"/>
      <c r="B106" s="1"/>
      <c r="C106" s="1"/>
      <c r="D106" s="1"/>
      <c r="E106" s="1"/>
      <c r="F106" s="1"/>
      <c r="G106" s="6"/>
      <c r="H106" s="5" t="str">
        <f t="shared" si="1"/>
        <v/>
      </c>
    </row>
    <row r="107" spans="1:8" x14ac:dyDescent="0.25">
      <c r="A107" s="1"/>
      <c r="B107" s="1"/>
      <c r="C107" s="1"/>
      <c r="D107" s="1"/>
      <c r="E107" s="1"/>
      <c r="F107" s="1"/>
      <c r="G107" s="6"/>
      <c r="H107" s="5" t="str">
        <f t="shared" si="1"/>
        <v/>
      </c>
    </row>
    <row r="108" spans="1:8" x14ac:dyDescent="0.25">
      <c r="A108" s="1"/>
      <c r="B108" s="1"/>
      <c r="C108" s="1"/>
      <c r="D108" s="1"/>
      <c r="E108" s="1"/>
      <c r="F108" s="1"/>
      <c r="G108" s="6"/>
      <c r="H108" s="5" t="str">
        <f t="shared" si="1"/>
        <v/>
      </c>
    </row>
    <row r="109" spans="1:8" x14ac:dyDescent="0.25">
      <c r="A109" s="1"/>
      <c r="B109" s="1"/>
      <c r="C109" s="1"/>
      <c r="D109" s="1"/>
      <c r="E109" s="1"/>
      <c r="F109" s="1"/>
      <c r="G109" s="6"/>
      <c r="H109" s="5" t="str">
        <f t="shared" si="1"/>
        <v/>
      </c>
    </row>
    <row r="110" spans="1:8" x14ac:dyDescent="0.25">
      <c r="A110" s="1"/>
      <c r="B110" s="1"/>
      <c r="C110" s="1"/>
      <c r="D110" s="1"/>
      <c r="E110" s="1"/>
      <c r="F110" s="1"/>
      <c r="G110" s="6"/>
      <c r="H110" s="5" t="str">
        <f t="shared" si="1"/>
        <v/>
      </c>
    </row>
    <row r="111" spans="1:8" x14ac:dyDescent="0.25">
      <c r="A111" s="1"/>
      <c r="B111" s="1"/>
      <c r="C111" s="1"/>
      <c r="D111" s="1"/>
      <c r="E111" s="1"/>
      <c r="F111" s="1"/>
      <c r="G111" s="6"/>
      <c r="H111" s="5" t="str">
        <f t="shared" si="1"/>
        <v/>
      </c>
    </row>
    <row r="112" spans="1:8" x14ac:dyDescent="0.25">
      <c r="A112" s="1"/>
      <c r="B112" s="1"/>
      <c r="C112" s="1"/>
      <c r="D112" s="1"/>
      <c r="E112" s="1"/>
      <c r="F112" s="1"/>
      <c r="G112" s="6"/>
      <c r="H112" s="5" t="str">
        <f t="shared" si="1"/>
        <v/>
      </c>
    </row>
    <row r="113" spans="1:8" x14ac:dyDescent="0.25">
      <c r="A113" s="1"/>
      <c r="B113" s="1"/>
      <c r="C113" s="1"/>
      <c r="D113" s="1"/>
      <c r="E113" s="1"/>
      <c r="F113" s="1"/>
      <c r="G113" s="6"/>
      <c r="H113" s="5" t="str">
        <f t="shared" si="1"/>
        <v/>
      </c>
    </row>
    <row r="114" spans="1:8" x14ac:dyDescent="0.25">
      <c r="A114" s="1"/>
      <c r="B114" s="1"/>
      <c r="C114" s="1"/>
      <c r="D114" s="1"/>
      <c r="E114" s="1"/>
      <c r="F114" s="1"/>
      <c r="G114" s="6"/>
      <c r="H114" s="5" t="str">
        <f t="shared" si="1"/>
        <v/>
      </c>
    </row>
    <row r="115" spans="1:8" x14ac:dyDescent="0.25">
      <c r="A115" s="1"/>
      <c r="B115" s="1"/>
      <c r="C115" s="1"/>
      <c r="D115" s="1"/>
      <c r="E115" s="1"/>
      <c r="F115" s="1"/>
      <c r="G115" s="6"/>
      <c r="H115" s="5" t="str">
        <f t="shared" si="1"/>
        <v/>
      </c>
    </row>
    <row r="116" spans="1:8" x14ac:dyDescent="0.25">
      <c r="A116" s="1"/>
      <c r="B116" s="1"/>
      <c r="C116" s="1"/>
      <c r="D116" s="1"/>
      <c r="E116" s="1"/>
      <c r="F116" s="1"/>
      <c r="G116" s="6"/>
      <c r="H116" s="5" t="str">
        <f t="shared" si="1"/>
        <v/>
      </c>
    </row>
    <row r="117" spans="1:8" x14ac:dyDescent="0.25">
      <c r="A117" s="1"/>
      <c r="B117" s="1"/>
      <c r="C117" s="1"/>
      <c r="D117" s="1"/>
      <c r="E117" s="1"/>
      <c r="F117" s="1"/>
      <c r="G117" s="6"/>
      <c r="H117" s="5" t="str">
        <f t="shared" si="1"/>
        <v/>
      </c>
    </row>
    <row r="118" spans="1:8" x14ac:dyDescent="0.25">
      <c r="A118" s="1"/>
      <c r="B118" s="1"/>
      <c r="C118" s="1"/>
      <c r="D118" s="1"/>
      <c r="E118" s="1"/>
      <c r="F118" s="1"/>
      <c r="G118" s="6"/>
      <c r="H118" s="5" t="str">
        <f t="shared" si="1"/>
        <v/>
      </c>
    </row>
    <row r="119" spans="1:8" x14ac:dyDescent="0.25">
      <c r="A119" s="1"/>
      <c r="B119" s="1"/>
      <c r="C119" s="1"/>
      <c r="D119" s="1"/>
      <c r="E119" s="1"/>
      <c r="F119" s="1"/>
      <c r="G119" s="6"/>
      <c r="H119" s="5" t="str">
        <f t="shared" si="1"/>
        <v/>
      </c>
    </row>
    <row r="120" spans="1:8" x14ac:dyDescent="0.25">
      <c r="A120" s="1"/>
      <c r="B120" s="1"/>
      <c r="C120" s="1"/>
      <c r="D120" s="1"/>
      <c r="E120" s="1"/>
      <c r="F120" s="1"/>
      <c r="G120" s="6"/>
      <c r="H120" s="5" t="str">
        <f t="shared" si="1"/>
        <v/>
      </c>
    </row>
    <row r="121" spans="1:8" x14ac:dyDescent="0.25">
      <c r="A121" s="1"/>
      <c r="B121" s="1"/>
      <c r="C121" s="1"/>
      <c r="D121" s="1"/>
      <c r="E121" s="1"/>
      <c r="F121" s="1"/>
      <c r="G121" s="6"/>
      <c r="H121" s="5" t="str">
        <f t="shared" si="1"/>
        <v/>
      </c>
    </row>
    <row r="122" spans="1:8" x14ac:dyDescent="0.25">
      <c r="A122" s="1"/>
      <c r="B122" s="1"/>
      <c r="C122" s="1"/>
      <c r="D122" s="1"/>
      <c r="E122" s="1"/>
      <c r="F122" s="1"/>
      <c r="G122" s="6"/>
      <c r="H122" s="5" t="str">
        <f t="shared" si="1"/>
        <v/>
      </c>
    </row>
    <row r="123" spans="1:8" x14ac:dyDescent="0.25">
      <c r="A123" s="1"/>
      <c r="B123" s="1"/>
      <c r="C123" s="1"/>
      <c r="D123" s="1"/>
      <c r="E123" s="1"/>
      <c r="F123" s="1"/>
      <c r="G123" s="6"/>
      <c r="H123" s="5" t="str">
        <f t="shared" si="1"/>
        <v/>
      </c>
    </row>
    <row r="124" spans="1:8" x14ac:dyDescent="0.25">
      <c r="A124" s="1"/>
      <c r="B124" s="1"/>
      <c r="C124" s="1"/>
      <c r="D124" s="1"/>
      <c r="E124" s="1"/>
      <c r="F124" s="1"/>
      <c r="G124" s="6"/>
      <c r="H124" s="5" t="str">
        <f t="shared" si="1"/>
        <v/>
      </c>
    </row>
    <row r="125" spans="1:8" x14ac:dyDescent="0.25">
      <c r="A125" s="1"/>
      <c r="B125" s="1"/>
      <c r="C125" s="1"/>
      <c r="D125" s="1"/>
      <c r="E125" s="1"/>
      <c r="F125" s="1"/>
      <c r="G125" s="6"/>
      <c r="H125" s="5" t="str">
        <f t="shared" si="1"/>
        <v/>
      </c>
    </row>
    <row r="126" spans="1:8" x14ac:dyDescent="0.25">
      <c r="A126" s="1"/>
      <c r="B126" s="1"/>
      <c r="C126" s="1"/>
      <c r="D126" s="1"/>
      <c r="E126" s="1"/>
      <c r="F126" s="1"/>
      <c r="G126" s="6"/>
      <c r="H126" s="5" t="str">
        <f t="shared" si="1"/>
        <v/>
      </c>
    </row>
    <row r="127" spans="1:8" x14ac:dyDescent="0.25">
      <c r="A127" s="1"/>
      <c r="B127" s="1"/>
      <c r="C127" s="1"/>
      <c r="D127" s="1"/>
      <c r="E127" s="1"/>
      <c r="F127" s="1"/>
      <c r="G127" s="6"/>
      <c r="H127" s="5" t="str">
        <f t="shared" si="1"/>
        <v/>
      </c>
    </row>
    <row r="128" spans="1:8" x14ac:dyDescent="0.25">
      <c r="A128" s="1"/>
      <c r="B128" s="1"/>
      <c r="C128" s="1"/>
      <c r="D128" s="1"/>
      <c r="E128" s="1"/>
      <c r="F128" s="1"/>
      <c r="G128" s="6"/>
      <c r="H128" s="5" t="str">
        <f t="shared" si="1"/>
        <v/>
      </c>
    </row>
    <row r="129" spans="1:8" x14ac:dyDescent="0.25">
      <c r="A129" s="1"/>
      <c r="B129" s="1"/>
      <c r="C129" s="1"/>
      <c r="D129" s="1"/>
      <c r="E129" s="1"/>
      <c r="F129" s="1"/>
      <c r="G129" s="6"/>
      <c r="H129" s="5" t="str">
        <f t="shared" si="1"/>
        <v/>
      </c>
    </row>
    <row r="130" spans="1:8" x14ac:dyDescent="0.25">
      <c r="A130" s="1"/>
      <c r="B130" s="1"/>
      <c r="C130" s="1"/>
      <c r="D130" s="1"/>
      <c r="E130" s="1"/>
      <c r="F130" s="1"/>
      <c r="G130" s="6"/>
      <c r="H130" s="5" t="str">
        <f t="shared" si="1"/>
        <v/>
      </c>
    </row>
    <row r="131" spans="1:8" x14ac:dyDescent="0.25">
      <c r="A131" s="1"/>
      <c r="B131" s="1"/>
      <c r="C131" s="1"/>
      <c r="D131" s="1"/>
      <c r="E131" s="1"/>
      <c r="F131" s="1"/>
      <c r="G131" s="6"/>
      <c r="H131" s="5" t="str">
        <f t="shared" si="1"/>
        <v/>
      </c>
    </row>
    <row r="132" spans="1:8" x14ac:dyDescent="0.25">
      <c r="A132" s="1"/>
      <c r="B132" s="1"/>
      <c r="C132" s="1"/>
      <c r="D132" s="1"/>
      <c r="E132" s="1"/>
      <c r="F132" s="1"/>
      <c r="G132" s="6"/>
      <c r="H132" s="5" t="str">
        <f t="shared" si="1"/>
        <v/>
      </c>
    </row>
    <row r="133" spans="1:8" x14ac:dyDescent="0.25">
      <c r="A133" s="1"/>
      <c r="B133" s="1"/>
      <c r="C133" s="1"/>
      <c r="D133" s="1"/>
      <c r="E133" s="1"/>
      <c r="F133" s="1"/>
      <c r="G133" s="6"/>
      <c r="H133" s="5" t="str">
        <f t="shared" si="1"/>
        <v/>
      </c>
    </row>
    <row r="134" spans="1:8" x14ac:dyDescent="0.25">
      <c r="A134" s="1"/>
      <c r="B134" s="1"/>
      <c r="C134" s="1"/>
      <c r="D134" s="1"/>
      <c r="E134" s="1"/>
      <c r="F134" s="1"/>
      <c r="G134" s="6"/>
      <c r="H134" s="5" t="str">
        <f t="shared" si="1"/>
        <v/>
      </c>
    </row>
    <row r="135" spans="1:8" x14ac:dyDescent="0.25">
      <c r="A135" s="1"/>
      <c r="B135" s="1"/>
      <c r="C135" s="1"/>
      <c r="D135" s="1"/>
      <c r="E135" s="1"/>
      <c r="F135" s="1"/>
      <c r="G135" s="6"/>
      <c r="H135" s="5" t="str">
        <f t="shared" si="1"/>
        <v/>
      </c>
    </row>
    <row r="136" spans="1:8" x14ac:dyDescent="0.25">
      <c r="A136" s="1"/>
      <c r="B136" s="1"/>
      <c r="C136" s="1"/>
      <c r="D136" s="1"/>
      <c r="E136" s="1"/>
      <c r="F136" s="1"/>
      <c r="G136" s="6"/>
      <c r="H136" s="5" t="str">
        <f t="shared" si="1"/>
        <v/>
      </c>
    </row>
    <row r="137" spans="1:8" x14ac:dyDescent="0.25">
      <c r="A137" s="1"/>
      <c r="B137" s="1"/>
      <c r="C137" s="1"/>
      <c r="D137" s="1"/>
      <c r="E137" s="1"/>
      <c r="F137" s="1"/>
      <c r="G137" s="6"/>
      <c r="H137" s="5" t="str">
        <f t="shared" si="1"/>
        <v/>
      </c>
    </row>
    <row r="138" spans="1:8" x14ac:dyDescent="0.25">
      <c r="A138" s="1"/>
      <c r="B138" s="1"/>
      <c r="C138" s="1"/>
      <c r="D138" s="1"/>
      <c r="E138" s="1"/>
      <c r="F138" s="1"/>
      <c r="G138" s="6"/>
      <c r="H138" s="5" t="str">
        <f t="shared" si="1"/>
        <v/>
      </c>
    </row>
    <row r="139" spans="1:8" x14ac:dyDescent="0.25">
      <c r="A139" s="1"/>
      <c r="B139" s="1"/>
      <c r="C139" s="1"/>
      <c r="D139" s="1"/>
      <c r="E139" s="1"/>
      <c r="F139" s="1"/>
      <c r="G139" s="6"/>
      <c r="H139" s="5" t="str">
        <f t="shared" si="1"/>
        <v/>
      </c>
    </row>
    <row r="140" spans="1:8" x14ac:dyDescent="0.25">
      <c r="A140" s="1"/>
      <c r="B140" s="1"/>
      <c r="C140" s="1"/>
      <c r="D140" s="1"/>
      <c r="E140" s="1"/>
      <c r="F140" s="1"/>
      <c r="G140" s="6"/>
      <c r="H140" s="5" t="str">
        <f t="shared" ref="H140:H161" si="2">IF(ISBLANK(B140), "", H139+1)</f>
        <v/>
      </c>
    </row>
    <row r="141" spans="1:8" x14ac:dyDescent="0.25">
      <c r="A141" s="1"/>
      <c r="B141" s="1"/>
      <c r="C141" s="1"/>
      <c r="D141" s="1"/>
      <c r="E141" s="1"/>
      <c r="F141" s="1"/>
      <c r="G141" s="6"/>
      <c r="H141" s="5" t="str">
        <f t="shared" si="2"/>
        <v/>
      </c>
    </row>
    <row r="142" spans="1:8" x14ac:dyDescent="0.25">
      <c r="A142" s="1"/>
      <c r="B142" s="1"/>
      <c r="C142" s="1"/>
      <c r="D142" s="1"/>
      <c r="E142" s="1"/>
      <c r="F142" s="1"/>
      <c r="G142" s="6"/>
      <c r="H142" s="5" t="str">
        <f t="shared" si="2"/>
        <v/>
      </c>
    </row>
    <row r="143" spans="1:8" x14ac:dyDescent="0.25">
      <c r="A143" s="1"/>
      <c r="B143" s="1"/>
      <c r="C143" s="1"/>
      <c r="D143" s="1"/>
      <c r="E143" s="1"/>
      <c r="F143" s="1"/>
      <c r="G143" s="6"/>
      <c r="H143" s="5" t="str">
        <f t="shared" si="2"/>
        <v/>
      </c>
    </row>
    <row r="144" spans="1:8" x14ac:dyDescent="0.25">
      <c r="A144" s="1"/>
      <c r="B144" s="1"/>
      <c r="C144" s="1"/>
      <c r="D144" s="1"/>
      <c r="E144" s="1"/>
      <c r="F144" s="1"/>
      <c r="G144" s="6"/>
      <c r="H144" s="5" t="str">
        <f t="shared" si="2"/>
        <v/>
      </c>
    </row>
    <row r="145" spans="1:8" x14ac:dyDescent="0.25">
      <c r="A145" s="1"/>
      <c r="B145" s="1"/>
      <c r="C145" s="1"/>
      <c r="D145" s="1"/>
      <c r="E145" s="1"/>
      <c r="F145" s="1"/>
      <c r="G145" s="6"/>
      <c r="H145" s="5" t="str">
        <f t="shared" si="2"/>
        <v/>
      </c>
    </row>
    <row r="146" spans="1:8" x14ac:dyDescent="0.25">
      <c r="A146" s="1"/>
      <c r="B146" s="1"/>
      <c r="C146" s="1"/>
      <c r="D146" s="1"/>
      <c r="E146" s="1"/>
      <c r="F146" s="1"/>
      <c r="G146" s="6"/>
      <c r="H146" s="5" t="str">
        <f t="shared" si="2"/>
        <v/>
      </c>
    </row>
    <row r="147" spans="1:8" x14ac:dyDescent="0.25">
      <c r="A147" s="1"/>
      <c r="B147" s="1"/>
      <c r="C147" s="1"/>
      <c r="D147" s="1"/>
      <c r="E147" s="1"/>
      <c r="F147" s="1"/>
      <c r="G147" s="6"/>
      <c r="H147" s="5" t="str">
        <f t="shared" si="2"/>
        <v/>
      </c>
    </row>
    <row r="148" spans="1:8" x14ac:dyDescent="0.25">
      <c r="A148" s="1"/>
      <c r="B148" s="1"/>
      <c r="C148" s="1"/>
      <c r="D148" s="1"/>
      <c r="E148" s="1"/>
      <c r="F148" s="1"/>
      <c r="G148" s="6"/>
      <c r="H148" s="5" t="str">
        <f t="shared" si="2"/>
        <v/>
      </c>
    </row>
    <row r="149" spans="1:8" x14ac:dyDescent="0.25">
      <c r="A149" s="1"/>
      <c r="B149" s="1"/>
      <c r="C149" s="1"/>
      <c r="D149" s="1"/>
      <c r="E149" s="1"/>
      <c r="F149" s="1"/>
      <c r="G149" s="6"/>
      <c r="H149" s="5" t="str">
        <f t="shared" si="2"/>
        <v/>
      </c>
    </row>
    <row r="150" spans="1:8" x14ac:dyDescent="0.25">
      <c r="A150" s="1"/>
      <c r="B150" s="1"/>
      <c r="C150" s="1"/>
      <c r="D150" s="1"/>
      <c r="E150" s="1"/>
      <c r="F150" s="1"/>
      <c r="G150" s="6"/>
      <c r="H150" s="5" t="str">
        <f t="shared" si="2"/>
        <v/>
      </c>
    </row>
    <row r="151" spans="1:8" x14ac:dyDescent="0.25">
      <c r="A151" s="1"/>
      <c r="B151" s="1"/>
      <c r="C151" s="1"/>
      <c r="D151" s="1"/>
      <c r="E151" s="1"/>
      <c r="F151" s="1"/>
      <c r="G151" s="6"/>
      <c r="H151" s="5" t="str">
        <f t="shared" si="2"/>
        <v/>
      </c>
    </row>
    <row r="152" spans="1:8" x14ac:dyDescent="0.25">
      <c r="A152" s="1"/>
      <c r="B152" s="1"/>
      <c r="C152" s="1"/>
      <c r="D152" s="1"/>
      <c r="E152" s="1"/>
      <c r="F152" s="1"/>
      <c r="G152" s="6"/>
      <c r="H152" s="5" t="str">
        <f t="shared" si="2"/>
        <v/>
      </c>
    </row>
    <row r="153" spans="1:8" x14ac:dyDescent="0.25">
      <c r="A153" s="1"/>
      <c r="B153" s="1"/>
      <c r="C153" s="1"/>
      <c r="D153" s="1"/>
      <c r="E153" s="1"/>
      <c r="F153" s="1"/>
      <c r="G153" s="6"/>
      <c r="H153" s="5" t="str">
        <f t="shared" si="2"/>
        <v/>
      </c>
    </row>
    <row r="154" spans="1:8" x14ac:dyDescent="0.25">
      <c r="A154" s="1"/>
      <c r="B154" s="1"/>
      <c r="C154" s="1"/>
      <c r="D154" s="1"/>
      <c r="E154" s="1"/>
      <c r="F154" s="1"/>
      <c r="G154" s="6"/>
      <c r="H154" s="5" t="str">
        <f t="shared" si="2"/>
        <v/>
      </c>
    </row>
    <row r="155" spans="1:8" x14ac:dyDescent="0.25">
      <c r="A155" s="1"/>
      <c r="B155" s="1"/>
      <c r="C155" s="1"/>
      <c r="D155" s="1"/>
      <c r="E155" s="1"/>
      <c r="F155" s="1"/>
      <c r="G155" s="6"/>
      <c r="H155" s="5" t="str">
        <f t="shared" si="2"/>
        <v/>
      </c>
    </row>
    <row r="156" spans="1:8" x14ac:dyDescent="0.25">
      <c r="A156" s="1"/>
      <c r="B156" s="1"/>
      <c r="C156" s="1"/>
      <c r="D156" s="1"/>
      <c r="E156" s="1"/>
      <c r="F156" s="1"/>
      <c r="G156" s="6"/>
      <c r="H156" s="5" t="str">
        <f t="shared" si="2"/>
        <v/>
      </c>
    </row>
    <row r="157" spans="1:8" x14ac:dyDescent="0.25">
      <c r="A157" s="1"/>
      <c r="B157" s="1"/>
      <c r="C157" s="1"/>
      <c r="D157" s="1"/>
      <c r="E157" s="1"/>
      <c r="F157" s="1"/>
      <c r="G157" s="6"/>
      <c r="H157" s="5" t="str">
        <f t="shared" si="2"/>
        <v/>
      </c>
    </row>
    <row r="158" spans="1:8" x14ac:dyDescent="0.25">
      <c r="A158" s="1"/>
      <c r="B158" s="1"/>
      <c r="C158" s="1"/>
      <c r="D158" s="1"/>
      <c r="E158" s="1"/>
      <c r="F158" s="1"/>
      <c r="G158" s="6"/>
      <c r="H158" s="5" t="str">
        <f t="shared" si="2"/>
        <v/>
      </c>
    </row>
    <row r="159" spans="1:8" x14ac:dyDescent="0.25">
      <c r="A159" s="1"/>
      <c r="B159" s="1"/>
      <c r="C159" s="1"/>
      <c r="D159" s="1"/>
      <c r="E159" s="1"/>
      <c r="F159" s="1"/>
      <c r="G159" s="6"/>
      <c r="H159" s="5" t="str">
        <f t="shared" si="2"/>
        <v/>
      </c>
    </row>
    <row r="160" spans="1:8" x14ac:dyDescent="0.25">
      <c r="A160" s="1"/>
      <c r="B160" s="1"/>
      <c r="C160" s="1"/>
      <c r="D160" s="1"/>
      <c r="E160" s="1"/>
      <c r="F160" s="1"/>
      <c r="G160" s="6"/>
      <c r="H160" s="5" t="str">
        <f t="shared" si="2"/>
        <v/>
      </c>
    </row>
    <row r="161" spans="1:8" x14ac:dyDescent="0.25">
      <c r="A161" s="1"/>
      <c r="B161" s="1"/>
      <c r="C161" s="1"/>
      <c r="D161" s="1"/>
      <c r="E161" s="1"/>
      <c r="F161" s="1"/>
      <c r="G161" s="6"/>
      <c r="H161" s="5" t="str">
        <f t="shared" si="2"/>
        <v/>
      </c>
    </row>
    <row r="162" spans="1:8" x14ac:dyDescent="0.25">
      <c r="A162" s="1"/>
      <c r="B162" s="1"/>
      <c r="C162" s="1"/>
      <c r="D162" s="1"/>
      <c r="E162" s="1"/>
      <c r="F162" s="1"/>
      <c r="G162" s="6"/>
    </row>
    <row r="163" spans="1:8" x14ac:dyDescent="0.25">
      <c r="A163" s="1"/>
      <c r="B163" s="1"/>
      <c r="C163" s="1"/>
      <c r="D163" s="1"/>
      <c r="E163" s="1"/>
      <c r="F163" s="1"/>
      <c r="G163" s="6"/>
    </row>
    <row r="164" spans="1:8" x14ac:dyDescent="0.25">
      <c r="A164" s="1"/>
      <c r="B164" s="1"/>
      <c r="C164" s="1"/>
      <c r="D164" s="1"/>
      <c r="E164" s="1"/>
      <c r="F164" s="1"/>
      <c r="G164" s="6"/>
    </row>
    <row r="165" spans="1:8" x14ac:dyDescent="0.25">
      <c r="A165" s="1"/>
      <c r="B165" s="1"/>
      <c r="C165" s="1"/>
      <c r="D165" s="1"/>
      <c r="E165" s="1"/>
      <c r="F165" s="1"/>
      <c r="G165" s="6"/>
    </row>
    <row r="166" spans="1:8" x14ac:dyDescent="0.25">
      <c r="A166" s="1"/>
      <c r="B166" s="1"/>
      <c r="C166" s="1"/>
      <c r="D166" s="1"/>
      <c r="E166" s="1"/>
      <c r="F166" s="1"/>
      <c r="G166" s="6"/>
    </row>
    <row r="167" spans="1:8" x14ac:dyDescent="0.25">
      <c r="A167" s="1"/>
      <c r="B167" s="1"/>
      <c r="C167" s="1"/>
      <c r="D167" s="1"/>
      <c r="E167" s="1"/>
      <c r="F167" s="1"/>
      <c r="G167" s="6"/>
    </row>
    <row r="168" spans="1:8" x14ac:dyDescent="0.25">
      <c r="A168" s="1"/>
      <c r="B168" s="1"/>
      <c r="C168" s="1"/>
      <c r="D168" s="1"/>
      <c r="E168" s="1"/>
      <c r="F168" s="1"/>
      <c r="G168" s="6"/>
    </row>
    <row r="169" spans="1:8" x14ac:dyDescent="0.25">
      <c r="A169" s="1"/>
      <c r="B169" s="1"/>
      <c r="C169" s="1"/>
      <c r="D169" s="1"/>
      <c r="E169" s="1"/>
      <c r="F169" s="1"/>
      <c r="G169" s="6"/>
    </row>
    <row r="170" spans="1:8" x14ac:dyDescent="0.25">
      <c r="A170" s="1"/>
      <c r="B170" s="1"/>
      <c r="C170" s="1"/>
      <c r="D170" s="1"/>
      <c r="E170" s="1"/>
      <c r="F170" s="1"/>
      <c r="G170" s="6"/>
    </row>
    <row r="171" spans="1:8" x14ac:dyDescent="0.25">
      <c r="A171" s="1"/>
      <c r="B171" s="1"/>
      <c r="C171" s="1"/>
      <c r="D171" s="1"/>
      <c r="E171" s="1"/>
      <c r="F171" s="1"/>
      <c r="G171" s="6"/>
    </row>
    <row r="172" spans="1:8" x14ac:dyDescent="0.25">
      <c r="A172" s="1"/>
      <c r="B172" s="1"/>
      <c r="C172" s="1"/>
      <c r="D172" s="1"/>
      <c r="E172" s="1"/>
      <c r="F172" s="1"/>
      <c r="G172" s="6"/>
    </row>
    <row r="173" spans="1:8" x14ac:dyDescent="0.25">
      <c r="A173" s="1"/>
      <c r="B173" s="1"/>
      <c r="C173" s="1"/>
      <c r="D173" s="1"/>
      <c r="E173" s="1"/>
      <c r="F173" s="1"/>
      <c r="G173" s="6"/>
    </row>
    <row r="174" spans="1:8" x14ac:dyDescent="0.25">
      <c r="A174" s="1"/>
      <c r="B174" s="1"/>
      <c r="C174" s="1"/>
      <c r="D174" s="1"/>
      <c r="E174" s="1"/>
      <c r="F174" s="1"/>
      <c r="G174" s="6"/>
    </row>
    <row r="175" spans="1:8" x14ac:dyDescent="0.25">
      <c r="A175" s="1"/>
      <c r="B175" s="1"/>
      <c r="C175" s="1"/>
      <c r="D175" s="1"/>
      <c r="E175" s="1"/>
      <c r="F175" s="1"/>
    </row>
    <row r="176" spans="1:8" x14ac:dyDescent="0.25">
      <c r="A176" s="1"/>
      <c r="B176" s="1"/>
      <c r="C176" s="1"/>
      <c r="D176" s="1"/>
      <c r="E176" s="1"/>
      <c r="F176" s="1"/>
    </row>
    <row r="177" spans="1:6" x14ac:dyDescent="0.25">
      <c r="A177" s="1"/>
      <c r="B177" s="1"/>
      <c r="C177" s="1"/>
      <c r="D177" s="1"/>
      <c r="E177" s="1"/>
      <c r="F177" s="1"/>
    </row>
    <row r="178" spans="1:6" x14ac:dyDescent="0.25">
      <c r="A178" s="1"/>
      <c r="B178" s="1"/>
      <c r="C178" s="1"/>
      <c r="D178" s="1"/>
      <c r="E178" s="1"/>
      <c r="F178" s="1"/>
    </row>
    <row r="179" spans="1:6" x14ac:dyDescent="0.25">
      <c r="A179" s="1"/>
      <c r="B179" s="1"/>
      <c r="C179" s="1"/>
      <c r="D179" s="1"/>
      <c r="E179" s="1"/>
      <c r="F179" s="1"/>
    </row>
    <row r="180" spans="1:6" x14ac:dyDescent="0.25">
      <c r="A180" s="1"/>
      <c r="B180" s="1"/>
      <c r="C180" s="1"/>
      <c r="D180" s="1"/>
      <c r="E180" s="1"/>
      <c r="F180" s="1"/>
    </row>
    <row r="181" spans="1:6" x14ac:dyDescent="0.25">
      <c r="A181" s="1"/>
      <c r="B181" s="1"/>
      <c r="C181" s="1"/>
      <c r="D181" s="1"/>
      <c r="E181" s="1"/>
      <c r="F181" s="1"/>
    </row>
    <row r="182" spans="1:6" x14ac:dyDescent="0.25">
      <c r="A182" s="1"/>
      <c r="B182" s="1"/>
      <c r="C182" s="1"/>
      <c r="D182" s="1"/>
      <c r="E182" s="1"/>
      <c r="F182" s="1"/>
    </row>
    <row r="183" spans="1:6" x14ac:dyDescent="0.25">
      <c r="A183" s="1"/>
      <c r="B183" s="1"/>
      <c r="C183" s="1"/>
      <c r="D183" s="1"/>
      <c r="E183" s="1"/>
      <c r="F183" s="1"/>
    </row>
    <row r="184" spans="1:6" x14ac:dyDescent="0.25">
      <c r="A184" s="1"/>
      <c r="B184" s="1"/>
      <c r="C184" s="1"/>
      <c r="D184" s="1"/>
      <c r="E184" s="1"/>
      <c r="F184" s="1"/>
    </row>
    <row r="185" spans="1:6" x14ac:dyDescent="0.25">
      <c r="A185" s="1"/>
      <c r="B185" s="1"/>
      <c r="C185" s="1"/>
      <c r="D185" s="1"/>
      <c r="E185" s="1"/>
      <c r="F185" s="1"/>
    </row>
    <row r="186" spans="1:6" x14ac:dyDescent="0.25">
      <c r="A186" s="1"/>
      <c r="B186" s="1"/>
      <c r="C186" s="1"/>
      <c r="D186" s="1"/>
      <c r="E186" s="1"/>
      <c r="F186" s="1"/>
    </row>
    <row r="187" spans="1:6" x14ac:dyDescent="0.25">
      <c r="A187" s="1"/>
      <c r="B187" s="1"/>
      <c r="C187" s="1"/>
      <c r="D187" s="1"/>
      <c r="E187" s="1"/>
      <c r="F187" s="1"/>
    </row>
    <row r="188" spans="1:6" x14ac:dyDescent="0.25">
      <c r="A188" s="1"/>
      <c r="B188" s="1"/>
      <c r="C188" s="1"/>
      <c r="D188" s="1"/>
      <c r="E188" s="1"/>
      <c r="F188" s="1"/>
    </row>
    <row r="189" spans="1:6" x14ac:dyDescent="0.25">
      <c r="A189" s="1"/>
      <c r="B189" s="1"/>
      <c r="C189" s="1"/>
      <c r="D189" s="1"/>
      <c r="E189" s="1"/>
      <c r="F189" s="1"/>
    </row>
    <row r="190" spans="1:6" x14ac:dyDescent="0.25">
      <c r="A190" s="1"/>
      <c r="B190" s="1"/>
      <c r="C190" s="1"/>
      <c r="D190" s="1"/>
      <c r="E190" s="1"/>
      <c r="F190" s="1"/>
    </row>
    <row r="191" spans="1:6" x14ac:dyDescent="0.25">
      <c r="A191" s="1"/>
      <c r="B191" s="1"/>
      <c r="C191" s="1"/>
      <c r="D191" s="1"/>
      <c r="E191" s="1"/>
      <c r="F191" s="1"/>
    </row>
    <row r="192" spans="1:6" x14ac:dyDescent="0.25">
      <c r="A192" s="1"/>
      <c r="B192" s="1"/>
      <c r="C192" s="1"/>
      <c r="D192" s="1"/>
      <c r="E192" s="1"/>
      <c r="F192" s="1"/>
    </row>
    <row r="193" spans="1:6" x14ac:dyDescent="0.25">
      <c r="A193" s="1"/>
      <c r="B193" s="1"/>
      <c r="C193" s="1"/>
      <c r="D193" s="1"/>
      <c r="E193" s="1"/>
      <c r="F193" s="1"/>
    </row>
    <row r="194" spans="1:6" x14ac:dyDescent="0.25">
      <c r="A194" s="1"/>
      <c r="B194" s="1"/>
      <c r="C194" s="1"/>
      <c r="D194" s="1"/>
      <c r="E194" s="1"/>
      <c r="F194" s="1"/>
    </row>
    <row r="195" spans="1:6" x14ac:dyDescent="0.25">
      <c r="A195" s="1"/>
      <c r="B195" s="1"/>
      <c r="C195" s="1"/>
      <c r="D195" s="1"/>
      <c r="E195" s="1"/>
      <c r="F195" s="1"/>
    </row>
    <row r="196" spans="1:6" x14ac:dyDescent="0.25">
      <c r="A196" s="1"/>
      <c r="B196" s="1"/>
      <c r="C196" s="1"/>
      <c r="D196" s="1"/>
      <c r="E196" s="1"/>
      <c r="F196" s="1"/>
    </row>
    <row r="197" spans="1:6" x14ac:dyDescent="0.25">
      <c r="A197" s="1"/>
      <c r="B197" s="1"/>
      <c r="C197" s="1"/>
      <c r="D197" s="1"/>
      <c r="E197" s="1"/>
      <c r="F197" s="1"/>
    </row>
    <row r="198" spans="1:6" x14ac:dyDescent="0.25">
      <c r="A198" s="1"/>
      <c r="B198" s="1"/>
      <c r="C198" s="1"/>
      <c r="D198" s="1"/>
      <c r="E198" s="1"/>
      <c r="F198" s="1"/>
    </row>
    <row r="199" spans="1:6" x14ac:dyDescent="0.25">
      <c r="A199" s="1"/>
      <c r="B199" s="1"/>
      <c r="C199" s="1"/>
      <c r="D199" s="1"/>
      <c r="E199" s="1"/>
      <c r="F199" s="1"/>
    </row>
    <row r="200" spans="1:6" x14ac:dyDescent="0.25">
      <c r="A200" s="1"/>
      <c r="B200" s="1"/>
      <c r="C200" s="1"/>
      <c r="D200" s="1"/>
      <c r="E200" s="1"/>
      <c r="F200" s="1"/>
    </row>
    <row r="201" spans="1:6" x14ac:dyDescent="0.25">
      <c r="A201" s="1"/>
      <c r="B201" s="1"/>
      <c r="C201" s="1"/>
      <c r="D201" s="1"/>
      <c r="E201" s="1"/>
      <c r="F201" s="1"/>
    </row>
    <row r="202" spans="1:6" x14ac:dyDescent="0.25">
      <c r="A202" s="1"/>
      <c r="B202" s="1"/>
      <c r="C202" s="1"/>
      <c r="D202" s="1"/>
      <c r="E202" s="1"/>
      <c r="F202" s="1"/>
    </row>
    <row r="203" spans="1:6" x14ac:dyDescent="0.25">
      <c r="A203" s="1"/>
      <c r="B203" s="1"/>
      <c r="C203" s="1"/>
      <c r="D203" s="1"/>
      <c r="E203" s="1"/>
      <c r="F203" s="1"/>
    </row>
    <row r="204" spans="1:6" x14ac:dyDescent="0.25">
      <c r="A204" s="1"/>
      <c r="B204" s="1"/>
      <c r="C204" s="1"/>
      <c r="D204" s="1"/>
      <c r="E204" s="1"/>
      <c r="F204" s="1"/>
    </row>
    <row r="205" spans="1:6" x14ac:dyDescent="0.25">
      <c r="A205" s="1"/>
      <c r="B205" s="1"/>
      <c r="C205" s="1"/>
      <c r="D205" s="1"/>
      <c r="E205" s="1"/>
      <c r="F205" s="1"/>
    </row>
    <row r="206" spans="1:6" x14ac:dyDescent="0.25">
      <c r="A206" s="1"/>
      <c r="B206" s="1"/>
      <c r="C206" s="1"/>
      <c r="D206" s="1"/>
      <c r="E206" s="1"/>
      <c r="F206" s="1"/>
    </row>
    <row r="207" spans="1:6" x14ac:dyDescent="0.25">
      <c r="A207" s="1"/>
      <c r="B207" s="1"/>
      <c r="C207" s="1"/>
      <c r="D207" s="1"/>
      <c r="E207" s="1"/>
      <c r="F207" s="1"/>
    </row>
    <row r="208" spans="1:6" x14ac:dyDescent="0.25">
      <c r="A208" s="1"/>
      <c r="B208" s="1"/>
      <c r="C208" s="1"/>
      <c r="D208" s="1"/>
      <c r="E208" s="1"/>
      <c r="F208" s="1"/>
    </row>
    <row r="209" spans="1:6" x14ac:dyDescent="0.25">
      <c r="A209" s="1"/>
      <c r="B209" s="1"/>
      <c r="C209" s="1"/>
      <c r="D209" s="1"/>
      <c r="E209" s="1"/>
      <c r="F209" s="1"/>
    </row>
    <row r="210" spans="1:6" x14ac:dyDescent="0.25">
      <c r="A210" s="1"/>
      <c r="B210" s="1"/>
      <c r="C210" s="1"/>
      <c r="D210" s="1"/>
      <c r="E210" s="1"/>
      <c r="F210" s="1"/>
    </row>
    <row r="211" spans="1:6" x14ac:dyDescent="0.25">
      <c r="A211" s="1"/>
      <c r="B211" s="1"/>
      <c r="C211" s="1"/>
      <c r="D211" s="1"/>
      <c r="E211" s="1"/>
      <c r="F211" s="1"/>
    </row>
    <row r="212" spans="1:6" x14ac:dyDescent="0.25">
      <c r="A212" s="1"/>
      <c r="B212" s="1"/>
      <c r="C212" s="1"/>
      <c r="D212" s="1"/>
      <c r="E212" s="1"/>
      <c r="F212" s="1"/>
    </row>
    <row r="213" spans="1:6" x14ac:dyDescent="0.25">
      <c r="A213" s="1"/>
      <c r="B213" s="1"/>
      <c r="C213" s="1"/>
      <c r="D213" s="1"/>
      <c r="E213" s="1"/>
      <c r="F213" s="1"/>
    </row>
    <row r="214" spans="1:6" x14ac:dyDescent="0.25">
      <c r="A214" s="1"/>
      <c r="B214" s="1"/>
      <c r="C214" s="1"/>
      <c r="D214" s="1"/>
      <c r="E214" s="1"/>
      <c r="F214" s="1"/>
    </row>
    <row r="215" spans="1:6" x14ac:dyDescent="0.25">
      <c r="A215" s="1"/>
      <c r="B215" s="1"/>
      <c r="C215" s="1"/>
      <c r="D215" s="1"/>
      <c r="E215" s="1"/>
      <c r="F215" s="1"/>
    </row>
    <row r="216" spans="1:6" x14ac:dyDescent="0.25">
      <c r="A216" s="1"/>
      <c r="B216" s="1"/>
      <c r="C216" s="1"/>
      <c r="D216" s="1"/>
      <c r="E216" s="1"/>
      <c r="F216" s="1"/>
    </row>
    <row r="217" spans="1:6" x14ac:dyDescent="0.25">
      <c r="A217" s="1"/>
      <c r="B217" s="1"/>
      <c r="C217" s="1"/>
      <c r="D217" s="1"/>
      <c r="E217" s="1"/>
      <c r="F217" s="1"/>
    </row>
    <row r="218" spans="1:6" x14ac:dyDescent="0.25">
      <c r="A218" s="1"/>
      <c r="B218" s="1"/>
      <c r="C218" s="1"/>
      <c r="D218" s="1"/>
      <c r="E218" s="1"/>
      <c r="F218" s="1"/>
    </row>
    <row r="219" spans="1:6" x14ac:dyDescent="0.25">
      <c r="A219" s="1"/>
      <c r="B219" s="1"/>
      <c r="C219" s="1"/>
      <c r="D219" s="1"/>
      <c r="E219" s="1"/>
      <c r="F219" s="1"/>
    </row>
    <row r="220" spans="1:6" x14ac:dyDescent="0.25">
      <c r="A220" s="1"/>
      <c r="B220" s="1"/>
      <c r="C220" s="1"/>
      <c r="D220" s="1"/>
      <c r="E220" s="1"/>
      <c r="F220" s="1"/>
    </row>
    <row r="221" spans="1:6" x14ac:dyDescent="0.25">
      <c r="A221" s="1"/>
      <c r="B221" s="1"/>
      <c r="C221" s="1"/>
      <c r="D221" s="1"/>
      <c r="E221" s="1"/>
      <c r="F221" s="1"/>
    </row>
    <row r="222" spans="1:6" x14ac:dyDescent="0.25">
      <c r="A222" s="1"/>
      <c r="B222" s="1"/>
      <c r="C222" s="1"/>
      <c r="D222" s="1"/>
      <c r="E222" s="1"/>
      <c r="F222" s="1"/>
    </row>
    <row r="223" spans="1:6" x14ac:dyDescent="0.25">
      <c r="A223" s="1"/>
      <c r="B223" s="1"/>
      <c r="C223" s="1"/>
      <c r="D223" s="1"/>
      <c r="E223" s="1"/>
      <c r="F223" s="1"/>
    </row>
    <row r="224" spans="1:6" x14ac:dyDescent="0.25">
      <c r="A224" s="1"/>
      <c r="B224" s="1"/>
      <c r="C224" s="1"/>
      <c r="D224" s="1"/>
      <c r="E224" s="1"/>
      <c r="F224" s="1"/>
    </row>
    <row r="225" spans="1:6" x14ac:dyDescent="0.25">
      <c r="A225" s="1"/>
      <c r="B225" s="1"/>
      <c r="C225" s="1"/>
      <c r="D225" s="1"/>
      <c r="E225" s="1"/>
      <c r="F225" s="1"/>
    </row>
    <row r="226" spans="1:6" x14ac:dyDescent="0.25">
      <c r="A226" s="1"/>
      <c r="B226" s="1"/>
      <c r="C226" s="1"/>
      <c r="D226" s="1"/>
      <c r="E226" s="1"/>
      <c r="F226" s="1"/>
    </row>
    <row r="227" spans="1:6" x14ac:dyDescent="0.25">
      <c r="A227" s="1"/>
      <c r="B227" s="1"/>
      <c r="C227" s="1"/>
      <c r="D227" s="1"/>
      <c r="E227" s="1"/>
      <c r="F227" s="1"/>
    </row>
    <row r="228" spans="1:6" x14ac:dyDescent="0.25">
      <c r="A228" s="1"/>
      <c r="B228" s="1"/>
      <c r="C228" s="1"/>
      <c r="D228" s="1"/>
      <c r="E228" s="1"/>
      <c r="F228" s="1"/>
    </row>
    <row r="229" spans="1:6" x14ac:dyDescent="0.25">
      <c r="A229" s="1"/>
      <c r="B229" s="1"/>
      <c r="C229" s="1"/>
      <c r="D229" s="1"/>
      <c r="E229" s="1"/>
      <c r="F229" s="1"/>
    </row>
    <row r="230" spans="1:6" x14ac:dyDescent="0.25">
      <c r="A230" s="1"/>
      <c r="B230" s="1"/>
      <c r="C230" s="1"/>
      <c r="D230" s="1"/>
      <c r="E230" s="1"/>
      <c r="F230" s="1"/>
    </row>
    <row r="231" spans="1:6" x14ac:dyDescent="0.25">
      <c r="A231" s="1"/>
      <c r="B231" s="1"/>
      <c r="C231" s="1"/>
      <c r="D231" s="1"/>
      <c r="E231" s="1"/>
      <c r="F231" s="1"/>
    </row>
    <row r="232" spans="1:6" x14ac:dyDescent="0.25">
      <c r="A232" s="1"/>
      <c r="B232" s="1"/>
      <c r="C232" s="1"/>
      <c r="D232" s="1"/>
      <c r="E232" s="1"/>
      <c r="F232" s="1"/>
    </row>
    <row r="233" spans="1:6" x14ac:dyDescent="0.25">
      <c r="A233" s="1"/>
      <c r="B233" s="1"/>
      <c r="C233" s="1"/>
      <c r="D233" s="1"/>
      <c r="E233" s="1"/>
      <c r="F233" s="1"/>
    </row>
    <row r="234" spans="1:6" x14ac:dyDescent="0.25">
      <c r="A234" s="1"/>
      <c r="B234" s="1"/>
      <c r="C234" s="1"/>
      <c r="D234" s="1"/>
      <c r="E234" s="1"/>
      <c r="F234" s="1"/>
    </row>
    <row r="235" spans="1:6" x14ac:dyDescent="0.25">
      <c r="A235" s="1"/>
      <c r="B235" s="1"/>
      <c r="C235" s="1"/>
      <c r="D235" s="1"/>
      <c r="E235" s="1"/>
      <c r="F235" s="1"/>
    </row>
    <row r="236" spans="1:6" x14ac:dyDescent="0.25">
      <c r="A236" s="1"/>
      <c r="B236" s="1"/>
      <c r="C236" s="1"/>
      <c r="D236" s="1"/>
      <c r="E236" s="1"/>
      <c r="F236" s="1"/>
    </row>
    <row r="237" spans="1:6" x14ac:dyDescent="0.25">
      <c r="A237" s="1"/>
      <c r="B237" s="1"/>
      <c r="C237" s="1"/>
      <c r="D237" s="1"/>
      <c r="E237" s="1"/>
      <c r="F237" s="1"/>
    </row>
    <row r="238" spans="1:6" x14ac:dyDescent="0.25">
      <c r="A238" s="1"/>
      <c r="B238" s="1"/>
      <c r="C238" s="1"/>
      <c r="D238" s="1"/>
      <c r="E238" s="1"/>
      <c r="F238" s="1"/>
    </row>
    <row r="239" spans="1:6" x14ac:dyDescent="0.25">
      <c r="A239" s="1"/>
      <c r="B239" s="1"/>
      <c r="C239" s="1"/>
      <c r="D239" s="1"/>
      <c r="E239" s="1"/>
      <c r="F239" s="1"/>
    </row>
    <row r="240" spans="1:6" x14ac:dyDescent="0.25">
      <c r="A240" s="1"/>
      <c r="B240" s="1"/>
      <c r="C240" s="1"/>
      <c r="D240" s="1"/>
      <c r="E240" s="1"/>
      <c r="F240" s="1"/>
    </row>
    <row r="241" spans="1:6" x14ac:dyDescent="0.25">
      <c r="A241" s="1"/>
      <c r="B241" s="1"/>
      <c r="C241" s="1"/>
      <c r="D241" s="1"/>
      <c r="E241" s="1"/>
      <c r="F241" s="1"/>
    </row>
    <row r="242" spans="1:6" x14ac:dyDescent="0.25">
      <c r="A242" s="1"/>
      <c r="B242" s="1"/>
      <c r="C242" s="1"/>
      <c r="D242" s="1"/>
      <c r="E242" s="1"/>
      <c r="F242" s="1"/>
    </row>
    <row r="243" spans="1:6" x14ac:dyDescent="0.25">
      <c r="A243" s="1"/>
      <c r="B243" s="1"/>
      <c r="C243" s="1"/>
      <c r="D243" s="1"/>
      <c r="E243" s="1"/>
      <c r="F243" s="1"/>
    </row>
    <row r="244" spans="1:6" x14ac:dyDescent="0.25">
      <c r="A244" s="1"/>
      <c r="B244" s="1"/>
      <c r="C244" s="1"/>
      <c r="D244" s="1"/>
      <c r="E244" s="1"/>
      <c r="F244" s="1"/>
    </row>
    <row r="245" spans="1:6" x14ac:dyDescent="0.25">
      <c r="A245" s="1"/>
      <c r="B245" s="1"/>
      <c r="C245" s="1"/>
      <c r="D245" s="1"/>
      <c r="E245" s="1"/>
      <c r="F245" s="1"/>
    </row>
    <row r="246" spans="1:6" x14ac:dyDescent="0.25">
      <c r="A246" s="1"/>
      <c r="B246" s="1"/>
      <c r="C246" s="1"/>
      <c r="D246" s="1"/>
      <c r="E246" s="1"/>
      <c r="F246" s="1"/>
    </row>
    <row r="247" spans="1:6" x14ac:dyDescent="0.25">
      <c r="A247" s="1"/>
      <c r="B247" s="1"/>
      <c r="C247" s="1"/>
      <c r="D247" s="1"/>
      <c r="E247" s="1"/>
      <c r="F247" s="1"/>
    </row>
    <row r="248" spans="1:6" x14ac:dyDescent="0.25">
      <c r="A248" s="1"/>
      <c r="B248" s="1"/>
      <c r="C248" s="1"/>
      <c r="D248" s="1"/>
      <c r="E248" s="1"/>
      <c r="F248" s="1"/>
    </row>
    <row r="249" spans="1:6" x14ac:dyDescent="0.25">
      <c r="A249" s="1"/>
      <c r="B249" s="1"/>
      <c r="C249" s="1"/>
      <c r="D249" s="1"/>
      <c r="E249" s="1"/>
      <c r="F249" s="1"/>
    </row>
    <row r="250" spans="1:6" x14ac:dyDescent="0.25">
      <c r="A250" s="1"/>
      <c r="B250" s="1"/>
      <c r="C250" s="1"/>
      <c r="D250" s="1"/>
      <c r="E250" s="1"/>
      <c r="F250" s="1"/>
    </row>
    <row r="251" spans="1:6" x14ac:dyDescent="0.25">
      <c r="A251" s="1"/>
      <c r="B251" s="1"/>
      <c r="C251" s="1"/>
      <c r="D251" s="1"/>
      <c r="E251" s="1"/>
      <c r="F251" s="1"/>
    </row>
    <row r="252" spans="1:6" x14ac:dyDescent="0.25">
      <c r="A252" s="1"/>
      <c r="B252" s="1"/>
      <c r="C252" s="1"/>
      <c r="D252" s="1"/>
      <c r="E252" s="1"/>
      <c r="F252" s="1"/>
    </row>
    <row r="253" spans="1:6" x14ac:dyDescent="0.25">
      <c r="A253" s="1"/>
      <c r="B253" s="1"/>
      <c r="C253" s="1"/>
      <c r="D253" s="1"/>
      <c r="E253" s="1"/>
      <c r="F253" s="1"/>
    </row>
    <row r="254" spans="1:6" x14ac:dyDescent="0.25">
      <c r="A254" s="1"/>
      <c r="B254" s="1"/>
      <c r="C254" s="1"/>
      <c r="D254" s="1"/>
      <c r="E254" s="1"/>
      <c r="F254" s="1"/>
    </row>
    <row r="255" spans="1:6" x14ac:dyDescent="0.25">
      <c r="A255" s="1"/>
      <c r="B255" s="1"/>
      <c r="C255" s="1"/>
      <c r="D255" s="1"/>
      <c r="E255" s="1"/>
      <c r="F255" s="1"/>
    </row>
    <row r="256" spans="1:6" x14ac:dyDescent="0.25">
      <c r="A256" s="1"/>
      <c r="B256" s="1"/>
      <c r="C256" s="1"/>
      <c r="D256" s="1"/>
      <c r="E256" s="1"/>
      <c r="F256" s="1"/>
    </row>
    <row r="257" spans="1:6" x14ac:dyDescent="0.25">
      <c r="A257" s="1"/>
      <c r="B257" s="1"/>
      <c r="C257" s="1"/>
      <c r="D257" s="1"/>
      <c r="E257" s="1"/>
      <c r="F257" s="1"/>
    </row>
    <row r="258" spans="1:6" x14ac:dyDescent="0.25">
      <c r="A258" s="1"/>
      <c r="B258" s="1"/>
      <c r="C258" s="1"/>
      <c r="D258" s="1"/>
      <c r="E258" s="1"/>
      <c r="F258" s="1"/>
    </row>
    <row r="259" spans="1:6" x14ac:dyDescent="0.25">
      <c r="A259" s="1"/>
      <c r="B259" s="1"/>
      <c r="C259" s="1"/>
      <c r="D259" s="1"/>
      <c r="E259" s="1"/>
      <c r="F259" s="1"/>
    </row>
    <row r="260" spans="1:6" x14ac:dyDescent="0.25">
      <c r="A260" s="1"/>
      <c r="B260" s="1"/>
      <c r="C260" s="1"/>
      <c r="D260" s="1"/>
      <c r="E260" s="1"/>
      <c r="F260" s="1"/>
    </row>
    <row r="261" spans="1:6" x14ac:dyDescent="0.25">
      <c r="A261" s="1"/>
      <c r="B261" s="1"/>
      <c r="C261" s="1"/>
      <c r="D261" s="1"/>
      <c r="E261" s="1"/>
      <c r="F261" s="1"/>
    </row>
    <row r="262" spans="1:6" x14ac:dyDescent="0.25">
      <c r="A262" s="1"/>
      <c r="B262" s="1"/>
      <c r="C262" s="1"/>
      <c r="D262" s="1"/>
      <c r="E262" s="1"/>
      <c r="F262" s="1"/>
    </row>
    <row r="263" spans="1:6" x14ac:dyDescent="0.25">
      <c r="A263" s="1"/>
      <c r="B263" s="1"/>
      <c r="C263" s="1"/>
      <c r="D263" s="1"/>
      <c r="E263" s="1"/>
      <c r="F263" s="1"/>
    </row>
    <row r="264" spans="1:6" x14ac:dyDescent="0.25">
      <c r="A264" s="1"/>
      <c r="B264" s="1"/>
      <c r="C264" s="1"/>
      <c r="D264" s="1"/>
      <c r="E264" s="1"/>
      <c r="F264" s="1"/>
    </row>
    <row r="265" spans="1:6" x14ac:dyDescent="0.25">
      <c r="A265" s="1"/>
      <c r="B265" s="1"/>
      <c r="C265" s="1"/>
      <c r="D265" s="1"/>
      <c r="E265" s="1"/>
      <c r="F265" s="1"/>
    </row>
    <row r="266" spans="1:6" x14ac:dyDescent="0.25">
      <c r="A266" s="1"/>
      <c r="B266" s="1"/>
      <c r="C266" s="1"/>
      <c r="D266" s="1"/>
      <c r="E266" s="1"/>
      <c r="F266" s="1"/>
    </row>
    <row r="267" spans="1:6" x14ac:dyDescent="0.25">
      <c r="A267" s="1"/>
      <c r="B267" s="1"/>
      <c r="C267" s="1"/>
      <c r="D267" s="1"/>
      <c r="E267" s="1"/>
      <c r="F267" s="1"/>
    </row>
    <row r="268" spans="1:6" x14ac:dyDescent="0.25">
      <c r="A268" s="1"/>
      <c r="B268" s="1"/>
      <c r="C268" s="1"/>
      <c r="D268" s="1"/>
      <c r="E268" s="1"/>
      <c r="F268" s="1"/>
    </row>
    <row r="269" spans="1:6" x14ac:dyDescent="0.25">
      <c r="A269" s="1"/>
      <c r="B269" s="1"/>
      <c r="C269" s="1"/>
      <c r="D269" s="1"/>
      <c r="E269" s="1"/>
      <c r="F269" s="1"/>
    </row>
    <row r="270" spans="1:6" x14ac:dyDescent="0.25">
      <c r="A270" s="1"/>
      <c r="B270" s="1"/>
      <c r="C270" s="1"/>
      <c r="D270" s="1"/>
      <c r="E270" s="1"/>
      <c r="F270" s="1"/>
    </row>
    <row r="271" spans="1:6" x14ac:dyDescent="0.25">
      <c r="A271" s="1"/>
      <c r="B271" s="1"/>
      <c r="C271" s="1"/>
      <c r="D271" s="1"/>
      <c r="E271" s="1"/>
      <c r="F271" s="1"/>
    </row>
    <row r="272" spans="1:6" x14ac:dyDescent="0.25">
      <c r="A272" s="1"/>
      <c r="B272" s="1"/>
      <c r="C272" s="1"/>
      <c r="D272" s="1"/>
      <c r="E272" s="1"/>
      <c r="F272" s="1"/>
    </row>
    <row r="273" spans="1:6" x14ac:dyDescent="0.25">
      <c r="A273" s="1"/>
      <c r="B273" s="1"/>
      <c r="C273" s="1"/>
      <c r="D273" s="1"/>
      <c r="E273" s="1"/>
      <c r="F273" s="1"/>
    </row>
    <row r="274" spans="1:6" x14ac:dyDescent="0.25">
      <c r="A274" s="1"/>
      <c r="B274" s="1"/>
      <c r="C274" s="1"/>
      <c r="D274" s="1"/>
      <c r="E274" s="1"/>
      <c r="F274" s="1"/>
    </row>
    <row r="275" spans="1:6" x14ac:dyDescent="0.25">
      <c r="A275" s="1"/>
      <c r="B275" s="1"/>
      <c r="C275" s="1"/>
      <c r="D275" s="1"/>
      <c r="E275" s="1"/>
      <c r="F275" s="1"/>
    </row>
    <row r="276" spans="1:6" x14ac:dyDescent="0.25">
      <c r="A276" s="1"/>
      <c r="B276" s="1"/>
      <c r="C276" s="1"/>
      <c r="D276" s="1"/>
      <c r="E276" s="1"/>
      <c r="F276" s="1"/>
    </row>
    <row r="277" spans="1:6" x14ac:dyDescent="0.25">
      <c r="A277" s="1"/>
      <c r="B277" s="1"/>
      <c r="C277" s="1"/>
      <c r="D277" s="1"/>
      <c r="E277" s="1"/>
      <c r="F277" s="1"/>
    </row>
    <row r="278" spans="1:6" x14ac:dyDescent="0.25">
      <c r="A278" s="1"/>
      <c r="B278" s="1"/>
      <c r="C278" s="1"/>
      <c r="D278" s="1"/>
      <c r="E278" s="1"/>
      <c r="F278" s="1"/>
    </row>
    <row r="279" spans="1:6" x14ac:dyDescent="0.25">
      <c r="A279" s="1"/>
      <c r="B279" s="1"/>
      <c r="C279" s="1"/>
      <c r="D279" s="1"/>
      <c r="E279" s="1"/>
      <c r="F279" s="1"/>
    </row>
    <row r="280" spans="1:6" x14ac:dyDescent="0.25">
      <c r="A280" s="1"/>
      <c r="B280" s="1"/>
      <c r="C280" s="1"/>
      <c r="D280" s="1"/>
      <c r="E280" s="1"/>
      <c r="F280" s="1"/>
    </row>
    <row r="281" spans="1:6" x14ac:dyDescent="0.25">
      <c r="A281" s="1"/>
      <c r="B281" s="1"/>
      <c r="C281" s="1"/>
      <c r="D281" s="1"/>
      <c r="E281" s="1"/>
      <c r="F281" s="1"/>
    </row>
    <row r="282" spans="1:6" x14ac:dyDescent="0.25">
      <c r="A282" s="1"/>
      <c r="B282" s="1"/>
      <c r="C282" s="1"/>
      <c r="D282" s="1"/>
      <c r="E282" s="1"/>
      <c r="F282" s="1"/>
    </row>
    <row r="283" spans="1:6" x14ac:dyDescent="0.25">
      <c r="A283" s="1"/>
      <c r="B283" s="1"/>
      <c r="C283" s="1"/>
      <c r="D283" s="1"/>
      <c r="E283" s="1"/>
      <c r="F283" s="1"/>
    </row>
    <row r="284" spans="1:6" x14ac:dyDescent="0.25">
      <c r="A284" s="1"/>
      <c r="B284" s="1"/>
      <c r="C284" s="1"/>
      <c r="D284" s="1"/>
      <c r="E284" s="1"/>
      <c r="F284" s="1"/>
    </row>
    <row r="285" spans="1:6" x14ac:dyDescent="0.25">
      <c r="A285" s="1"/>
      <c r="B285" s="1"/>
      <c r="C285" s="1"/>
      <c r="D285" s="1"/>
      <c r="E285" s="1"/>
      <c r="F285" s="1"/>
    </row>
    <row r="286" spans="1:6" x14ac:dyDescent="0.25">
      <c r="A286" s="1"/>
      <c r="B286" s="1"/>
      <c r="C286" s="1"/>
      <c r="D286" s="1"/>
      <c r="E286" s="1"/>
      <c r="F286" s="1"/>
    </row>
    <row r="287" spans="1:6" x14ac:dyDescent="0.25">
      <c r="A287" s="1"/>
      <c r="B287" s="1"/>
      <c r="C287" s="1"/>
      <c r="D287" s="1"/>
      <c r="E287" s="1"/>
      <c r="F287" s="1"/>
    </row>
    <row r="288" spans="1:6" x14ac:dyDescent="0.25">
      <c r="A288" s="1"/>
      <c r="B288" s="1"/>
      <c r="C288" s="1"/>
      <c r="D288" s="1"/>
      <c r="E288" s="1"/>
      <c r="F288" s="1"/>
    </row>
    <row r="289" spans="1:6" x14ac:dyDescent="0.25">
      <c r="A289" s="1"/>
      <c r="B289" s="1"/>
      <c r="C289" s="1"/>
      <c r="D289" s="1"/>
      <c r="E289" s="1"/>
      <c r="F289" s="1"/>
    </row>
    <row r="290" spans="1:6" x14ac:dyDescent="0.25">
      <c r="A290" s="1"/>
      <c r="B290" s="1"/>
      <c r="C290" s="1"/>
      <c r="D290" s="1"/>
      <c r="E290" s="1"/>
      <c r="F290" s="1"/>
    </row>
    <row r="291" spans="1:6" x14ac:dyDescent="0.25">
      <c r="A291" s="1"/>
      <c r="B291" s="1"/>
      <c r="C291" s="1"/>
      <c r="D291" s="1"/>
      <c r="E291" s="1"/>
      <c r="F291" s="1"/>
    </row>
    <row r="292" spans="1:6" x14ac:dyDescent="0.25">
      <c r="A292" s="1"/>
      <c r="B292" s="1"/>
      <c r="C292" s="1"/>
      <c r="D292" s="1"/>
      <c r="E292" s="1"/>
      <c r="F292" s="1"/>
    </row>
    <row r="293" spans="1:6" x14ac:dyDescent="0.25">
      <c r="A293" s="1"/>
      <c r="B293" s="1"/>
      <c r="C293" s="1"/>
      <c r="D293" s="1"/>
      <c r="E293" s="1"/>
      <c r="F293" s="1"/>
    </row>
    <row r="294" spans="1:6" x14ac:dyDescent="0.25">
      <c r="A294" s="1"/>
      <c r="B294" s="1"/>
      <c r="C294" s="1"/>
      <c r="D294" s="1"/>
      <c r="E294" s="1"/>
      <c r="F294" s="1"/>
    </row>
    <row r="295" spans="1:6" x14ac:dyDescent="0.25">
      <c r="A295" s="1"/>
      <c r="B295" s="1"/>
      <c r="C295" s="1"/>
      <c r="D295" s="1"/>
      <c r="E295" s="1"/>
      <c r="F295" s="1"/>
    </row>
    <row r="296" spans="1:6" x14ac:dyDescent="0.25">
      <c r="A296" s="1"/>
      <c r="B296" s="1"/>
      <c r="C296" s="1"/>
      <c r="D296" s="1"/>
      <c r="E296" s="1"/>
      <c r="F296" s="1"/>
    </row>
    <row r="297" spans="1:6" x14ac:dyDescent="0.25">
      <c r="A297" s="1"/>
      <c r="B297" s="1"/>
      <c r="C297" s="1"/>
      <c r="D297" s="1"/>
      <c r="E297" s="1"/>
      <c r="F297" s="1"/>
    </row>
    <row r="298" spans="1:6" x14ac:dyDescent="0.25">
      <c r="A298" s="1"/>
      <c r="B298" s="1"/>
      <c r="C298" s="1"/>
      <c r="D298" s="1"/>
      <c r="E298" s="1"/>
      <c r="F298" s="1"/>
    </row>
    <row r="299" spans="1:6" x14ac:dyDescent="0.25">
      <c r="A299" s="1"/>
      <c r="B299" s="1"/>
      <c r="C299" s="1"/>
      <c r="D299" s="1"/>
      <c r="E299" s="1"/>
      <c r="F299" s="1"/>
    </row>
    <row r="300" spans="1:6" x14ac:dyDescent="0.25">
      <c r="A300" s="1"/>
      <c r="B300" s="1"/>
      <c r="C300" s="1"/>
      <c r="D300" s="1"/>
      <c r="E300" s="1"/>
      <c r="F300" s="1"/>
    </row>
    <row r="301" spans="1:6" x14ac:dyDescent="0.25">
      <c r="A301" s="1"/>
      <c r="B301" s="1"/>
      <c r="C301" s="1"/>
      <c r="D301" s="1"/>
      <c r="E301" s="1"/>
      <c r="F301" s="1"/>
    </row>
    <row r="302" spans="1:6" x14ac:dyDescent="0.25">
      <c r="A302" s="1"/>
      <c r="B302" s="1"/>
      <c r="C302" s="1"/>
      <c r="D302" s="1"/>
      <c r="E302" s="1"/>
      <c r="F302" s="1"/>
    </row>
    <row r="303" spans="1:6" x14ac:dyDescent="0.25">
      <c r="A303" s="1"/>
      <c r="B303" s="1"/>
      <c r="C303" s="1"/>
      <c r="D303" s="1"/>
      <c r="E303" s="1"/>
      <c r="F303" s="1"/>
    </row>
    <row r="304" spans="1:6" x14ac:dyDescent="0.25">
      <c r="A304" s="1"/>
      <c r="B304" s="1"/>
      <c r="C304" s="1"/>
      <c r="D304" s="1"/>
      <c r="E304" s="1"/>
      <c r="F304" s="1"/>
    </row>
    <row r="305" spans="1:6" x14ac:dyDescent="0.25">
      <c r="A305" s="1"/>
      <c r="B305" s="1"/>
      <c r="C305" s="1"/>
      <c r="D305" s="1"/>
      <c r="E305" s="1"/>
      <c r="F305" s="1"/>
    </row>
    <row r="306" spans="1:6" x14ac:dyDescent="0.25">
      <c r="A306" s="1"/>
      <c r="B306" s="1"/>
      <c r="C306" s="1"/>
      <c r="D306" s="1"/>
      <c r="E306" s="1"/>
      <c r="F306" s="1"/>
    </row>
    <row r="307" spans="1:6" x14ac:dyDescent="0.25">
      <c r="A307" s="1"/>
      <c r="B307" s="1"/>
      <c r="C307" s="1"/>
      <c r="D307" s="1"/>
      <c r="E307" s="1"/>
      <c r="F307" s="1"/>
    </row>
    <row r="308" spans="1:6" x14ac:dyDescent="0.25">
      <c r="A308" s="1"/>
      <c r="B308" s="1"/>
      <c r="C308" s="1"/>
      <c r="D308" s="1"/>
      <c r="E308" s="1"/>
      <c r="F308" s="1"/>
    </row>
    <row r="309" spans="1:6" x14ac:dyDescent="0.25">
      <c r="A309" s="1"/>
      <c r="B309" s="1"/>
      <c r="C309" s="1"/>
      <c r="D309" s="1"/>
      <c r="E309" s="1"/>
      <c r="F309" s="1"/>
    </row>
    <row r="310" spans="1:6" x14ac:dyDescent="0.25">
      <c r="A310" s="1"/>
      <c r="B310" s="1"/>
      <c r="C310" s="1"/>
      <c r="D310" s="1"/>
      <c r="E310" s="1"/>
      <c r="F310" s="1"/>
    </row>
    <row r="311" spans="1:6" x14ac:dyDescent="0.25">
      <c r="A311" s="1"/>
      <c r="B311" s="1"/>
      <c r="C311" s="1"/>
      <c r="D311" s="1"/>
      <c r="E311" s="1"/>
      <c r="F311" s="1"/>
    </row>
    <row r="312" spans="1:6" x14ac:dyDescent="0.25">
      <c r="A312" s="1"/>
      <c r="B312" s="1"/>
      <c r="C312" s="1"/>
      <c r="D312" s="1"/>
      <c r="E312" s="1"/>
      <c r="F312" s="1"/>
    </row>
    <row r="313" spans="1:6" x14ac:dyDescent="0.25">
      <c r="A313" s="1"/>
      <c r="B313" s="1"/>
      <c r="C313" s="1"/>
      <c r="D313" s="1"/>
      <c r="E313" s="1"/>
      <c r="F313" s="1"/>
    </row>
    <row r="314" spans="1:6" x14ac:dyDescent="0.25">
      <c r="A314" s="1"/>
      <c r="B314" s="1"/>
      <c r="C314" s="1"/>
      <c r="D314" s="1"/>
      <c r="E314" s="1"/>
      <c r="F314" s="1"/>
    </row>
    <row r="315" spans="1:6" x14ac:dyDescent="0.25">
      <c r="A315" s="1"/>
      <c r="B315" s="1"/>
      <c r="C315" s="1"/>
      <c r="D315" s="1"/>
      <c r="E315" s="1"/>
      <c r="F315" s="1"/>
    </row>
    <row r="316" spans="1:6" x14ac:dyDescent="0.25">
      <c r="A316" s="1"/>
      <c r="B316" s="1"/>
      <c r="C316" s="1"/>
      <c r="D316" s="1"/>
      <c r="E316" s="1"/>
      <c r="F316" s="1"/>
    </row>
    <row r="317" spans="1:6" x14ac:dyDescent="0.25">
      <c r="A317" s="1"/>
      <c r="B317" s="1"/>
      <c r="C317" s="1"/>
      <c r="D317" s="1"/>
      <c r="E317" s="1"/>
      <c r="F317" s="1"/>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row r="328" spans="1:6" x14ac:dyDescent="0.25">
      <c r="A328" s="1"/>
      <c r="B328" s="1"/>
      <c r="C328" s="1"/>
      <c r="D328" s="1"/>
      <c r="E328" s="1"/>
      <c r="F328" s="1"/>
    </row>
    <row r="329" spans="1:6" x14ac:dyDescent="0.25">
      <c r="A329" s="1"/>
      <c r="B329" s="1"/>
      <c r="C329" s="1"/>
      <c r="D329" s="1"/>
      <c r="E329" s="1"/>
      <c r="F329" s="1"/>
    </row>
    <row r="330" spans="1:6" x14ac:dyDescent="0.25">
      <c r="A330" s="1"/>
      <c r="B330" s="1"/>
      <c r="C330" s="1"/>
      <c r="D330" s="1"/>
      <c r="E330" s="1"/>
      <c r="F330" s="1"/>
    </row>
    <row r="331" spans="1:6" x14ac:dyDescent="0.25">
      <c r="A331" s="1"/>
      <c r="B331" s="1"/>
      <c r="C331" s="1"/>
      <c r="D331" s="1"/>
      <c r="E331" s="1"/>
      <c r="F331" s="1"/>
    </row>
    <row r="332" spans="1:6" x14ac:dyDescent="0.25">
      <c r="A332" s="1"/>
      <c r="B332" s="1"/>
      <c r="C332" s="1"/>
      <c r="D332" s="1"/>
      <c r="E332" s="1"/>
      <c r="F332" s="1"/>
    </row>
    <row r="333" spans="1:6" x14ac:dyDescent="0.25">
      <c r="A333" s="1"/>
      <c r="B333" s="1"/>
      <c r="C333" s="1"/>
      <c r="D333" s="1"/>
      <c r="E333" s="1"/>
      <c r="F333" s="1"/>
    </row>
    <row r="334" spans="1:6" x14ac:dyDescent="0.25">
      <c r="A334" s="1"/>
      <c r="B334" s="1"/>
      <c r="C334" s="1"/>
      <c r="D334" s="1"/>
      <c r="E334" s="1"/>
      <c r="F334" s="1"/>
    </row>
    <row r="335" spans="1:6" x14ac:dyDescent="0.25">
      <c r="A335" s="1"/>
      <c r="B335" s="1"/>
      <c r="C335" s="1"/>
      <c r="D335" s="1"/>
      <c r="E335" s="1"/>
      <c r="F335" s="1"/>
    </row>
    <row r="336" spans="1:6"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E782" s="1"/>
      <c r="F782" s="1"/>
    </row>
    <row r="783" spans="1:6" x14ac:dyDescent="0.25">
      <c r="A783" s="1"/>
      <c r="B783" s="1"/>
      <c r="C783" s="1"/>
      <c r="D783" s="1"/>
      <c r="E783" s="1"/>
      <c r="F783" s="1"/>
    </row>
    <row r="784" spans="1:6" x14ac:dyDescent="0.25">
      <c r="A784" s="1"/>
      <c r="B784" s="1"/>
      <c r="C784" s="1"/>
      <c r="D784" s="1"/>
      <c r="E784" s="1"/>
      <c r="F784" s="1"/>
    </row>
    <row r="785" spans="1:6" x14ac:dyDescent="0.25">
      <c r="A785" s="1"/>
      <c r="B785" s="1"/>
      <c r="C785" s="1"/>
      <c r="D785" s="1"/>
      <c r="E785" s="1"/>
      <c r="F785" s="1"/>
    </row>
    <row r="786" spans="1:6" x14ac:dyDescent="0.25">
      <c r="A786" s="1"/>
      <c r="B786" s="1"/>
      <c r="C786" s="1"/>
      <c r="D786" s="1"/>
      <c r="E786" s="1"/>
      <c r="F786" s="1"/>
    </row>
    <row r="787" spans="1:6" x14ac:dyDescent="0.25">
      <c r="A787" s="1"/>
      <c r="B787" s="1"/>
      <c r="C787" s="1"/>
      <c r="D787" s="1"/>
      <c r="E787" s="1"/>
      <c r="F787" s="1"/>
    </row>
    <row r="788" spans="1:6" x14ac:dyDescent="0.25">
      <c r="A788" s="1"/>
      <c r="B788" s="1"/>
      <c r="C788" s="1"/>
      <c r="D788" s="1"/>
      <c r="E788" s="1"/>
      <c r="F788" s="1"/>
    </row>
    <row r="789" spans="1:6" x14ac:dyDescent="0.25">
      <c r="A789" s="1"/>
      <c r="B789" s="1"/>
      <c r="C789" s="1"/>
      <c r="D789" s="1"/>
      <c r="E789" s="1"/>
      <c r="F789" s="1"/>
    </row>
    <row r="790" spans="1:6" x14ac:dyDescent="0.25">
      <c r="A790" s="1"/>
      <c r="B790" s="1"/>
      <c r="C790" s="1"/>
      <c r="D790" s="1"/>
      <c r="E790" s="1"/>
      <c r="F790" s="1"/>
    </row>
    <row r="791" spans="1:6" x14ac:dyDescent="0.25">
      <c r="A791" s="1"/>
      <c r="B791" s="1"/>
      <c r="C791" s="1"/>
      <c r="D791" s="1"/>
      <c r="E791" s="1"/>
      <c r="F791" s="1"/>
    </row>
    <row r="792" spans="1:6" x14ac:dyDescent="0.25">
      <c r="A792" s="1"/>
      <c r="B792" s="1"/>
      <c r="C792" s="1"/>
      <c r="D792" s="1"/>
      <c r="E792" s="1"/>
      <c r="F792" s="1"/>
    </row>
    <row r="793" spans="1:6" x14ac:dyDescent="0.25">
      <c r="A793" s="1"/>
      <c r="B793" s="1"/>
      <c r="C793" s="1"/>
      <c r="D793" s="1"/>
      <c r="E793" s="1"/>
      <c r="F793" s="1"/>
    </row>
    <row r="794" spans="1:6" x14ac:dyDescent="0.25">
      <c r="A794" s="1"/>
      <c r="B794" s="1"/>
      <c r="C794" s="1"/>
      <c r="D794" s="1"/>
      <c r="E794" s="1"/>
      <c r="F794" s="1"/>
    </row>
    <row r="795" spans="1:6" x14ac:dyDescent="0.25">
      <c r="A795" s="1"/>
      <c r="B795" s="1"/>
      <c r="C795" s="1"/>
      <c r="D795" s="1"/>
      <c r="E795" s="1"/>
      <c r="F795" s="1"/>
    </row>
    <row r="796" spans="1:6" x14ac:dyDescent="0.25">
      <c r="A796" s="1"/>
      <c r="B796" s="1"/>
      <c r="C796" s="1"/>
      <c r="D796" s="1"/>
      <c r="E796" s="1"/>
      <c r="F796" s="1"/>
    </row>
    <row r="797" spans="1:6" x14ac:dyDescent="0.25">
      <c r="A797" s="1"/>
      <c r="B797" s="1"/>
      <c r="C797" s="1"/>
      <c r="D797" s="1"/>
      <c r="E797" s="1"/>
      <c r="F797" s="1"/>
    </row>
    <row r="798" spans="1:6" x14ac:dyDescent="0.25">
      <c r="A798" s="1"/>
      <c r="B798" s="1"/>
      <c r="C798" s="1"/>
      <c r="D798" s="1"/>
      <c r="E798" s="1"/>
      <c r="F798" s="1"/>
    </row>
    <row r="799" spans="1:6" x14ac:dyDescent="0.25">
      <c r="A799" s="1"/>
      <c r="B799" s="1"/>
      <c r="C799" s="1"/>
      <c r="D799" s="1"/>
      <c r="E799" s="1"/>
      <c r="F799" s="1"/>
    </row>
    <row r="800" spans="1:6" x14ac:dyDescent="0.25">
      <c r="A800" s="1"/>
      <c r="B800" s="1"/>
      <c r="C800" s="1"/>
      <c r="D800" s="1"/>
      <c r="E800" s="1"/>
      <c r="F800" s="1"/>
    </row>
    <row r="801" spans="1:6" x14ac:dyDescent="0.25">
      <c r="A801" s="1"/>
      <c r="B801" s="1"/>
      <c r="C801" s="1"/>
      <c r="D801" s="1"/>
      <c r="E801" s="1"/>
      <c r="F801" s="1"/>
    </row>
    <row r="802" spans="1:6" x14ac:dyDescent="0.25">
      <c r="A802" s="1"/>
      <c r="B802" s="1"/>
      <c r="C802" s="1"/>
      <c r="D802" s="1"/>
      <c r="E802" s="1"/>
      <c r="F802" s="1"/>
    </row>
    <row r="803" spans="1:6" x14ac:dyDescent="0.25">
      <c r="A803" s="1"/>
      <c r="B803" s="1"/>
      <c r="C803" s="1"/>
      <c r="D803" s="1"/>
      <c r="E803" s="1"/>
      <c r="F803" s="1"/>
    </row>
    <row r="804" spans="1:6" x14ac:dyDescent="0.25">
      <c r="A804" s="1"/>
      <c r="B804" s="1"/>
      <c r="C804" s="1"/>
      <c r="D804" s="1"/>
      <c r="E804" s="1"/>
      <c r="F804" s="1"/>
    </row>
    <row r="805" spans="1:6" x14ac:dyDescent="0.25">
      <c r="A805" s="1"/>
      <c r="B805" s="1"/>
      <c r="C805" s="1"/>
      <c r="D805" s="1"/>
      <c r="E805" s="1"/>
      <c r="F805" s="1"/>
    </row>
    <row r="806" spans="1:6" x14ac:dyDescent="0.25">
      <c r="A806" s="1"/>
      <c r="B806" s="1"/>
      <c r="C806" s="1"/>
      <c r="D806" s="1"/>
      <c r="E806" s="1"/>
      <c r="F806" s="1"/>
    </row>
    <row r="807" spans="1:6" x14ac:dyDescent="0.25">
      <c r="A807" s="1"/>
      <c r="B807" s="1"/>
      <c r="C807" s="1"/>
      <c r="D807" s="1"/>
      <c r="E807" s="1"/>
      <c r="F807" s="1"/>
    </row>
    <row r="808" spans="1:6" x14ac:dyDescent="0.25">
      <c r="A808" s="1"/>
      <c r="B808" s="1"/>
      <c r="C808" s="1"/>
      <c r="D808" s="1"/>
      <c r="E808" s="1"/>
      <c r="F808" s="1"/>
    </row>
    <row r="809" spans="1:6" x14ac:dyDescent="0.25">
      <c r="A809" s="1"/>
      <c r="B809" s="1"/>
      <c r="C809" s="1"/>
      <c r="D809" s="1"/>
      <c r="E809" s="1"/>
      <c r="F809" s="1"/>
    </row>
    <row r="810" spans="1:6" x14ac:dyDescent="0.25">
      <c r="A810" s="1"/>
      <c r="B810" s="1"/>
      <c r="C810" s="1"/>
      <c r="D810" s="1"/>
      <c r="E810" s="1"/>
      <c r="F810" s="1"/>
    </row>
    <row r="811" spans="1:6" x14ac:dyDescent="0.25">
      <c r="A811" s="1"/>
      <c r="B811" s="1"/>
      <c r="C811" s="1"/>
      <c r="D811" s="1"/>
      <c r="E811" s="1"/>
      <c r="F811" s="1"/>
    </row>
    <row r="812" spans="1:6" x14ac:dyDescent="0.25">
      <c r="A812" s="1"/>
      <c r="B812" s="1"/>
      <c r="C812" s="1"/>
      <c r="D812" s="1"/>
      <c r="E812" s="1"/>
      <c r="F812" s="1"/>
    </row>
    <row r="813" spans="1:6" x14ac:dyDescent="0.25">
      <c r="A813" s="1"/>
      <c r="B813" s="1"/>
      <c r="C813" s="1"/>
      <c r="D813" s="1"/>
      <c r="E813" s="1"/>
      <c r="F813" s="1"/>
    </row>
    <row r="814" spans="1:6" x14ac:dyDescent="0.25">
      <c r="A814" s="1"/>
      <c r="B814" s="1"/>
      <c r="C814" s="1"/>
      <c r="D814" s="1"/>
      <c r="E814" s="1"/>
      <c r="F814" s="1"/>
    </row>
    <row r="815" spans="1:6" x14ac:dyDescent="0.25">
      <c r="A815" s="1"/>
      <c r="B815" s="1"/>
      <c r="C815" s="1"/>
      <c r="D815" s="1"/>
      <c r="E815" s="1"/>
      <c r="F815" s="1"/>
    </row>
    <row r="816" spans="1:6" x14ac:dyDescent="0.25">
      <c r="A816" s="1"/>
      <c r="B816" s="1"/>
      <c r="C816" s="1"/>
      <c r="D816" s="1"/>
      <c r="E816" s="1"/>
      <c r="F816" s="1"/>
    </row>
    <row r="817" spans="1:6" x14ac:dyDescent="0.25">
      <c r="A817" s="1"/>
      <c r="B817" s="1"/>
      <c r="C817" s="1"/>
      <c r="D817" s="1"/>
      <c r="E817" s="1"/>
      <c r="F817" s="1"/>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A827" s="1"/>
      <c r="B827" s="1"/>
      <c r="C827" s="1"/>
      <c r="D827" s="1"/>
      <c r="E827" s="1"/>
      <c r="F827" s="1"/>
    </row>
    <row r="828" spans="1:6" x14ac:dyDescent="0.25">
      <c r="A828" s="1"/>
      <c r="B828" s="1"/>
      <c r="C828" s="1"/>
      <c r="D828" s="1"/>
      <c r="E828" s="1"/>
      <c r="F828" s="1"/>
    </row>
    <row r="829" spans="1:6" x14ac:dyDescent="0.25">
      <c r="A829" s="1"/>
      <c r="B829" s="1"/>
      <c r="C829" s="1"/>
      <c r="D829" s="1"/>
      <c r="E829" s="1"/>
      <c r="F829" s="1"/>
    </row>
    <row r="830" spans="1:6" x14ac:dyDescent="0.25">
      <c r="A830" s="1"/>
      <c r="B830" s="1"/>
      <c r="C830" s="1"/>
      <c r="D830" s="1"/>
      <c r="E830" s="1"/>
      <c r="F830" s="1"/>
    </row>
    <row r="831" spans="1:6" x14ac:dyDescent="0.25">
      <c r="A831" s="1"/>
      <c r="B831" s="1"/>
      <c r="C831" s="1"/>
      <c r="D831" s="1"/>
      <c r="E831" s="1"/>
      <c r="F831" s="1"/>
    </row>
    <row r="832" spans="1:6" x14ac:dyDescent="0.25">
      <c r="A832" s="1"/>
      <c r="B832" s="1"/>
      <c r="C832" s="1"/>
      <c r="D832" s="1"/>
      <c r="E832" s="1"/>
      <c r="F832" s="1"/>
    </row>
    <row r="833" spans="1:6" x14ac:dyDescent="0.25">
      <c r="A833" s="1"/>
      <c r="B833" s="1"/>
      <c r="C833" s="1"/>
      <c r="D833" s="1"/>
      <c r="E833" s="1"/>
      <c r="F833" s="1"/>
    </row>
    <row r="834" spans="1:6" x14ac:dyDescent="0.25">
      <c r="A834" s="1"/>
      <c r="B834" s="1"/>
      <c r="C834" s="1"/>
      <c r="D834" s="1"/>
      <c r="E834" s="1"/>
      <c r="F834" s="1"/>
    </row>
    <row r="835" spans="1:6" x14ac:dyDescent="0.25">
      <c r="A835" s="1"/>
      <c r="B835" s="1"/>
      <c r="C835" s="1"/>
      <c r="D835" s="1"/>
      <c r="E835" s="1"/>
      <c r="F835" s="1"/>
    </row>
    <row r="836" spans="1:6" x14ac:dyDescent="0.25">
      <c r="A836" s="1"/>
      <c r="B836" s="1"/>
      <c r="C836" s="1"/>
      <c r="D836" s="1"/>
      <c r="E836" s="1"/>
      <c r="F836" s="1"/>
    </row>
    <row r="837" spans="1:6" x14ac:dyDescent="0.25">
      <c r="A837" s="1"/>
      <c r="B837" s="1"/>
      <c r="C837" s="1"/>
      <c r="D837" s="1"/>
      <c r="E837" s="1"/>
      <c r="F837" s="1"/>
    </row>
    <row r="838" spans="1:6" x14ac:dyDescent="0.25">
      <c r="A838" s="1"/>
      <c r="B838" s="1"/>
      <c r="C838" s="1"/>
      <c r="D838" s="1"/>
      <c r="E838" s="1"/>
      <c r="F838" s="1"/>
    </row>
    <row r="839" spans="1:6" x14ac:dyDescent="0.25">
      <c r="A839" s="1"/>
      <c r="B839" s="1"/>
      <c r="C839" s="1"/>
      <c r="D839" s="1"/>
      <c r="E839" s="1"/>
      <c r="F839" s="1"/>
    </row>
    <row r="840" spans="1:6" x14ac:dyDescent="0.25">
      <c r="A840" s="1"/>
      <c r="B840" s="1"/>
      <c r="C840" s="1"/>
      <c r="D840" s="1"/>
      <c r="E840" s="1"/>
      <c r="F840" s="1"/>
    </row>
    <row r="841" spans="1:6" x14ac:dyDescent="0.25">
      <c r="A841" s="1"/>
      <c r="B841" s="1"/>
      <c r="C841" s="1"/>
      <c r="D841" s="1"/>
      <c r="E841" s="1"/>
      <c r="F841" s="1"/>
    </row>
    <row r="842" spans="1:6" x14ac:dyDescent="0.25">
      <c r="A842" s="1"/>
      <c r="B842" s="1"/>
      <c r="C842" s="1"/>
      <c r="D842" s="1"/>
      <c r="E842" s="1"/>
      <c r="F842" s="1"/>
    </row>
    <row r="843" spans="1:6" x14ac:dyDescent="0.25">
      <c r="A843" s="1"/>
      <c r="B843" s="1"/>
      <c r="C843" s="1"/>
      <c r="D843" s="1"/>
      <c r="E843" s="1"/>
      <c r="F843" s="1"/>
    </row>
    <row r="844" spans="1:6" x14ac:dyDescent="0.25">
      <c r="A844" s="1"/>
      <c r="B844" s="1"/>
      <c r="C844" s="1"/>
      <c r="D844" s="1"/>
      <c r="E844" s="1"/>
      <c r="F844" s="1"/>
    </row>
    <row r="845" spans="1:6" x14ac:dyDescent="0.25">
      <c r="A845" s="1"/>
      <c r="B845" s="1"/>
      <c r="C845" s="1"/>
      <c r="D845" s="1"/>
      <c r="E845" s="1"/>
      <c r="F845" s="1"/>
    </row>
    <row r="846" spans="1:6" x14ac:dyDescent="0.25">
      <c r="A846" s="1"/>
      <c r="B846" s="1"/>
      <c r="C846" s="1"/>
      <c r="D846" s="1"/>
      <c r="E846" s="1"/>
      <c r="F846" s="1"/>
    </row>
    <row r="847" spans="1:6" x14ac:dyDescent="0.25">
      <c r="A847" s="1"/>
      <c r="B847" s="1"/>
      <c r="C847" s="1"/>
      <c r="D847" s="1"/>
      <c r="E847" s="1"/>
      <c r="F847" s="1"/>
    </row>
    <row r="848" spans="1:6" x14ac:dyDescent="0.25">
      <c r="A848" s="1"/>
      <c r="B848" s="1"/>
      <c r="C848" s="1"/>
      <c r="D848" s="1"/>
      <c r="E848" s="1"/>
      <c r="F848" s="1"/>
    </row>
    <row r="849" spans="1:6" x14ac:dyDescent="0.25">
      <c r="A849" s="1"/>
      <c r="B849" s="1"/>
      <c r="C849" s="1"/>
      <c r="D849" s="1"/>
      <c r="E849" s="1"/>
      <c r="F849" s="1"/>
    </row>
    <row r="850" spans="1:6" x14ac:dyDescent="0.25">
      <c r="A850" s="1"/>
      <c r="B850" s="1"/>
      <c r="C850" s="1"/>
      <c r="D850" s="1"/>
      <c r="E850" s="1"/>
      <c r="F850" s="1"/>
    </row>
    <row r="851" spans="1:6" x14ac:dyDescent="0.25">
      <c r="A851" s="1"/>
      <c r="B851" s="1"/>
      <c r="C851" s="1"/>
      <c r="D851" s="1"/>
      <c r="E851" s="1"/>
      <c r="F851" s="1"/>
    </row>
    <row r="852" spans="1:6" x14ac:dyDescent="0.25">
      <c r="A852" s="1"/>
      <c r="B852" s="1"/>
      <c r="C852" s="1"/>
      <c r="D852" s="1"/>
      <c r="E852" s="1"/>
      <c r="F852" s="1"/>
    </row>
    <row r="853" spans="1:6" x14ac:dyDescent="0.25">
      <c r="A853" s="1"/>
      <c r="B853" s="1"/>
      <c r="C853" s="1"/>
      <c r="D853" s="1"/>
      <c r="E853" s="1"/>
      <c r="F853" s="1"/>
    </row>
    <row r="854" spans="1:6" x14ac:dyDescent="0.25">
      <c r="A854" s="1"/>
      <c r="B854" s="1"/>
      <c r="C854" s="1"/>
      <c r="D854" s="1"/>
      <c r="E854" s="1"/>
      <c r="F854" s="1"/>
    </row>
    <row r="855" spans="1:6" x14ac:dyDescent="0.25">
      <c r="A855" s="1"/>
      <c r="B855" s="1"/>
      <c r="C855" s="1"/>
      <c r="D855" s="1"/>
      <c r="E855" s="1"/>
      <c r="F855" s="1"/>
    </row>
    <row r="856" spans="1:6" x14ac:dyDescent="0.25">
      <c r="A856" s="1"/>
      <c r="B856" s="1"/>
      <c r="C856" s="1"/>
      <c r="D856" s="1"/>
      <c r="E856" s="1"/>
      <c r="F856" s="1"/>
    </row>
    <row r="857" spans="1:6" x14ac:dyDescent="0.25">
      <c r="A857" s="1"/>
      <c r="B857" s="1"/>
      <c r="C857" s="1"/>
      <c r="D857" s="1"/>
      <c r="E857" s="1"/>
      <c r="F857" s="1"/>
    </row>
    <row r="858" spans="1:6" x14ac:dyDescent="0.25">
      <c r="A858" s="1"/>
      <c r="B858" s="1"/>
      <c r="C858" s="1"/>
      <c r="D858" s="1"/>
      <c r="E858" s="1"/>
      <c r="F858" s="1"/>
    </row>
    <row r="859" spans="1:6" x14ac:dyDescent="0.25">
      <c r="A859" s="1"/>
      <c r="B859" s="1"/>
      <c r="C859" s="1"/>
      <c r="D859" s="1"/>
      <c r="E859" s="1"/>
      <c r="F859" s="1"/>
    </row>
    <row r="860" spans="1:6" x14ac:dyDescent="0.25">
      <c r="A860" s="1"/>
      <c r="B860" s="1"/>
      <c r="C860" s="1"/>
      <c r="D860" s="1"/>
      <c r="E860" s="1"/>
      <c r="F860" s="1"/>
    </row>
    <row r="861" spans="1:6" x14ac:dyDescent="0.25">
      <c r="A861" s="1"/>
      <c r="B861" s="1"/>
      <c r="C861" s="1"/>
      <c r="D861" s="1"/>
      <c r="E861" s="1"/>
      <c r="F861" s="1"/>
    </row>
    <row r="862" spans="1:6" x14ac:dyDescent="0.25">
      <c r="A862" s="1"/>
      <c r="B862" s="1"/>
      <c r="C862" s="1"/>
      <c r="D862" s="1"/>
      <c r="E862" s="1"/>
      <c r="F862" s="1"/>
    </row>
    <row r="863" spans="1:6" x14ac:dyDescent="0.25">
      <c r="A863" s="1"/>
      <c r="B863" s="1"/>
      <c r="C863" s="1"/>
      <c r="D863" s="1"/>
      <c r="E863" s="1"/>
      <c r="F863" s="1"/>
    </row>
    <row r="864" spans="1:6" x14ac:dyDescent="0.25">
      <c r="A864" s="1"/>
      <c r="B864" s="1"/>
      <c r="C864" s="1"/>
      <c r="D864" s="1"/>
      <c r="E864" s="1"/>
      <c r="F864" s="1"/>
    </row>
    <row r="865" spans="1:6" x14ac:dyDescent="0.25">
      <c r="A865" s="1"/>
      <c r="B865" s="1"/>
      <c r="C865" s="1"/>
      <c r="D865" s="1"/>
      <c r="E865" s="1"/>
      <c r="F865" s="1"/>
    </row>
    <row r="866" spans="1:6" x14ac:dyDescent="0.25">
      <c r="A866" s="1"/>
      <c r="B866" s="1"/>
      <c r="C866" s="1"/>
      <c r="D866" s="1"/>
      <c r="E866" s="1"/>
      <c r="F866" s="1"/>
    </row>
    <row r="867" spans="1:6" x14ac:dyDescent="0.25">
      <c r="A867" s="1"/>
      <c r="B867" s="1"/>
      <c r="C867" s="1"/>
      <c r="D867" s="1"/>
      <c r="E867" s="1"/>
      <c r="F867" s="1"/>
    </row>
    <row r="868" spans="1:6" x14ac:dyDescent="0.25">
      <c r="A868" s="1"/>
      <c r="B868" s="1"/>
      <c r="C868" s="1"/>
      <c r="D868" s="1"/>
      <c r="E868" s="1"/>
      <c r="F868" s="1"/>
    </row>
    <row r="869" spans="1:6" x14ac:dyDescent="0.25">
      <c r="A869" s="1"/>
      <c r="B869" s="1"/>
      <c r="C869" s="1"/>
      <c r="D869" s="1"/>
      <c r="E869" s="1"/>
      <c r="F869" s="1"/>
    </row>
    <row r="870" spans="1:6" x14ac:dyDescent="0.25">
      <c r="A870" s="1"/>
      <c r="B870" s="1"/>
      <c r="C870" s="1"/>
      <c r="D870" s="1"/>
      <c r="E870" s="1"/>
      <c r="F870" s="1"/>
    </row>
    <row r="871" spans="1:6" x14ac:dyDescent="0.25">
      <c r="A871" s="1"/>
      <c r="B871" s="1"/>
      <c r="C871" s="1"/>
      <c r="D871" s="1"/>
      <c r="E871" s="1"/>
      <c r="F871" s="1"/>
    </row>
    <row r="872" spans="1:6" x14ac:dyDescent="0.25">
      <c r="A872" s="1"/>
      <c r="B872" s="1"/>
      <c r="C872" s="1"/>
      <c r="D872" s="1"/>
      <c r="E872" s="1"/>
      <c r="F872" s="1"/>
    </row>
    <row r="873" spans="1:6" x14ac:dyDescent="0.25">
      <c r="A873" s="1"/>
      <c r="B873" s="1"/>
      <c r="C873" s="1"/>
      <c r="D873" s="1"/>
      <c r="E873" s="1"/>
      <c r="F873" s="1"/>
    </row>
    <row r="874" spans="1:6" x14ac:dyDescent="0.25">
      <c r="A874" s="1"/>
      <c r="B874" s="1"/>
      <c r="C874" s="1"/>
      <c r="D874" s="1"/>
      <c r="E874" s="1"/>
      <c r="F874" s="1"/>
    </row>
    <row r="875" spans="1:6" x14ac:dyDescent="0.25">
      <c r="A875" s="1"/>
      <c r="B875" s="1"/>
      <c r="C875" s="1"/>
      <c r="D875" s="1"/>
      <c r="E875" s="1"/>
      <c r="F875" s="1"/>
    </row>
    <row r="876" spans="1:6" x14ac:dyDescent="0.25">
      <c r="A876" s="1"/>
      <c r="B876" s="1"/>
      <c r="C876" s="1"/>
      <c r="D876" s="1"/>
      <c r="E876" s="1"/>
      <c r="F876" s="1"/>
    </row>
    <row r="877" spans="1:6" x14ac:dyDescent="0.25">
      <c r="A877" s="1"/>
      <c r="B877" s="1"/>
      <c r="C877" s="1"/>
      <c r="D877" s="1"/>
      <c r="E877" s="1"/>
      <c r="F877" s="1"/>
    </row>
    <row r="878" spans="1:6" x14ac:dyDescent="0.25">
      <c r="A878" s="1"/>
      <c r="B878" s="1"/>
      <c r="C878" s="1"/>
      <c r="D878" s="1"/>
      <c r="E878" s="1"/>
      <c r="F878" s="1"/>
    </row>
    <row r="879" spans="1:6" x14ac:dyDescent="0.25">
      <c r="A879" s="1"/>
      <c r="B879" s="1"/>
      <c r="C879" s="1"/>
      <c r="D879" s="1"/>
      <c r="E879" s="1"/>
      <c r="F879" s="1"/>
    </row>
    <row r="880" spans="1:6" x14ac:dyDescent="0.25">
      <c r="A880" s="1"/>
      <c r="B880" s="1"/>
      <c r="C880" s="1"/>
      <c r="D880" s="1"/>
      <c r="E880" s="1"/>
      <c r="F880" s="1"/>
    </row>
    <row r="881" spans="1:6" x14ac:dyDescent="0.25">
      <c r="A881" s="1"/>
      <c r="B881" s="1"/>
      <c r="C881" s="1"/>
      <c r="D881" s="1"/>
      <c r="E881" s="1"/>
      <c r="F881" s="1"/>
    </row>
    <row r="882" spans="1:6" x14ac:dyDescent="0.25">
      <c r="A882" s="1"/>
      <c r="B882" s="1"/>
      <c r="C882" s="1"/>
      <c r="D882" s="1"/>
      <c r="E882" s="1"/>
      <c r="F882" s="1"/>
    </row>
    <row r="883" spans="1:6" x14ac:dyDescent="0.25">
      <c r="A883" s="1"/>
      <c r="B883" s="1"/>
      <c r="C883" s="1"/>
      <c r="D883" s="1"/>
      <c r="E883" s="1"/>
      <c r="F883" s="1"/>
    </row>
    <row r="884" spans="1:6" x14ac:dyDescent="0.25">
      <c r="A884" s="1"/>
      <c r="B884" s="1"/>
      <c r="C884" s="1"/>
      <c r="D884" s="1"/>
      <c r="E884" s="1"/>
      <c r="F884" s="1"/>
    </row>
    <row r="885" spans="1:6" x14ac:dyDescent="0.25">
      <c r="A885" s="1"/>
      <c r="B885" s="1"/>
      <c r="C885" s="1"/>
      <c r="D885" s="1"/>
      <c r="E885" s="1"/>
      <c r="F885" s="1"/>
    </row>
    <row r="886" spans="1:6" x14ac:dyDescent="0.25">
      <c r="A886" s="1"/>
      <c r="B886" s="1"/>
      <c r="C886" s="1"/>
      <c r="D886" s="1"/>
      <c r="E886" s="1"/>
      <c r="F886" s="1"/>
    </row>
    <row r="887" spans="1:6" x14ac:dyDescent="0.25">
      <c r="A887" s="1"/>
      <c r="B887" s="1"/>
      <c r="C887" s="1"/>
      <c r="D887" s="1"/>
      <c r="E887" s="1"/>
      <c r="F887" s="1"/>
    </row>
    <row r="888" spans="1:6" x14ac:dyDescent="0.25">
      <c r="A888" s="1"/>
      <c r="B888" s="1"/>
      <c r="C888" s="1"/>
      <c r="D888" s="1"/>
      <c r="E888" s="1"/>
      <c r="F888" s="1"/>
    </row>
    <row r="889" spans="1:6" x14ac:dyDescent="0.25">
      <c r="A889" s="1"/>
      <c r="B889" s="1"/>
      <c r="C889" s="1"/>
      <c r="D889" s="1"/>
      <c r="E889" s="1"/>
      <c r="F889" s="1"/>
    </row>
    <row r="890" spans="1:6" x14ac:dyDescent="0.25">
      <c r="A890" s="1"/>
      <c r="B890" s="1"/>
      <c r="C890" s="1"/>
      <c r="D890" s="1"/>
      <c r="E890" s="1"/>
      <c r="F890" s="1"/>
    </row>
    <row r="891" spans="1:6" x14ac:dyDescent="0.25">
      <c r="A891" s="1"/>
      <c r="B891" s="1"/>
      <c r="C891" s="1"/>
      <c r="D891" s="1"/>
      <c r="E891" s="1"/>
      <c r="F891" s="1"/>
    </row>
    <row r="892" spans="1:6" x14ac:dyDescent="0.25">
      <c r="A892" s="1"/>
      <c r="B892" s="1"/>
      <c r="C892" s="1"/>
      <c r="D892" s="1"/>
      <c r="E892" s="1"/>
      <c r="F892" s="1"/>
    </row>
    <row r="893" spans="1:6" x14ac:dyDescent="0.25">
      <c r="A893" s="1"/>
      <c r="B893" s="1"/>
      <c r="C893" s="1"/>
      <c r="D893" s="1"/>
      <c r="E893" s="1"/>
      <c r="F893" s="1"/>
    </row>
    <row r="894" spans="1:6" x14ac:dyDescent="0.25">
      <c r="A894" s="1"/>
      <c r="B894" s="1"/>
      <c r="C894" s="1"/>
      <c r="D894" s="1"/>
      <c r="E894" s="1"/>
      <c r="F894" s="1"/>
    </row>
    <row r="895" spans="1:6" x14ac:dyDescent="0.25">
      <c r="A895" s="1"/>
      <c r="B895" s="1"/>
      <c r="C895" s="1"/>
      <c r="D895" s="1"/>
      <c r="E895" s="1"/>
      <c r="F895" s="1"/>
    </row>
    <row r="896" spans="1:6" x14ac:dyDescent="0.25">
      <c r="A896" s="1"/>
      <c r="B896" s="1"/>
      <c r="C896" s="1"/>
      <c r="D896" s="1"/>
      <c r="E896" s="1"/>
      <c r="F896" s="1"/>
    </row>
    <row r="897" spans="1:6" x14ac:dyDescent="0.25">
      <c r="A897" s="1"/>
      <c r="B897" s="1"/>
      <c r="C897" s="1"/>
      <c r="D897" s="1"/>
      <c r="E897" s="1"/>
      <c r="F897" s="1"/>
    </row>
    <row r="898" spans="1:6" x14ac:dyDescent="0.25">
      <c r="A898" s="1"/>
      <c r="B898" s="1"/>
      <c r="C898" s="1"/>
      <c r="D898" s="1"/>
      <c r="E898" s="1"/>
      <c r="F898" s="1"/>
    </row>
    <row r="899" spans="1:6" x14ac:dyDescent="0.25">
      <c r="A899" s="1"/>
      <c r="B899" s="1"/>
      <c r="C899" s="1"/>
      <c r="D899" s="1"/>
      <c r="E899" s="1"/>
      <c r="F899" s="1"/>
    </row>
    <row r="900" spans="1:6" x14ac:dyDescent="0.25">
      <c r="A900" s="1"/>
      <c r="B900" s="1"/>
      <c r="C900" s="1"/>
      <c r="D900" s="1"/>
      <c r="E900" s="1"/>
      <c r="F900" s="1"/>
    </row>
    <row r="901" spans="1:6" x14ac:dyDescent="0.25">
      <c r="A901" s="1"/>
      <c r="B901" s="1"/>
      <c r="C901" s="1"/>
      <c r="D901" s="1"/>
      <c r="E901" s="1"/>
      <c r="F901" s="1"/>
    </row>
    <row r="902" spans="1:6" x14ac:dyDescent="0.25">
      <c r="A902" s="1"/>
      <c r="B902" s="1"/>
      <c r="C902" s="1"/>
      <c r="D902" s="1"/>
      <c r="E902" s="1"/>
      <c r="F902" s="1"/>
    </row>
    <row r="903" spans="1:6" x14ac:dyDescent="0.25">
      <c r="A903" s="1"/>
      <c r="B903" s="1"/>
      <c r="C903" s="1"/>
      <c r="D903" s="1"/>
      <c r="E903" s="1"/>
      <c r="F903" s="1"/>
    </row>
    <row r="904" spans="1:6" x14ac:dyDescent="0.25">
      <c r="A904" s="1"/>
      <c r="B904" s="1"/>
      <c r="C904" s="1"/>
      <c r="D904" s="1"/>
      <c r="E904" s="1"/>
      <c r="F904" s="1"/>
    </row>
    <row r="905" spans="1:6" x14ac:dyDescent="0.25">
      <c r="A905" s="1"/>
      <c r="B905" s="1"/>
      <c r="C905" s="1"/>
      <c r="D905" s="1"/>
      <c r="E905" s="1"/>
      <c r="F905" s="1"/>
    </row>
    <row r="906" spans="1:6" x14ac:dyDescent="0.25">
      <c r="A906" s="1"/>
      <c r="B906" s="1"/>
      <c r="C906" s="1"/>
      <c r="D906" s="1"/>
      <c r="E906" s="1"/>
      <c r="F906" s="1"/>
    </row>
    <row r="907" spans="1:6" x14ac:dyDescent="0.25">
      <c r="A907" s="1"/>
      <c r="B907" s="1"/>
      <c r="C907" s="1"/>
      <c r="D907" s="1"/>
      <c r="E907" s="1"/>
      <c r="F907" s="1"/>
    </row>
    <row r="908" spans="1:6" x14ac:dyDescent="0.25">
      <c r="A908" s="1"/>
      <c r="B908" s="1"/>
      <c r="C908" s="1"/>
      <c r="D908" s="1"/>
      <c r="E908" s="1"/>
      <c r="F908" s="1"/>
    </row>
    <row r="909" spans="1:6" x14ac:dyDescent="0.25">
      <c r="A909" s="1"/>
      <c r="B909" s="1"/>
      <c r="C909" s="1"/>
      <c r="D909" s="1"/>
      <c r="E909" s="1"/>
      <c r="F909" s="1"/>
    </row>
    <row r="910" spans="1:6" x14ac:dyDescent="0.25">
      <c r="A910" s="1"/>
      <c r="B910" s="1"/>
      <c r="C910" s="1"/>
      <c r="D910" s="1"/>
      <c r="E910" s="1"/>
      <c r="F910" s="1"/>
    </row>
    <row r="911" spans="1:6" x14ac:dyDescent="0.25">
      <c r="A911" s="1"/>
      <c r="B911" s="1"/>
      <c r="C911" s="1"/>
      <c r="D911" s="1"/>
      <c r="E911" s="1"/>
      <c r="F911" s="1"/>
    </row>
    <row r="912" spans="1:6" x14ac:dyDescent="0.25">
      <c r="A912" s="1"/>
      <c r="B912" s="1"/>
      <c r="C912" s="1"/>
      <c r="D912" s="1"/>
      <c r="E912" s="1"/>
      <c r="F912" s="1"/>
    </row>
    <row r="913" spans="1:6" x14ac:dyDescent="0.25">
      <c r="A913" s="1"/>
      <c r="B913" s="1"/>
      <c r="C913" s="1"/>
      <c r="D913" s="1"/>
      <c r="E913" s="1"/>
      <c r="F913" s="1"/>
    </row>
    <row r="914" spans="1:6" x14ac:dyDescent="0.25">
      <c r="A914" s="1"/>
      <c r="B914" s="1"/>
      <c r="C914" s="1"/>
      <c r="D914" s="1"/>
      <c r="E914" s="1"/>
      <c r="F914" s="1"/>
    </row>
    <row r="915" spans="1:6" x14ac:dyDescent="0.25">
      <c r="A915" s="1"/>
      <c r="B915" s="1"/>
      <c r="C915" s="1"/>
      <c r="D915" s="1"/>
      <c r="E915" s="1"/>
      <c r="F915" s="1"/>
    </row>
    <row r="916" spans="1:6" x14ac:dyDescent="0.25">
      <c r="A916" s="1"/>
      <c r="B916" s="1"/>
      <c r="C916" s="1"/>
      <c r="D916" s="1"/>
      <c r="E916" s="1"/>
      <c r="F916" s="1"/>
    </row>
    <row r="917" spans="1:6" x14ac:dyDescent="0.25">
      <c r="A917" s="1"/>
      <c r="B917" s="1"/>
      <c r="C917" s="1"/>
      <c r="D917" s="1"/>
      <c r="E917" s="1"/>
      <c r="F917" s="1"/>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row r="928" spans="1:6" x14ac:dyDescent="0.25">
      <c r="A928" s="1"/>
      <c r="B928" s="1"/>
      <c r="C928" s="1"/>
      <c r="D928" s="1"/>
      <c r="E928" s="1"/>
      <c r="F928" s="1"/>
    </row>
    <row r="929" spans="1:6" x14ac:dyDescent="0.25">
      <c r="A929" s="1"/>
      <c r="B929" s="1"/>
      <c r="C929" s="1"/>
      <c r="D929" s="1"/>
      <c r="E929" s="1"/>
      <c r="F929" s="1"/>
    </row>
    <row r="930" spans="1:6" x14ac:dyDescent="0.25">
      <c r="A930" s="1"/>
      <c r="B930" s="1"/>
      <c r="C930" s="1"/>
      <c r="D930" s="1"/>
      <c r="E930" s="1"/>
      <c r="F930" s="1"/>
    </row>
    <row r="931" spans="1:6" x14ac:dyDescent="0.25">
      <c r="A931" s="1"/>
      <c r="B931" s="1"/>
      <c r="C931" s="1"/>
      <c r="D931" s="1"/>
      <c r="E931" s="1"/>
      <c r="F931" s="1"/>
    </row>
    <row r="932" spans="1:6" x14ac:dyDescent="0.25">
      <c r="A932" s="1"/>
      <c r="B932" s="1"/>
      <c r="C932" s="1"/>
      <c r="D932" s="1"/>
      <c r="E932" s="1"/>
      <c r="F932" s="1"/>
    </row>
    <row r="933" spans="1:6" x14ac:dyDescent="0.25">
      <c r="A933" s="1"/>
      <c r="B933" s="1"/>
      <c r="C933" s="1"/>
      <c r="D933" s="1"/>
      <c r="E933" s="1"/>
      <c r="F933" s="1"/>
    </row>
    <row r="934" spans="1:6" x14ac:dyDescent="0.25">
      <c r="A934" s="1"/>
      <c r="B934" s="1"/>
      <c r="C934" s="1"/>
      <c r="D934" s="1"/>
      <c r="E934" s="1"/>
      <c r="F934" s="1"/>
    </row>
    <row r="935" spans="1:6" x14ac:dyDescent="0.25">
      <c r="A935" s="1"/>
      <c r="B935" s="1"/>
      <c r="C935" s="1"/>
      <c r="D935" s="1"/>
      <c r="E935" s="1"/>
      <c r="F935" s="1"/>
    </row>
    <row r="936" spans="1:6" x14ac:dyDescent="0.25">
      <c r="A936" s="1"/>
      <c r="B936" s="1"/>
      <c r="C936" s="1"/>
      <c r="D936" s="1"/>
      <c r="E936" s="1"/>
      <c r="F936" s="1"/>
    </row>
    <row r="937" spans="1:6" x14ac:dyDescent="0.25">
      <c r="A937" s="1"/>
      <c r="B937" s="1"/>
      <c r="C937" s="1"/>
      <c r="D937" s="1"/>
      <c r="E937" s="1"/>
      <c r="F937" s="1"/>
    </row>
    <row r="938" spans="1:6" x14ac:dyDescent="0.25">
      <c r="A938" s="1"/>
      <c r="B938" s="1"/>
      <c r="C938" s="1"/>
      <c r="D938" s="1"/>
      <c r="E938" s="1"/>
      <c r="F938" s="1"/>
    </row>
    <row r="939" spans="1:6" x14ac:dyDescent="0.25">
      <c r="A939" s="1"/>
      <c r="B939" s="1"/>
      <c r="C939" s="1"/>
      <c r="D939" s="1"/>
      <c r="E939" s="1"/>
      <c r="F939" s="1"/>
    </row>
    <row r="940" spans="1:6" x14ac:dyDescent="0.25">
      <c r="A940" s="1"/>
      <c r="B940" s="1"/>
      <c r="C940" s="1"/>
      <c r="D940" s="1"/>
      <c r="E940" s="1"/>
      <c r="F940" s="1"/>
    </row>
    <row r="941" spans="1:6" x14ac:dyDescent="0.25">
      <c r="A941" s="1"/>
      <c r="B941" s="1"/>
      <c r="C941" s="1"/>
      <c r="D941" s="1"/>
      <c r="E941" s="1"/>
      <c r="F941" s="1"/>
    </row>
    <row r="942" spans="1:6" x14ac:dyDescent="0.25">
      <c r="A942" s="1"/>
      <c r="B942" s="1"/>
      <c r="C942" s="1"/>
      <c r="D942" s="1"/>
      <c r="E942" s="1"/>
      <c r="F942" s="1"/>
    </row>
    <row r="943" spans="1:6" x14ac:dyDescent="0.25">
      <c r="A943" s="1"/>
      <c r="B943" s="1"/>
      <c r="C943" s="1"/>
      <c r="D943" s="1"/>
      <c r="E943" s="1"/>
      <c r="F943" s="1"/>
    </row>
    <row r="944" spans="1:6" x14ac:dyDescent="0.25">
      <c r="A944" s="1"/>
      <c r="B944" s="1"/>
      <c r="C944" s="1"/>
      <c r="D944" s="1"/>
      <c r="E944" s="1"/>
      <c r="F944" s="1"/>
    </row>
    <row r="945" spans="1:6" x14ac:dyDescent="0.25">
      <c r="A945" s="1"/>
      <c r="B945" s="1"/>
      <c r="C945" s="1"/>
      <c r="D945" s="1"/>
      <c r="E945" s="1"/>
      <c r="F945" s="1"/>
    </row>
    <row r="946" spans="1:6" x14ac:dyDescent="0.25">
      <c r="A946" s="1"/>
      <c r="B946" s="1"/>
      <c r="C946" s="1"/>
      <c r="D946" s="1"/>
      <c r="E946" s="1"/>
      <c r="F946" s="1"/>
    </row>
    <row r="947" spans="1:6" x14ac:dyDescent="0.25">
      <c r="A947" s="1"/>
      <c r="B947" s="1"/>
      <c r="C947" s="1"/>
      <c r="D947" s="1"/>
      <c r="E947" s="1"/>
      <c r="F947" s="1"/>
    </row>
    <row r="948" spans="1:6" x14ac:dyDescent="0.25">
      <c r="A948" s="1"/>
      <c r="B948" s="1"/>
      <c r="C948" s="1"/>
      <c r="D948" s="1"/>
      <c r="E948" s="1"/>
      <c r="F948" s="1"/>
    </row>
    <row r="949" spans="1:6" x14ac:dyDescent="0.25">
      <c r="A949" s="1"/>
      <c r="B949" s="1"/>
      <c r="C949" s="1"/>
      <c r="D949" s="1"/>
      <c r="E949" s="1"/>
      <c r="F949" s="1"/>
    </row>
    <row r="950" spans="1:6" x14ac:dyDescent="0.25">
      <c r="A950" s="1"/>
      <c r="B950" s="1"/>
      <c r="C950" s="1"/>
      <c r="D950" s="1"/>
      <c r="E950" s="1"/>
      <c r="F950" s="1"/>
    </row>
    <row r="951" spans="1:6" x14ac:dyDescent="0.25">
      <c r="A951" s="1"/>
      <c r="B951" s="1"/>
      <c r="C951" s="1"/>
      <c r="D951" s="1"/>
      <c r="E951" s="1"/>
      <c r="F951" s="1"/>
    </row>
    <row r="952" spans="1:6" x14ac:dyDescent="0.25">
      <c r="A952" s="1"/>
      <c r="B952" s="1"/>
      <c r="C952" s="1"/>
      <c r="D952" s="1"/>
      <c r="E952" s="1"/>
      <c r="F952" s="1"/>
    </row>
    <row r="953" spans="1:6" x14ac:dyDescent="0.25">
      <c r="A953" s="1"/>
      <c r="B953" s="1"/>
      <c r="C953" s="1"/>
      <c r="D953" s="1"/>
      <c r="E953" s="1"/>
      <c r="F953" s="1"/>
    </row>
    <row r="954" spans="1:6" x14ac:dyDescent="0.25">
      <c r="A954" s="1"/>
      <c r="B954" s="1"/>
      <c r="C954" s="1"/>
      <c r="D954" s="1"/>
      <c r="E954" s="1"/>
      <c r="F954" s="1"/>
    </row>
    <row r="955" spans="1:6" x14ac:dyDescent="0.25">
      <c r="A955" s="1"/>
      <c r="B955" s="1"/>
      <c r="C955" s="1"/>
      <c r="D955" s="1"/>
      <c r="E955" s="1"/>
      <c r="F955" s="1"/>
    </row>
    <row r="956" spans="1:6" x14ac:dyDescent="0.25">
      <c r="A956" s="1"/>
      <c r="B956" s="1"/>
      <c r="C956" s="1"/>
      <c r="D956" s="1"/>
      <c r="E956" s="1"/>
      <c r="F956" s="1"/>
    </row>
    <row r="957" spans="1:6" x14ac:dyDescent="0.25">
      <c r="A957" s="1"/>
      <c r="B957" s="1"/>
      <c r="C957" s="1"/>
      <c r="D957" s="1"/>
      <c r="E957" s="1"/>
      <c r="F957" s="1"/>
    </row>
    <row r="958" spans="1:6" x14ac:dyDescent="0.25">
      <c r="A958" s="1"/>
      <c r="B958" s="1"/>
      <c r="C958" s="1"/>
      <c r="D958" s="1"/>
      <c r="E958" s="1"/>
      <c r="F958" s="1"/>
    </row>
    <row r="959" spans="1:6" x14ac:dyDescent="0.25">
      <c r="A959" s="1"/>
      <c r="B959" s="1"/>
      <c r="C959" s="1"/>
      <c r="D959" s="1"/>
      <c r="E959" s="1"/>
      <c r="F959" s="1"/>
    </row>
    <row r="960" spans="1:6" x14ac:dyDescent="0.25">
      <c r="A960" s="1"/>
      <c r="B960" s="1"/>
      <c r="C960" s="1"/>
      <c r="D960" s="1"/>
      <c r="E960" s="1"/>
      <c r="F960" s="1"/>
    </row>
    <row r="961" spans="1:6" x14ac:dyDescent="0.25">
      <c r="A961" s="1"/>
      <c r="B961" s="1"/>
      <c r="C961" s="1"/>
      <c r="D961" s="1"/>
      <c r="E961" s="1"/>
      <c r="F961" s="1"/>
    </row>
    <row r="962" spans="1:6" x14ac:dyDescent="0.25">
      <c r="A962" s="1"/>
      <c r="B962" s="1"/>
      <c r="C962" s="1"/>
      <c r="D962" s="1"/>
      <c r="E962" s="1"/>
      <c r="F962" s="1"/>
    </row>
    <row r="963" spans="1:6" x14ac:dyDescent="0.25">
      <c r="A963" s="1"/>
      <c r="B963" s="1"/>
      <c r="C963" s="1"/>
      <c r="D963" s="1"/>
      <c r="E963" s="1"/>
      <c r="F963" s="1"/>
    </row>
    <row r="964" spans="1:6" x14ac:dyDescent="0.25">
      <c r="A964" s="1"/>
      <c r="B964" s="1"/>
      <c r="C964" s="1"/>
      <c r="D964" s="1"/>
      <c r="E964" s="1"/>
      <c r="F964" s="1"/>
    </row>
    <row r="965" spans="1:6" x14ac:dyDescent="0.25">
      <c r="A965" s="1"/>
      <c r="B965" s="1"/>
      <c r="C965" s="1"/>
      <c r="D965" s="1"/>
      <c r="E965" s="1"/>
      <c r="F965" s="1"/>
    </row>
    <row r="966" spans="1:6" x14ac:dyDescent="0.25">
      <c r="A966" s="1"/>
      <c r="B966" s="1"/>
      <c r="C966" s="1"/>
      <c r="D966" s="1"/>
      <c r="E966" s="1"/>
      <c r="F966" s="1"/>
    </row>
    <row r="967" spans="1:6" x14ac:dyDescent="0.25">
      <c r="A967" s="1"/>
      <c r="B967" s="1"/>
      <c r="C967" s="1"/>
      <c r="D967" s="1"/>
      <c r="E967" s="1"/>
      <c r="F967" s="1"/>
    </row>
    <row r="968" spans="1:6" x14ac:dyDescent="0.25">
      <c r="A968" s="1"/>
      <c r="B968" s="1"/>
      <c r="C968" s="1"/>
      <c r="D968" s="1"/>
      <c r="E968" s="1"/>
      <c r="F968" s="1"/>
    </row>
    <row r="969" spans="1:6" x14ac:dyDescent="0.25">
      <c r="A969" s="1"/>
      <c r="B969" s="1"/>
      <c r="C969" s="1"/>
      <c r="D969" s="1"/>
      <c r="E969" s="1"/>
      <c r="F969" s="1"/>
    </row>
    <row r="970" spans="1:6" x14ac:dyDescent="0.25">
      <c r="A970" s="1"/>
      <c r="B970" s="1"/>
      <c r="C970" s="1"/>
      <c r="D970" s="1"/>
      <c r="E970" s="1"/>
      <c r="F970" s="1"/>
    </row>
    <row r="971" spans="1:6" x14ac:dyDescent="0.25">
      <c r="A971" s="1"/>
      <c r="B971" s="1"/>
      <c r="C971" s="1"/>
      <c r="D971" s="1"/>
      <c r="E971" s="1"/>
      <c r="F971" s="1"/>
    </row>
    <row r="972" spans="1:6" x14ac:dyDescent="0.25">
      <c r="A972" s="1"/>
      <c r="B972" s="1"/>
      <c r="C972" s="1"/>
      <c r="D972" s="1"/>
      <c r="E972" s="1"/>
      <c r="F972" s="1"/>
    </row>
    <row r="973" spans="1:6" x14ac:dyDescent="0.25">
      <c r="A973" s="1"/>
      <c r="B973" s="1"/>
      <c r="C973" s="1"/>
      <c r="D973" s="1"/>
      <c r="E973" s="1"/>
      <c r="F973" s="1"/>
    </row>
    <row r="974" spans="1:6" x14ac:dyDescent="0.25">
      <c r="A974" s="1"/>
      <c r="B974" s="1"/>
      <c r="C974" s="1"/>
      <c r="D974" s="1"/>
      <c r="E974" s="1"/>
      <c r="F974" s="1"/>
    </row>
    <row r="975" spans="1:6" x14ac:dyDescent="0.25">
      <c r="A975" s="1"/>
      <c r="B975" s="1"/>
      <c r="C975" s="1"/>
      <c r="D975" s="1"/>
      <c r="E975" s="1"/>
      <c r="F975" s="1"/>
    </row>
    <row r="976" spans="1:6" x14ac:dyDescent="0.25">
      <c r="A976" s="1"/>
      <c r="B976" s="1"/>
      <c r="C976" s="1"/>
      <c r="D976" s="1"/>
      <c r="E976" s="1"/>
      <c r="F976" s="1"/>
    </row>
    <row r="977" spans="1:6" x14ac:dyDescent="0.25">
      <c r="A977" s="1"/>
      <c r="B977" s="1"/>
      <c r="C977" s="1"/>
      <c r="D977" s="1"/>
      <c r="E977" s="1"/>
      <c r="F977" s="1"/>
    </row>
    <row r="978" spans="1:6" x14ac:dyDescent="0.25">
      <c r="A978" s="1"/>
      <c r="B978" s="1"/>
      <c r="C978" s="1"/>
      <c r="D978" s="1"/>
      <c r="E978" s="1"/>
      <c r="F978" s="1"/>
    </row>
    <row r="979" spans="1:6" x14ac:dyDescent="0.25">
      <c r="A979" s="1"/>
      <c r="B979" s="1"/>
      <c r="C979" s="1"/>
      <c r="D979" s="1"/>
      <c r="E979" s="1"/>
      <c r="F979" s="1"/>
    </row>
    <row r="980" spans="1:6" x14ac:dyDescent="0.25">
      <c r="A980" s="1"/>
      <c r="B980" s="1"/>
      <c r="C980" s="1"/>
      <c r="D980" s="1"/>
      <c r="E980" s="1"/>
      <c r="F980" s="1"/>
    </row>
    <row r="981" spans="1:6" x14ac:dyDescent="0.25">
      <c r="A981" s="1"/>
      <c r="B981" s="1"/>
      <c r="C981" s="1"/>
      <c r="D981" s="1"/>
      <c r="E981" s="1"/>
      <c r="F981" s="1"/>
    </row>
    <row r="982" spans="1:6" x14ac:dyDescent="0.25">
      <c r="A982" s="1"/>
      <c r="B982" s="1"/>
      <c r="C982" s="1"/>
      <c r="D982" s="1"/>
      <c r="E982" s="1"/>
      <c r="F982" s="1"/>
    </row>
    <row r="983" spans="1:6" x14ac:dyDescent="0.25">
      <c r="A983" s="1"/>
      <c r="B983" s="1"/>
      <c r="C983" s="1"/>
      <c r="D983" s="1"/>
      <c r="E983" s="1"/>
      <c r="F983" s="1"/>
    </row>
    <row r="984" spans="1:6" x14ac:dyDescent="0.25">
      <c r="A984" s="1"/>
      <c r="B984" s="1"/>
      <c r="C984" s="1"/>
      <c r="D984" s="1"/>
      <c r="E984" s="1"/>
      <c r="F984" s="1"/>
    </row>
    <row r="985" spans="1:6" x14ac:dyDescent="0.25">
      <c r="A985" s="1"/>
      <c r="B985" s="1"/>
      <c r="C985" s="1"/>
      <c r="D985" s="1"/>
      <c r="E985" s="1"/>
      <c r="F985" s="1"/>
    </row>
    <row r="986" spans="1:6" x14ac:dyDescent="0.25">
      <c r="A986" s="1"/>
      <c r="B986" s="1"/>
      <c r="C986" s="1"/>
      <c r="D986" s="1"/>
      <c r="E986" s="1"/>
      <c r="F986" s="1"/>
    </row>
    <row r="987" spans="1:6" x14ac:dyDescent="0.25">
      <c r="A987" s="1"/>
      <c r="B987" s="1"/>
      <c r="C987" s="1"/>
      <c r="D987" s="1"/>
      <c r="E987" s="1"/>
      <c r="F987" s="1"/>
    </row>
    <row r="988" spans="1:6" x14ac:dyDescent="0.25">
      <c r="A988" s="1"/>
      <c r="B988" s="1"/>
      <c r="C988" s="1"/>
      <c r="D988" s="1"/>
      <c r="E988" s="1"/>
      <c r="F988" s="1"/>
    </row>
    <row r="989" spans="1:6" x14ac:dyDescent="0.25">
      <c r="A989" s="1"/>
      <c r="B989" s="1"/>
      <c r="C989" s="1"/>
      <c r="D989" s="1"/>
      <c r="E989" s="1"/>
      <c r="F989" s="1"/>
    </row>
    <row r="990" spans="1:6" x14ac:dyDescent="0.25">
      <c r="A990" s="1"/>
      <c r="B990" s="1"/>
      <c r="C990" s="1"/>
      <c r="D990" s="1"/>
      <c r="E990" s="1"/>
      <c r="F990" s="1"/>
    </row>
    <row r="991" spans="1:6" x14ac:dyDescent="0.25">
      <c r="A991" s="1"/>
      <c r="B991" s="1"/>
      <c r="C991" s="1"/>
      <c r="D991" s="1"/>
      <c r="E991" s="1"/>
      <c r="F991" s="1"/>
    </row>
    <row r="992" spans="1:6" x14ac:dyDescent="0.25">
      <c r="A992" s="1"/>
      <c r="B992" s="1"/>
      <c r="C992" s="1"/>
      <c r="D992" s="1"/>
      <c r="E992" s="1"/>
      <c r="F992" s="1"/>
    </row>
    <row r="993" spans="1:6" x14ac:dyDescent="0.25">
      <c r="A993" s="1"/>
      <c r="B993" s="1"/>
      <c r="C993" s="1"/>
      <c r="D993" s="1"/>
      <c r="E993" s="1"/>
      <c r="F993" s="1"/>
    </row>
    <row r="994" spans="1:6" x14ac:dyDescent="0.25">
      <c r="A994" s="1"/>
      <c r="B994" s="1"/>
      <c r="C994" s="1"/>
      <c r="D994" s="1"/>
      <c r="E994" s="1"/>
      <c r="F994" s="1"/>
    </row>
    <row r="995" spans="1:6" x14ac:dyDescent="0.25">
      <c r="A995" s="1"/>
      <c r="B995" s="1"/>
      <c r="C995" s="1"/>
      <c r="D995" s="1"/>
      <c r="E995" s="1"/>
      <c r="F995" s="1"/>
    </row>
    <row r="996" spans="1:6" x14ac:dyDescent="0.25">
      <c r="A996" s="1"/>
      <c r="B996" s="1"/>
      <c r="C996" s="1"/>
      <c r="D996" s="1"/>
      <c r="E996" s="1"/>
      <c r="F996" s="1"/>
    </row>
    <row r="997" spans="1:6" x14ac:dyDescent="0.25">
      <c r="A997" s="1"/>
      <c r="B997" s="1"/>
      <c r="C997" s="1"/>
      <c r="D997" s="1"/>
      <c r="E997" s="1"/>
      <c r="F997" s="1"/>
    </row>
    <row r="998" spans="1:6" x14ac:dyDescent="0.25">
      <c r="A998" s="1"/>
      <c r="B998" s="1"/>
      <c r="C998" s="1"/>
      <c r="D998" s="1"/>
      <c r="E998" s="1"/>
      <c r="F998" s="1"/>
    </row>
    <row r="999" spans="1:6" x14ac:dyDescent="0.25">
      <c r="A999" s="1"/>
      <c r="B999" s="1"/>
      <c r="C999" s="1"/>
      <c r="D999" s="1"/>
      <c r="E999" s="1"/>
      <c r="F999" s="1"/>
    </row>
    <row r="1000" spans="1:6" x14ac:dyDescent="0.25">
      <c r="A1000" s="1"/>
      <c r="B1000" s="1"/>
      <c r="C1000" s="1"/>
      <c r="D1000" s="1"/>
      <c r="E1000" s="1"/>
      <c r="F1000" s="1"/>
    </row>
    <row r="1001" spans="1:6" x14ac:dyDescent="0.25">
      <c r="A1001" s="1"/>
      <c r="B1001" s="1"/>
      <c r="C1001" s="1"/>
      <c r="D1001" s="1"/>
      <c r="E1001" s="1"/>
      <c r="F1001" s="1"/>
    </row>
    <row r="1002" spans="1:6" x14ac:dyDescent="0.25">
      <c r="A1002" s="1"/>
      <c r="B1002" s="1"/>
      <c r="C1002" s="1"/>
      <c r="D1002" s="1"/>
      <c r="E1002" s="1"/>
      <c r="F1002" s="1"/>
    </row>
    <row r="1003" spans="1:6" x14ac:dyDescent="0.25">
      <c r="A1003" s="1"/>
      <c r="B1003" s="1"/>
      <c r="C1003" s="1"/>
      <c r="D1003" s="1"/>
      <c r="E1003" s="1"/>
      <c r="F1003" s="1"/>
    </row>
    <row r="1004" spans="1:6" x14ac:dyDescent="0.25">
      <c r="A1004" s="1"/>
      <c r="B1004" s="1"/>
      <c r="C1004" s="1"/>
      <c r="D1004" s="1"/>
      <c r="E1004" s="1"/>
      <c r="F1004" s="1"/>
    </row>
    <row r="1005" spans="1:6" x14ac:dyDescent="0.25">
      <c r="A1005" s="1"/>
      <c r="B1005" s="1"/>
      <c r="C1005" s="1"/>
      <c r="D1005" s="1"/>
      <c r="E1005" s="1"/>
      <c r="F1005" s="1"/>
    </row>
    <row r="1006" spans="1:6" x14ac:dyDescent="0.25">
      <c r="A1006" s="1"/>
      <c r="B1006" s="1"/>
      <c r="C1006" s="1"/>
      <c r="D1006" s="1"/>
      <c r="E1006" s="1"/>
      <c r="F1006" s="1"/>
    </row>
    <row r="1007" spans="1:6" x14ac:dyDescent="0.25">
      <c r="A1007" s="1"/>
      <c r="B1007" s="1"/>
      <c r="C1007" s="1"/>
      <c r="D1007" s="1"/>
      <c r="E1007" s="1"/>
      <c r="F1007" s="1"/>
    </row>
    <row r="1008" spans="1:6" x14ac:dyDescent="0.25">
      <c r="A1008" s="1"/>
      <c r="B1008" s="1"/>
      <c r="C1008" s="1"/>
      <c r="D1008" s="1"/>
      <c r="E1008" s="1"/>
      <c r="F1008" s="1"/>
    </row>
    <row r="1009" spans="1:6" x14ac:dyDescent="0.25">
      <c r="A1009" s="1"/>
      <c r="B1009" s="1"/>
      <c r="C1009" s="1"/>
      <c r="D1009" s="1"/>
      <c r="E1009" s="1"/>
      <c r="F1009" s="1"/>
    </row>
    <row r="1010" spans="1:6" x14ac:dyDescent="0.25">
      <c r="A1010" s="1"/>
      <c r="B1010" s="1"/>
      <c r="C1010" s="1"/>
      <c r="D1010" s="1"/>
      <c r="E1010" s="1"/>
      <c r="F1010" s="1"/>
    </row>
    <row r="1011" spans="1:6" x14ac:dyDescent="0.25">
      <c r="A1011" s="1"/>
      <c r="B1011" s="1"/>
      <c r="C1011" s="1"/>
      <c r="D1011" s="1"/>
      <c r="E1011" s="1"/>
      <c r="F1011" s="1"/>
    </row>
    <row r="1012" spans="1:6" x14ac:dyDescent="0.25">
      <c r="A1012" s="1"/>
      <c r="B1012" s="1"/>
      <c r="C1012" s="1"/>
      <c r="D1012" s="1"/>
      <c r="E1012" s="1"/>
      <c r="F1012" s="1"/>
    </row>
    <row r="1013" spans="1:6" x14ac:dyDescent="0.25">
      <c r="A1013" s="1"/>
      <c r="B1013" s="1"/>
      <c r="C1013" s="1"/>
      <c r="D1013" s="1"/>
      <c r="E1013" s="1"/>
      <c r="F1013" s="1"/>
    </row>
    <row r="1014" spans="1:6" x14ac:dyDescent="0.25">
      <c r="A1014" s="1"/>
      <c r="B1014" s="1"/>
      <c r="C1014" s="1"/>
      <c r="D1014" s="1"/>
      <c r="E1014" s="1"/>
      <c r="F1014" s="1"/>
    </row>
    <row r="1015" spans="1:6" x14ac:dyDescent="0.25">
      <c r="A1015" s="1"/>
      <c r="B1015" s="1"/>
      <c r="C1015" s="1"/>
      <c r="D1015" s="1"/>
      <c r="E1015" s="1"/>
      <c r="F1015" s="1"/>
    </row>
    <row r="1016" spans="1:6" x14ac:dyDescent="0.25">
      <c r="A1016" s="1"/>
      <c r="B1016" s="1"/>
      <c r="C1016" s="1"/>
      <c r="D1016" s="1"/>
      <c r="E1016" s="1"/>
      <c r="F1016" s="1"/>
    </row>
    <row r="1017" spans="1:6" x14ac:dyDescent="0.25">
      <c r="A1017" s="1"/>
      <c r="B1017" s="1"/>
      <c r="C1017" s="1"/>
      <c r="D1017" s="1"/>
      <c r="E1017" s="1"/>
      <c r="F1017" s="1"/>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row r="1028" spans="1:6" x14ac:dyDescent="0.25">
      <c r="A1028" s="1"/>
      <c r="B1028" s="1"/>
      <c r="C1028" s="1"/>
      <c r="D1028" s="1"/>
      <c r="E1028" s="1"/>
      <c r="F1028" s="1"/>
    </row>
    <row r="1029" spans="1:6" x14ac:dyDescent="0.25">
      <c r="A1029" s="1"/>
      <c r="B1029" s="1"/>
      <c r="C1029" s="1"/>
      <c r="D1029" s="1"/>
      <c r="E1029" s="1"/>
      <c r="F1029" s="1"/>
    </row>
    <row r="1030" spans="1:6" x14ac:dyDescent="0.25">
      <c r="A1030" s="1"/>
      <c r="B1030" s="1"/>
      <c r="C1030" s="1"/>
      <c r="D1030" s="1"/>
      <c r="E1030" s="1"/>
      <c r="F1030" s="1"/>
    </row>
    <row r="1031" spans="1:6" x14ac:dyDescent="0.25">
      <c r="A1031" s="1"/>
      <c r="B1031" s="1"/>
      <c r="C1031" s="1"/>
      <c r="D1031" s="1"/>
      <c r="E1031" s="1"/>
      <c r="F1031" s="1"/>
    </row>
    <row r="1032" spans="1:6" x14ac:dyDescent="0.25">
      <c r="A1032" s="1"/>
      <c r="B1032" s="1"/>
      <c r="C1032" s="1"/>
      <c r="D1032" s="1"/>
      <c r="E1032" s="1"/>
      <c r="F1032" s="1"/>
    </row>
    <row r="1033" spans="1:6" x14ac:dyDescent="0.25">
      <c r="A1033" s="1"/>
      <c r="B1033" s="1"/>
      <c r="C1033" s="1"/>
      <c r="D1033" s="1"/>
      <c r="E1033" s="1"/>
      <c r="F1033" s="1"/>
    </row>
    <row r="1034" spans="1:6" x14ac:dyDescent="0.25">
      <c r="A1034" s="1"/>
      <c r="B1034" s="1"/>
      <c r="C1034" s="1"/>
      <c r="D1034" s="1"/>
      <c r="E1034" s="1"/>
      <c r="F1034" s="1"/>
    </row>
    <row r="1035" spans="1:6" x14ac:dyDescent="0.25">
      <c r="A1035" s="1"/>
      <c r="B1035" s="1"/>
      <c r="C1035" s="1"/>
      <c r="D1035" s="1"/>
      <c r="E1035" s="1"/>
      <c r="F1035" s="1"/>
    </row>
    <row r="1036" spans="1:6" x14ac:dyDescent="0.25">
      <c r="A1036" s="1"/>
      <c r="B1036" s="1"/>
      <c r="C1036" s="1"/>
      <c r="D1036" s="1"/>
      <c r="E1036" s="1"/>
      <c r="F1036" s="1"/>
    </row>
    <row r="1037" spans="1:6" x14ac:dyDescent="0.25">
      <c r="A1037" s="1"/>
      <c r="B1037" s="1"/>
      <c r="C1037" s="1"/>
      <c r="D1037" s="1"/>
      <c r="E1037" s="1"/>
      <c r="F1037" s="1"/>
    </row>
    <row r="1038" spans="1:6" x14ac:dyDescent="0.25">
      <c r="A1038" s="1"/>
      <c r="B1038" s="1"/>
      <c r="C1038" s="1"/>
      <c r="D1038" s="1"/>
      <c r="E1038" s="1"/>
      <c r="F1038" s="1"/>
    </row>
    <row r="1039" spans="1:6" x14ac:dyDescent="0.25">
      <c r="A1039" s="1"/>
      <c r="B1039" s="1"/>
      <c r="C1039" s="1"/>
      <c r="D1039" s="1"/>
      <c r="E1039" s="1"/>
      <c r="F1039" s="1"/>
    </row>
    <row r="1040" spans="1:6" x14ac:dyDescent="0.25">
      <c r="A1040" s="1"/>
      <c r="B1040" s="1"/>
      <c r="C1040" s="1"/>
      <c r="D1040" s="1"/>
      <c r="E1040" s="1"/>
      <c r="F1040" s="1"/>
    </row>
    <row r="1041" spans="1:6" x14ac:dyDescent="0.25">
      <c r="A1041" s="1"/>
      <c r="B1041" s="1"/>
      <c r="C1041" s="1"/>
      <c r="D1041" s="1"/>
      <c r="E1041" s="1"/>
      <c r="F1041" s="1"/>
    </row>
    <row r="1042" spans="1:6" x14ac:dyDescent="0.25">
      <c r="A1042" s="1"/>
      <c r="B1042" s="1"/>
      <c r="C1042" s="1"/>
      <c r="D1042" s="1"/>
      <c r="E1042" s="1"/>
      <c r="F1042" s="1"/>
    </row>
    <row r="1043" spans="1:6" x14ac:dyDescent="0.25">
      <c r="A1043" s="1"/>
      <c r="B1043" s="1"/>
      <c r="C1043" s="1"/>
      <c r="D1043" s="1"/>
      <c r="E1043" s="1"/>
      <c r="F1043" s="1"/>
    </row>
    <row r="1044" spans="1:6" x14ac:dyDescent="0.25">
      <c r="A1044" s="1"/>
      <c r="B1044" s="1"/>
      <c r="C1044" s="1"/>
      <c r="D1044" s="1"/>
      <c r="E1044" s="1"/>
      <c r="F1044" s="1"/>
    </row>
    <row r="1045" spans="1:6" x14ac:dyDescent="0.25">
      <c r="A1045" s="1"/>
      <c r="B1045" s="1"/>
      <c r="C1045" s="1"/>
      <c r="D1045" s="1"/>
      <c r="E1045" s="1"/>
      <c r="F1045" s="1"/>
    </row>
    <row r="1046" spans="1:6" x14ac:dyDescent="0.25">
      <c r="A1046" s="1"/>
      <c r="B1046" s="1"/>
      <c r="C1046" s="1"/>
      <c r="D1046" s="1"/>
      <c r="E1046" s="1"/>
      <c r="F1046" s="1"/>
    </row>
    <row r="1047" spans="1:6" x14ac:dyDescent="0.25">
      <c r="A1047" s="1"/>
      <c r="B1047" s="1"/>
      <c r="C1047" s="1"/>
      <c r="D1047" s="1"/>
      <c r="E1047" s="1"/>
      <c r="F1047" s="1"/>
    </row>
    <row r="1048" spans="1:6" x14ac:dyDescent="0.25">
      <c r="A1048" s="1"/>
      <c r="B1048" s="1"/>
      <c r="C1048" s="1"/>
      <c r="D1048" s="1"/>
      <c r="E1048" s="1"/>
      <c r="F1048" s="1"/>
    </row>
    <row r="1049" spans="1:6" x14ac:dyDescent="0.25">
      <c r="A1049" s="1"/>
      <c r="B1049" s="1"/>
      <c r="C1049" s="1"/>
      <c r="D1049" s="1"/>
      <c r="E1049" s="1"/>
      <c r="F1049" s="1"/>
    </row>
    <row r="1050" spans="1:6" x14ac:dyDescent="0.25">
      <c r="A1050" s="1"/>
      <c r="B1050" s="1"/>
      <c r="C1050" s="1"/>
      <c r="D1050" s="1"/>
      <c r="E1050" s="1"/>
      <c r="F1050" s="1"/>
    </row>
    <row r="1051" spans="1:6" x14ac:dyDescent="0.25">
      <c r="A1051" s="1"/>
      <c r="B1051" s="1"/>
      <c r="C1051" s="1"/>
      <c r="D1051" s="1"/>
      <c r="E1051" s="1"/>
      <c r="F1051" s="1"/>
    </row>
    <row r="1052" spans="1:6" x14ac:dyDescent="0.25">
      <c r="A1052" s="1"/>
      <c r="B1052" s="1"/>
      <c r="C1052" s="1"/>
      <c r="D1052" s="1"/>
      <c r="E1052" s="1"/>
      <c r="F1052" s="1"/>
    </row>
    <row r="1053" spans="1:6" x14ac:dyDescent="0.25">
      <c r="A1053" s="1"/>
      <c r="B1053" s="1"/>
      <c r="C1053" s="1"/>
      <c r="D1053" s="1"/>
      <c r="E1053" s="1"/>
      <c r="F1053" s="1"/>
    </row>
    <row r="1054" spans="1:6" x14ac:dyDescent="0.25">
      <c r="A1054" s="1"/>
      <c r="B1054" s="1"/>
      <c r="C1054" s="1"/>
      <c r="D1054" s="1"/>
      <c r="E1054" s="1"/>
      <c r="F1054" s="1"/>
    </row>
    <row r="1055" spans="1:6" x14ac:dyDescent="0.25">
      <c r="A1055" s="1"/>
      <c r="B1055" s="1"/>
      <c r="C1055" s="1"/>
      <c r="D1055" s="1"/>
      <c r="E1055" s="1"/>
      <c r="F1055" s="1"/>
    </row>
    <row r="1056" spans="1:6" x14ac:dyDescent="0.25">
      <c r="A1056" s="1"/>
      <c r="B1056" s="1"/>
      <c r="C1056" s="1"/>
      <c r="D1056" s="1"/>
      <c r="E1056" s="1"/>
      <c r="F1056" s="1"/>
    </row>
    <row r="1057" spans="1:6" x14ac:dyDescent="0.25">
      <c r="A1057" s="1"/>
      <c r="B1057" s="1"/>
      <c r="C1057" s="1"/>
      <c r="D1057" s="1"/>
      <c r="E1057" s="1"/>
      <c r="F1057" s="1"/>
    </row>
    <row r="1058" spans="1:6" x14ac:dyDescent="0.25">
      <c r="A1058" s="1"/>
      <c r="B1058" s="1"/>
      <c r="C1058" s="1"/>
      <c r="D1058" s="1"/>
      <c r="E1058" s="1"/>
      <c r="F1058" s="1"/>
    </row>
    <row r="1059" spans="1:6" x14ac:dyDescent="0.25">
      <c r="A1059" s="1"/>
      <c r="B1059" s="1"/>
      <c r="C1059" s="1"/>
      <c r="D1059" s="1"/>
      <c r="E1059" s="1"/>
      <c r="F1059" s="1"/>
    </row>
    <row r="1060" spans="1:6" x14ac:dyDescent="0.25">
      <c r="A1060" s="1"/>
      <c r="B1060" s="1"/>
      <c r="C1060" s="1"/>
      <c r="D1060" s="1"/>
      <c r="E1060" s="1"/>
      <c r="F1060" s="1"/>
    </row>
    <row r="1061" spans="1:6" x14ac:dyDescent="0.25">
      <c r="A1061" s="1"/>
      <c r="B1061" s="1"/>
      <c r="C1061" s="1"/>
      <c r="D1061" s="1"/>
      <c r="E1061" s="1"/>
      <c r="F1061" s="1"/>
    </row>
    <row r="1062" spans="1:6" x14ac:dyDescent="0.25">
      <c r="A1062" s="1"/>
      <c r="B1062" s="1"/>
      <c r="C1062" s="1"/>
      <c r="D1062" s="1"/>
      <c r="E1062" s="1"/>
      <c r="F1062" s="1"/>
    </row>
    <row r="1063" spans="1:6" x14ac:dyDescent="0.25">
      <c r="A1063" s="1"/>
      <c r="B1063" s="1"/>
      <c r="C1063" s="1"/>
      <c r="D1063" s="1"/>
      <c r="E1063" s="1"/>
      <c r="F1063" s="1"/>
    </row>
    <row r="1064" spans="1:6" x14ac:dyDescent="0.25">
      <c r="A1064" s="1"/>
      <c r="B1064" s="1"/>
      <c r="C1064" s="1"/>
      <c r="D1064" s="1"/>
      <c r="E1064" s="1"/>
      <c r="F1064" s="1"/>
    </row>
    <row r="1065" spans="1:6" x14ac:dyDescent="0.25">
      <c r="A1065" s="1"/>
      <c r="B1065" s="1"/>
      <c r="C1065" s="1"/>
      <c r="D1065" s="1"/>
      <c r="E1065" s="1"/>
      <c r="F1065" s="1"/>
    </row>
    <row r="1066" spans="1:6" x14ac:dyDescent="0.25">
      <c r="A1066" s="1"/>
      <c r="B1066" s="1"/>
      <c r="C1066" s="1"/>
      <c r="D1066" s="1"/>
      <c r="E1066" s="1"/>
      <c r="F1066" s="1"/>
    </row>
    <row r="1067" spans="1:6" x14ac:dyDescent="0.25">
      <c r="A1067" s="1"/>
      <c r="B1067" s="1"/>
      <c r="C1067" s="1"/>
      <c r="D1067" s="1"/>
      <c r="E1067" s="1"/>
      <c r="F1067" s="1"/>
    </row>
    <row r="1068" spans="1:6" x14ac:dyDescent="0.25">
      <c r="A1068" s="1"/>
      <c r="B1068" s="1"/>
      <c r="C1068" s="1"/>
      <c r="D1068" s="1"/>
      <c r="E1068" s="1"/>
      <c r="F1068" s="1"/>
    </row>
    <row r="1069" spans="1:6" x14ac:dyDescent="0.25">
      <c r="A1069" s="1"/>
      <c r="B1069" s="1"/>
      <c r="C1069" s="1"/>
      <c r="D1069" s="1"/>
      <c r="E1069" s="1"/>
      <c r="F1069" s="1"/>
    </row>
    <row r="1070" spans="1:6" x14ac:dyDescent="0.25">
      <c r="A1070" s="1"/>
      <c r="B1070" s="1"/>
      <c r="C1070" s="1"/>
      <c r="D1070" s="1"/>
      <c r="E1070" s="1"/>
      <c r="F1070" s="1"/>
    </row>
    <row r="1071" spans="1:6" x14ac:dyDescent="0.25">
      <c r="A1071" s="1"/>
      <c r="B1071" s="1"/>
      <c r="C1071" s="1"/>
      <c r="D1071" s="1"/>
      <c r="E1071" s="1"/>
      <c r="F1071" s="1"/>
    </row>
    <row r="1072" spans="1:6" x14ac:dyDescent="0.25">
      <c r="A1072" s="1"/>
      <c r="B1072" s="1"/>
      <c r="C1072" s="1"/>
      <c r="D1072" s="1"/>
      <c r="E1072" s="1"/>
      <c r="F1072" s="1"/>
    </row>
    <row r="1073" spans="1:6" x14ac:dyDescent="0.25">
      <c r="A1073" s="1"/>
      <c r="B1073" s="1"/>
      <c r="C1073" s="1"/>
      <c r="D1073" s="1"/>
      <c r="E1073" s="1"/>
      <c r="F1073" s="1"/>
    </row>
    <row r="1074" spans="1:6" x14ac:dyDescent="0.25">
      <c r="A1074" s="1"/>
      <c r="B1074" s="1"/>
      <c r="C1074" s="1"/>
      <c r="D1074" s="1"/>
      <c r="E1074" s="1"/>
      <c r="F1074" s="1"/>
    </row>
    <row r="1075" spans="1:6" x14ac:dyDescent="0.25">
      <c r="A1075" s="1"/>
      <c r="B1075" s="1"/>
      <c r="C1075" s="1"/>
      <c r="D1075" s="1"/>
      <c r="E1075" s="1"/>
      <c r="F1075" s="1"/>
    </row>
    <row r="1076" spans="1:6" x14ac:dyDescent="0.25">
      <c r="A1076" s="1"/>
      <c r="B1076" s="1"/>
      <c r="C1076" s="1"/>
      <c r="D1076" s="1"/>
      <c r="E1076" s="1"/>
      <c r="F1076" s="1"/>
    </row>
    <row r="1077" spans="1:6" x14ac:dyDescent="0.25">
      <c r="A1077" s="1"/>
      <c r="B1077" s="1"/>
      <c r="C1077" s="1"/>
      <c r="D1077" s="1"/>
      <c r="E1077" s="1"/>
      <c r="F1077" s="1"/>
    </row>
    <row r="1078" spans="1:6" x14ac:dyDescent="0.25">
      <c r="A1078" s="1"/>
      <c r="B1078" s="1"/>
      <c r="C1078" s="1"/>
      <c r="D1078" s="1"/>
      <c r="E1078" s="1"/>
      <c r="F1078" s="1"/>
    </row>
    <row r="1079" spans="1:6" x14ac:dyDescent="0.25">
      <c r="A1079" s="1"/>
      <c r="B1079" s="1"/>
      <c r="C1079" s="1"/>
      <c r="D1079" s="1"/>
      <c r="E1079" s="1"/>
      <c r="F1079" s="1"/>
    </row>
    <row r="1080" spans="1:6" x14ac:dyDescent="0.25">
      <c r="A1080" s="1"/>
      <c r="B1080" s="1"/>
      <c r="C1080" s="1"/>
      <c r="D1080" s="1"/>
      <c r="E1080" s="1"/>
      <c r="F1080" s="1"/>
    </row>
    <row r="1081" spans="1:6" x14ac:dyDescent="0.25">
      <c r="A1081" s="1"/>
      <c r="B1081" s="1"/>
      <c r="C1081" s="1"/>
      <c r="D1081" s="1"/>
      <c r="E1081" s="1"/>
      <c r="F1081" s="1"/>
    </row>
    <row r="1082" spans="1:6" x14ac:dyDescent="0.25">
      <c r="A1082" s="1"/>
      <c r="B1082" s="1"/>
      <c r="C1082" s="1"/>
      <c r="D1082" s="1"/>
      <c r="E1082" s="1"/>
      <c r="F1082" s="1"/>
    </row>
    <row r="1083" spans="1:6" x14ac:dyDescent="0.25">
      <c r="A1083" s="1"/>
      <c r="B1083" s="1"/>
      <c r="C1083" s="1"/>
      <c r="D1083" s="1"/>
      <c r="E1083" s="1"/>
      <c r="F1083" s="1"/>
    </row>
    <row r="1084" spans="1:6" x14ac:dyDescent="0.25">
      <c r="A1084" s="1"/>
      <c r="B1084" s="1"/>
      <c r="C1084" s="1"/>
      <c r="D1084" s="1"/>
      <c r="E1084" s="1"/>
      <c r="F1084" s="1"/>
    </row>
    <row r="1085" spans="1:6" x14ac:dyDescent="0.25">
      <c r="A1085" s="1"/>
      <c r="B1085" s="1"/>
      <c r="C1085" s="1"/>
      <c r="D1085" s="1"/>
      <c r="E1085" s="1"/>
      <c r="F1085" s="1"/>
    </row>
    <row r="1086" spans="1:6" x14ac:dyDescent="0.25">
      <c r="A1086" s="1"/>
      <c r="B1086" s="1"/>
      <c r="C1086" s="1"/>
      <c r="D1086" s="1"/>
      <c r="E1086" s="1"/>
      <c r="F1086" s="1"/>
    </row>
    <row r="1087" spans="1:6" x14ac:dyDescent="0.25">
      <c r="A1087" s="1"/>
      <c r="B1087" s="1"/>
      <c r="C1087" s="1"/>
      <c r="D1087" s="1"/>
      <c r="E1087" s="1"/>
      <c r="F1087" s="1"/>
    </row>
    <row r="1088" spans="1:6" x14ac:dyDescent="0.25">
      <c r="A1088" s="1"/>
      <c r="B1088" s="1"/>
      <c r="C1088" s="1"/>
      <c r="D1088" s="1"/>
      <c r="E1088" s="1"/>
      <c r="F1088" s="1"/>
    </row>
    <row r="1089" spans="1:6" x14ac:dyDescent="0.25">
      <c r="A1089" s="1"/>
      <c r="B1089" s="1"/>
      <c r="C1089" s="1"/>
      <c r="D1089" s="1"/>
      <c r="E1089" s="1"/>
      <c r="F1089" s="1"/>
    </row>
    <row r="1090" spans="1:6" x14ac:dyDescent="0.25">
      <c r="A1090" s="1"/>
      <c r="B1090" s="1"/>
      <c r="C1090" s="1"/>
      <c r="D1090" s="1"/>
      <c r="E1090" s="1"/>
      <c r="F1090" s="1"/>
    </row>
    <row r="1091" spans="1:6" x14ac:dyDescent="0.25">
      <c r="A1091" s="1"/>
      <c r="B1091" s="1"/>
      <c r="C1091" s="1"/>
      <c r="D1091" s="1"/>
      <c r="E1091" s="1"/>
      <c r="F1091" s="1"/>
    </row>
    <row r="1092" spans="1:6" x14ac:dyDescent="0.25">
      <c r="A1092" s="1"/>
      <c r="B1092" s="1"/>
      <c r="C1092" s="1"/>
      <c r="D1092" s="1"/>
      <c r="E1092" s="1"/>
      <c r="F1092" s="1"/>
    </row>
    <row r="1093" spans="1:6" x14ac:dyDescent="0.25">
      <c r="A1093" s="1"/>
      <c r="B1093" s="1"/>
      <c r="C1093" s="1"/>
      <c r="D1093" s="1"/>
      <c r="E1093" s="1"/>
      <c r="F1093" s="1"/>
    </row>
    <row r="1094" spans="1:6" x14ac:dyDescent="0.25">
      <c r="A1094" s="1"/>
      <c r="B1094" s="1"/>
      <c r="C1094" s="1"/>
      <c r="D1094" s="1"/>
      <c r="E1094" s="1"/>
      <c r="F1094" s="1"/>
    </row>
    <row r="1095" spans="1:6" x14ac:dyDescent="0.25">
      <c r="A1095" s="1"/>
      <c r="B1095" s="1"/>
      <c r="C1095" s="1"/>
      <c r="D1095" s="1"/>
      <c r="E1095" s="1"/>
      <c r="F1095" s="1"/>
    </row>
    <row r="1096" spans="1:6" x14ac:dyDescent="0.25">
      <c r="A1096" s="1"/>
      <c r="B1096" s="1"/>
      <c r="C1096" s="1"/>
      <c r="D1096" s="1"/>
      <c r="E1096" s="1"/>
      <c r="F1096" s="1"/>
    </row>
    <row r="1097" spans="1:6" x14ac:dyDescent="0.25">
      <c r="A1097" s="1"/>
      <c r="B1097" s="1"/>
      <c r="C1097" s="1"/>
      <c r="D1097" s="1"/>
      <c r="E1097" s="1"/>
      <c r="F1097" s="1"/>
    </row>
    <row r="1098" spans="1:6" x14ac:dyDescent="0.25">
      <c r="A1098" s="1"/>
      <c r="B1098" s="1"/>
      <c r="C1098" s="1"/>
      <c r="D1098" s="1"/>
      <c r="E1098" s="1"/>
      <c r="F1098" s="1"/>
    </row>
    <row r="1099" spans="1:6" x14ac:dyDescent="0.25">
      <c r="A1099" s="1"/>
      <c r="B1099" s="1"/>
      <c r="C1099" s="1"/>
      <c r="D1099" s="1"/>
      <c r="E1099" s="1"/>
      <c r="F1099" s="1"/>
    </row>
    <row r="1100" spans="1:6" x14ac:dyDescent="0.25">
      <c r="A1100" s="1"/>
      <c r="B1100" s="1"/>
      <c r="C1100" s="1"/>
      <c r="D1100" s="1"/>
      <c r="E1100" s="1"/>
      <c r="F1100" s="1"/>
    </row>
    <row r="1101" spans="1:6" x14ac:dyDescent="0.25">
      <c r="A1101" s="1"/>
      <c r="B1101" s="1"/>
      <c r="C1101" s="1"/>
      <c r="D1101" s="1"/>
      <c r="E1101" s="1"/>
      <c r="F1101" s="1"/>
    </row>
    <row r="1102" spans="1:6" x14ac:dyDescent="0.25">
      <c r="A1102" s="1"/>
      <c r="B1102" s="1"/>
      <c r="C1102" s="1"/>
      <c r="D1102" s="1"/>
      <c r="E1102" s="1"/>
      <c r="F1102" s="1"/>
    </row>
    <row r="1103" spans="1:6" x14ac:dyDescent="0.25">
      <c r="A1103" s="1"/>
      <c r="B1103" s="1"/>
      <c r="C1103" s="1"/>
      <c r="D1103" s="1"/>
      <c r="E1103" s="1"/>
      <c r="F1103" s="1"/>
    </row>
    <row r="1104" spans="1:6" x14ac:dyDescent="0.25">
      <c r="A1104" s="1"/>
      <c r="B1104" s="1"/>
      <c r="C1104" s="1"/>
      <c r="D1104" s="1"/>
      <c r="E1104" s="1"/>
      <c r="F1104" s="1"/>
    </row>
    <row r="1105" spans="1:6" x14ac:dyDescent="0.25">
      <c r="A1105" s="1"/>
      <c r="B1105" s="1"/>
      <c r="C1105" s="1"/>
      <c r="D1105" s="1"/>
      <c r="E1105" s="1"/>
      <c r="F1105" s="1"/>
    </row>
    <row r="1106" spans="1:6" x14ac:dyDescent="0.25">
      <c r="A1106" s="1"/>
      <c r="B1106" s="1"/>
      <c r="C1106" s="1"/>
      <c r="D1106" s="1"/>
      <c r="E1106" s="1"/>
      <c r="F1106" s="1"/>
    </row>
    <row r="1107" spans="1:6" x14ac:dyDescent="0.25">
      <c r="A1107" s="1"/>
      <c r="B1107" s="1"/>
      <c r="C1107" s="1"/>
      <c r="D1107" s="1"/>
      <c r="E1107" s="1"/>
      <c r="F1107" s="1"/>
    </row>
    <row r="1108" spans="1:6" x14ac:dyDescent="0.25">
      <c r="A1108" s="1"/>
      <c r="B1108" s="1"/>
      <c r="C1108" s="1"/>
      <c r="D1108" s="1"/>
      <c r="E1108" s="1"/>
      <c r="F1108" s="1"/>
    </row>
    <row r="1109" spans="1:6" x14ac:dyDescent="0.25">
      <c r="A1109" s="1"/>
      <c r="B1109" s="1"/>
      <c r="C1109" s="1"/>
      <c r="D1109" s="1"/>
      <c r="E1109" s="1"/>
      <c r="F1109" s="1"/>
    </row>
    <row r="1110" spans="1:6" x14ac:dyDescent="0.25">
      <c r="A1110" s="1"/>
      <c r="B1110" s="1"/>
      <c r="C1110" s="1"/>
      <c r="D1110" s="1"/>
      <c r="E1110" s="1"/>
      <c r="F1110" s="1"/>
    </row>
    <row r="1111" spans="1:6" x14ac:dyDescent="0.25">
      <c r="A1111" s="1"/>
      <c r="B1111" s="1"/>
      <c r="C1111" s="1"/>
      <c r="D1111" s="1"/>
      <c r="E1111" s="1"/>
      <c r="F1111" s="1"/>
    </row>
    <row r="1112" spans="1:6" x14ac:dyDescent="0.25">
      <c r="A1112" s="1"/>
      <c r="B1112" s="1"/>
      <c r="C1112" s="1"/>
      <c r="D1112" s="1"/>
      <c r="E1112" s="1"/>
      <c r="F1112" s="1"/>
    </row>
    <row r="1113" spans="1:6" x14ac:dyDescent="0.25">
      <c r="A1113" s="1"/>
      <c r="B1113" s="1"/>
      <c r="C1113" s="1"/>
      <c r="D1113" s="1"/>
      <c r="E1113" s="1"/>
      <c r="F1113" s="1"/>
    </row>
    <row r="1114" spans="1:6" x14ac:dyDescent="0.25">
      <c r="A1114" s="1"/>
      <c r="B1114" s="1"/>
      <c r="C1114" s="1"/>
      <c r="D1114" s="1"/>
      <c r="E1114" s="1"/>
      <c r="F1114" s="1"/>
    </row>
    <row r="1115" spans="1:6" x14ac:dyDescent="0.25">
      <c r="A1115" s="1"/>
      <c r="B1115" s="1"/>
      <c r="C1115" s="1"/>
      <c r="D1115" s="1"/>
      <c r="E1115" s="1"/>
      <c r="F1115" s="1"/>
    </row>
    <row r="1116" spans="1:6" x14ac:dyDescent="0.25">
      <c r="A1116" s="1"/>
      <c r="B1116" s="1"/>
      <c r="C1116" s="1"/>
      <c r="D1116" s="1"/>
      <c r="E1116" s="1"/>
      <c r="F1116" s="1"/>
    </row>
    <row r="1117" spans="1:6" x14ac:dyDescent="0.25">
      <c r="A1117" s="1"/>
      <c r="B1117" s="1"/>
      <c r="C1117" s="1"/>
      <c r="D1117" s="1"/>
      <c r="E1117" s="1"/>
      <c r="F1117" s="1"/>
    </row>
    <row r="1118" spans="1:6" x14ac:dyDescent="0.25">
      <c r="A1118" s="1"/>
      <c r="B1118" s="1"/>
      <c r="C1118" s="1"/>
      <c r="D1118" s="1"/>
      <c r="E1118" s="1"/>
      <c r="F1118" s="1"/>
    </row>
    <row r="1119" spans="1:6" x14ac:dyDescent="0.25">
      <c r="A1119" s="1"/>
      <c r="B1119" s="1"/>
      <c r="C1119" s="1"/>
      <c r="D1119" s="1"/>
      <c r="E1119" s="1"/>
      <c r="F1119" s="1"/>
    </row>
    <row r="1120" spans="1:6" x14ac:dyDescent="0.25">
      <c r="A1120" s="1"/>
      <c r="B1120" s="1"/>
      <c r="C1120" s="1"/>
      <c r="D1120" s="1"/>
      <c r="E1120" s="1"/>
      <c r="F1120" s="1"/>
    </row>
    <row r="1121" spans="1:6" x14ac:dyDescent="0.25">
      <c r="A1121" s="1"/>
      <c r="B1121" s="1"/>
      <c r="C1121" s="1"/>
      <c r="D1121" s="1"/>
      <c r="E1121" s="1"/>
      <c r="F1121" s="1"/>
    </row>
    <row r="1122" spans="1:6" x14ac:dyDescent="0.25">
      <c r="A1122" s="1"/>
      <c r="B1122" s="1"/>
      <c r="C1122" s="1"/>
      <c r="D1122" s="1"/>
      <c r="E1122" s="1"/>
      <c r="F1122" s="1"/>
    </row>
    <row r="1123" spans="1:6" x14ac:dyDescent="0.25">
      <c r="A1123" s="1"/>
      <c r="B1123" s="1"/>
      <c r="C1123" s="1"/>
      <c r="D1123" s="1"/>
      <c r="E1123" s="1"/>
      <c r="F1123" s="1"/>
    </row>
    <row r="1124" spans="1:6" x14ac:dyDescent="0.25">
      <c r="A1124" s="1"/>
      <c r="B1124" s="1"/>
      <c r="C1124" s="1"/>
      <c r="D1124" s="1"/>
      <c r="E1124" s="1"/>
      <c r="F1124" s="1"/>
    </row>
    <row r="1125" spans="1:6" x14ac:dyDescent="0.25">
      <c r="A1125" s="1"/>
      <c r="B1125" s="1"/>
      <c r="C1125" s="1"/>
      <c r="D1125" s="1"/>
      <c r="E1125" s="1"/>
      <c r="F1125" s="1"/>
    </row>
    <row r="1126" spans="1:6" x14ac:dyDescent="0.25">
      <c r="A1126" s="1"/>
      <c r="B1126" s="1"/>
      <c r="C1126" s="1"/>
      <c r="D1126" s="1"/>
      <c r="E1126" s="1"/>
      <c r="F1126" s="1"/>
    </row>
    <row r="1127" spans="1:6" x14ac:dyDescent="0.25">
      <c r="A1127" s="1"/>
      <c r="B1127" s="1"/>
      <c r="C1127" s="1"/>
      <c r="D1127" s="1"/>
      <c r="E1127" s="1"/>
      <c r="F1127" s="1"/>
    </row>
    <row r="1128" spans="1:6" x14ac:dyDescent="0.25">
      <c r="A1128" s="1"/>
      <c r="B1128" s="1"/>
      <c r="C1128" s="1"/>
      <c r="D1128" s="1"/>
      <c r="E1128" s="1"/>
      <c r="F1128" s="1"/>
    </row>
    <row r="1129" spans="1:6" x14ac:dyDescent="0.25">
      <c r="A1129" s="1"/>
      <c r="B1129" s="1"/>
      <c r="C1129" s="1"/>
      <c r="D1129" s="1"/>
      <c r="E1129" s="1"/>
      <c r="F1129" s="1"/>
    </row>
    <row r="1130" spans="1:6" x14ac:dyDescent="0.25">
      <c r="A1130" s="1"/>
      <c r="B1130" s="1"/>
      <c r="C1130" s="1"/>
      <c r="D1130" s="1"/>
      <c r="E1130" s="1"/>
      <c r="F1130" s="1"/>
    </row>
    <row r="1131" spans="1:6" x14ac:dyDescent="0.25">
      <c r="A1131" s="1"/>
      <c r="B1131" s="1"/>
      <c r="C1131" s="1"/>
      <c r="D1131" s="1"/>
      <c r="E1131" s="1"/>
      <c r="F1131" s="1"/>
    </row>
    <row r="1132" spans="1:6" x14ac:dyDescent="0.25">
      <c r="A1132" s="1"/>
      <c r="B1132" s="1"/>
      <c r="C1132" s="1"/>
      <c r="D1132" s="1"/>
      <c r="E1132" s="1"/>
      <c r="F1132" s="1"/>
    </row>
    <row r="1133" spans="1:6" x14ac:dyDescent="0.25">
      <c r="A1133" s="1"/>
      <c r="B1133" s="1"/>
      <c r="C1133" s="1"/>
      <c r="D1133" s="1"/>
      <c r="E1133" s="1"/>
      <c r="F1133" s="1"/>
    </row>
    <row r="1134" spans="1:6" x14ac:dyDescent="0.25">
      <c r="A1134" s="1"/>
      <c r="B1134" s="1"/>
      <c r="C1134" s="1"/>
      <c r="D1134" s="1"/>
      <c r="E1134" s="1"/>
      <c r="F1134" s="1"/>
    </row>
    <row r="1135" spans="1:6" x14ac:dyDescent="0.25">
      <c r="A1135" s="1"/>
      <c r="B1135" s="1"/>
      <c r="C1135" s="1"/>
      <c r="D1135" s="1"/>
      <c r="E1135" s="1"/>
      <c r="F1135" s="1"/>
    </row>
    <row r="1136" spans="1:6" x14ac:dyDescent="0.25">
      <c r="A1136" s="1"/>
      <c r="B1136" s="1"/>
      <c r="C1136" s="1"/>
      <c r="D1136" s="1"/>
      <c r="E1136" s="1"/>
      <c r="F1136" s="1"/>
    </row>
    <row r="1137" spans="1:6" x14ac:dyDescent="0.25">
      <c r="A1137" s="1"/>
      <c r="B1137" s="1"/>
      <c r="C1137" s="1"/>
      <c r="D1137" s="1"/>
      <c r="E1137" s="1"/>
      <c r="F1137" s="1"/>
    </row>
    <row r="1138" spans="1:6" x14ac:dyDescent="0.25">
      <c r="A1138" s="1"/>
      <c r="B1138" s="1"/>
      <c r="C1138" s="1"/>
      <c r="D1138" s="1"/>
      <c r="E1138" s="1"/>
      <c r="F1138" s="1"/>
    </row>
    <row r="1139" spans="1:6" x14ac:dyDescent="0.25">
      <c r="A1139" s="1"/>
      <c r="B1139" s="1"/>
      <c r="C1139" s="1"/>
      <c r="D1139" s="1"/>
      <c r="E1139" s="1"/>
      <c r="F1139" s="1"/>
    </row>
    <row r="1140" spans="1:6" x14ac:dyDescent="0.25">
      <c r="A1140" s="1"/>
      <c r="B1140" s="1"/>
      <c r="C1140" s="1"/>
      <c r="D1140" s="1"/>
      <c r="E1140" s="1"/>
      <c r="F1140" s="1"/>
    </row>
    <row r="1141" spans="1:6" x14ac:dyDescent="0.25">
      <c r="A1141" s="1"/>
      <c r="B1141" s="1"/>
      <c r="C1141" s="1"/>
      <c r="D1141" s="1"/>
      <c r="E1141" s="1"/>
      <c r="F1141" s="1"/>
    </row>
    <row r="1142" spans="1:6" x14ac:dyDescent="0.25">
      <c r="A1142" s="8"/>
      <c r="B1142" s="8"/>
      <c r="C1142" s="8"/>
      <c r="D1142" s="8"/>
      <c r="E1142" s="8"/>
      <c r="F1142" s="8"/>
    </row>
    <row r="1143" spans="1:6" x14ac:dyDescent="0.25">
      <c r="A1143" s="8"/>
      <c r="B1143" s="8"/>
      <c r="C1143" s="8"/>
      <c r="D1143" s="8"/>
      <c r="E1143" s="8"/>
      <c r="F1143" s="8"/>
    </row>
    <row r="1144" spans="1:6" x14ac:dyDescent="0.25">
      <c r="A1144" s="8"/>
      <c r="B1144" s="8"/>
      <c r="C1144" s="8"/>
      <c r="D1144" s="8"/>
      <c r="E1144" s="8"/>
      <c r="F1144" s="8"/>
    </row>
    <row r="1145" spans="1:6" x14ac:dyDescent="0.25">
      <c r="A1145" s="8"/>
      <c r="B1145" s="8"/>
      <c r="C1145" s="8"/>
      <c r="D1145" s="8"/>
      <c r="E1145" s="8"/>
      <c r="F1145" s="8"/>
    </row>
    <row r="1146" spans="1:6" x14ac:dyDescent="0.25">
      <c r="A1146" s="8"/>
      <c r="B1146" s="8"/>
      <c r="C1146" s="8"/>
      <c r="D1146" s="8"/>
      <c r="E1146" s="8"/>
      <c r="F1146" s="8"/>
    </row>
    <row r="1147" spans="1:6" x14ac:dyDescent="0.25">
      <c r="A1147" s="8"/>
      <c r="B1147" s="8"/>
      <c r="C1147" s="8"/>
      <c r="D1147" s="8"/>
      <c r="E1147" s="8"/>
      <c r="F1147" s="8"/>
    </row>
    <row r="1148" spans="1:6" x14ac:dyDescent="0.25">
      <c r="A1148" s="8"/>
      <c r="B1148" s="8"/>
      <c r="C1148" s="8"/>
      <c r="D1148" s="8"/>
      <c r="E1148" s="8"/>
      <c r="F1148" s="8"/>
    </row>
    <row r="1149" spans="1:6" x14ac:dyDescent="0.25">
      <c r="A1149" s="8"/>
      <c r="B1149" s="8"/>
      <c r="C1149" s="8"/>
      <c r="D1149" s="8"/>
      <c r="E1149" s="8"/>
      <c r="F1149" s="8"/>
    </row>
    <row r="1150" spans="1:6" x14ac:dyDescent="0.25">
      <c r="A1150" s="8"/>
      <c r="B1150" s="8"/>
      <c r="C1150" s="8"/>
      <c r="D1150" s="8"/>
      <c r="E1150" s="8"/>
      <c r="F1150" s="8"/>
    </row>
    <row r="1151" spans="1:6" x14ac:dyDescent="0.25">
      <c r="A1151" s="8"/>
      <c r="B1151" s="8"/>
      <c r="C1151" s="8"/>
      <c r="D1151" s="8"/>
      <c r="E1151" s="8"/>
      <c r="F1151" s="8"/>
    </row>
    <row r="1152" spans="1:6" x14ac:dyDescent="0.25">
      <c r="A1152" s="8"/>
      <c r="B1152" s="8"/>
      <c r="C1152" s="8"/>
      <c r="D1152" s="8"/>
      <c r="E1152" s="8"/>
      <c r="F1152" s="8"/>
    </row>
    <row r="1153" spans="1:6" x14ac:dyDescent="0.25">
      <c r="A1153" s="8"/>
      <c r="B1153" s="8"/>
      <c r="C1153" s="8"/>
      <c r="D1153" s="8"/>
      <c r="E1153" s="8"/>
      <c r="F1153" s="8"/>
    </row>
    <row r="1154" spans="1:6" x14ac:dyDescent="0.25">
      <c r="A1154" s="8"/>
      <c r="B1154" s="8"/>
      <c r="C1154" s="8"/>
      <c r="D1154" s="8"/>
      <c r="E1154" s="8"/>
      <c r="F1154" s="8"/>
    </row>
    <row r="1155" spans="1:6" x14ac:dyDescent="0.25">
      <c r="A1155" s="8"/>
      <c r="B1155" s="8"/>
      <c r="C1155" s="8"/>
      <c r="D1155" s="8"/>
      <c r="E1155" s="8"/>
      <c r="F1155" s="8"/>
    </row>
    <row r="1156" spans="1:6" x14ac:dyDescent="0.25">
      <c r="A1156" s="8"/>
      <c r="B1156" s="8"/>
      <c r="C1156" s="8"/>
      <c r="D1156" s="8"/>
      <c r="E1156" s="8"/>
      <c r="F1156" s="8"/>
    </row>
    <row r="1157" spans="1:6" x14ac:dyDescent="0.25">
      <c r="A1157" s="8"/>
      <c r="B1157" s="8"/>
      <c r="C1157" s="8"/>
      <c r="D1157" s="8"/>
      <c r="E1157" s="8"/>
      <c r="F1157" s="8"/>
    </row>
    <row r="1158" spans="1:6" x14ac:dyDescent="0.25">
      <c r="A1158" s="8"/>
      <c r="B1158" s="8"/>
      <c r="C1158" s="8"/>
      <c r="D1158" s="8"/>
      <c r="E1158" s="8"/>
      <c r="F1158" s="8"/>
    </row>
    <row r="1159" spans="1:6" x14ac:dyDescent="0.25">
      <c r="A1159" s="8"/>
      <c r="B1159" s="8"/>
      <c r="C1159" s="8"/>
      <c r="D1159" s="8"/>
      <c r="E1159" s="8"/>
      <c r="F1159" s="8"/>
    </row>
    <row r="1160" spans="1:6" x14ac:dyDescent="0.25">
      <c r="A1160" s="8"/>
      <c r="B1160" s="8"/>
      <c r="C1160" s="8"/>
      <c r="D1160" s="8"/>
      <c r="E1160" s="8"/>
      <c r="F1160" s="8"/>
    </row>
    <row r="1161" spans="1:6" x14ac:dyDescent="0.25">
      <c r="A1161" s="8"/>
      <c r="B1161" s="8"/>
      <c r="C1161" s="8"/>
      <c r="D1161" s="8"/>
      <c r="E1161" s="8"/>
      <c r="F1161" s="8"/>
    </row>
    <row r="1162" spans="1:6" x14ac:dyDescent="0.25">
      <c r="A1162" s="8"/>
      <c r="B1162" s="8"/>
      <c r="C1162" s="8"/>
      <c r="D1162" s="8"/>
      <c r="E1162" s="8"/>
      <c r="F1162" s="8"/>
    </row>
    <row r="1163" spans="1:6" x14ac:dyDescent="0.25">
      <c r="A1163" s="8"/>
      <c r="B1163" s="8"/>
      <c r="C1163" s="8"/>
      <c r="D1163" s="8"/>
      <c r="E1163" s="8"/>
      <c r="F1163" s="8"/>
    </row>
    <row r="1164" spans="1:6" x14ac:dyDescent="0.25">
      <c r="A1164" s="8"/>
      <c r="B1164" s="8"/>
      <c r="C1164" s="8"/>
      <c r="D1164" s="8"/>
      <c r="E1164" s="8"/>
      <c r="F1164" s="8"/>
    </row>
    <row r="1165" spans="1:6" x14ac:dyDescent="0.25">
      <c r="A1165" s="8"/>
      <c r="B1165" s="8"/>
      <c r="C1165" s="8"/>
      <c r="D1165" s="8"/>
      <c r="E1165" s="8"/>
      <c r="F1165" s="8"/>
    </row>
    <row r="1166" spans="1:6" x14ac:dyDescent="0.25">
      <c r="A1166" s="8"/>
      <c r="B1166" s="8"/>
      <c r="C1166" s="8"/>
      <c r="D1166" s="8"/>
      <c r="E1166" s="8"/>
      <c r="F1166" s="8"/>
    </row>
    <row r="1167" spans="1:6" x14ac:dyDescent="0.25">
      <c r="A1167" s="8"/>
      <c r="B1167" s="8"/>
      <c r="C1167" s="8"/>
      <c r="D1167" s="8"/>
      <c r="E1167" s="8"/>
      <c r="F1167" s="8"/>
    </row>
    <row r="1168" spans="1:6" x14ac:dyDescent="0.25">
      <c r="A1168" s="8"/>
      <c r="B1168" s="8"/>
      <c r="C1168" s="8"/>
      <c r="D1168" s="8"/>
      <c r="E1168" s="8"/>
      <c r="F1168" s="8"/>
    </row>
    <row r="1169" spans="1:6" x14ac:dyDescent="0.25">
      <c r="A1169" s="8"/>
      <c r="B1169" s="8"/>
      <c r="C1169" s="8"/>
      <c r="D1169" s="8"/>
      <c r="E1169" s="8"/>
      <c r="F1169" s="8"/>
    </row>
    <row r="1170" spans="1:6" x14ac:dyDescent="0.25">
      <c r="A1170" s="8"/>
      <c r="B1170" s="8"/>
      <c r="C1170" s="8"/>
      <c r="D1170" s="8"/>
      <c r="E1170" s="8"/>
      <c r="F1170" s="8"/>
    </row>
    <row r="1171" spans="1:6" x14ac:dyDescent="0.25">
      <c r="A1171" s="8"/>
      <c r="B1171" s="8"/>
      <c r="C1171" s="8"/>
      <c r="D1171" s="8"/>
      <c r="E1171" s="8"/>
      <c r="F1171" s="8"/>
    </row>
    <row r="1172" spans="1:6" x14ac:dyDescent="0.25">
      <c r="A1172" s="8"/>
      <c r="B1172" s="8"/>
      <c r="C1172" s="8"/>
      <c r="D1172" s="8"/>
      <c r="E1172" s="8"/>
      <c r="F1172" s="8"/>
    </row>
    <row r="1173" spans="1:6" x14ac:dyDescent="0.25">
      <c r="A1173" s="8"/>
      <c r="B1173" s="8"/>
      <c r="C1173" s="8"/>
      <c r="D1173" s="8"/>
      <c r="E1173" s="8"/>
      <c r="F1173" s="8"/>
    </row>
    <row r="1174" spans="1:6" x14ac:dyDescent="0.25">
      <c r="A1174" s="8"/>
      <c r="B1174" s="8"/>
      <c r="C1174" s="8"/>
      <c r="D1174" s="8"/>
      <c r="E1174" s="8"/>
      <c r="F1174" s="8"/>
    </row>
    <row r="1175" spans="1:6" x14ac:dyDescent="0.25">
      <c r="A1175" s="8"/>
      <c r="B1175" s="8"/>
      <c r="C1175" s="8"/>
      <c r="D1175" s="8"/>
      <c r="E1175" s="8"/>
      <c r="F1175" s="8"/>
    </row>
    <row r="1176" spans="1:6" x14ac:dyDescent="0.25">
      <c r="A1176" s="8"/>
      <c r="B1176" s="8"/>
      <c r="C1176" s="8"/>
      <c r="D1176" s="8"/>
      <c r="E1176" s="8"/>
      <c r="F1176" s="8"/>
    </row>
    <row r="1177" spans="1:6" x14ac:dyDescent="0.25">
      <c r="A1177" s="8"/>
      <c r="B1177" s="8"/>
      <c r="C1177" s="8"/>
      <c r="D1177" s="8"/>
      <c r="E1177" s="8"/>
      <c r="F1177" s="8"/>
    </row>
    <row r="1178" spans="1:6" x14ac:dyDescent="0.25">
      <c r="A1178" s="8"/>
      <c r="B1178" s="8"/>
      <c r="C1178" s="8"/>
      <c r="D1178" s="8"/>
      <c r="E1178" s="8"/>
      <c r="F1178" s="8"/>
    </row>
    <row r="1179" spans="1:6" x14ac:dyDescent="0.25">
      <c r="A1179" s="8"/>
      <c r="B1179" s="8"/>
      <c r="C1179" s="8"/>
      <c r="D1179" s="8"/>
      <c r="E1179" s="8"/>
      <c r="F1179" s="8"/>
    </row>
    <row r="1180" spans="1:6" x14ac:dyDescent="0.25">
      <c r="A1180" s="8"/>
      <c r="B1180" s="8"/>
      <c r="C1180" s="8"/>
      <c r="D1180" s="8"/>
      <c r="E1180" s="8"/>
      <c r="F1180" s="8"/>
    </row>
    <row r="1181" spans="1:6" x14ac:dyDescent="0.25">
      <c r="A1181" s="8"/>
      <c r="B1181" s="8"/>
      <c r="C1181" s="8"/>
      <c r="D1181" s="8"/>
      <c r="E1181" s="8"/>
      <c r="F1181" s="8"/>
    </row>
    <row r="1182" spans="1:6" x14ac:dyDescent="0.25">
      <c r="A1182" s="8"/>
      <c r="B1182" s="8"/>
      <c r="C1182" s="8"/>
      <c r="D1182" s="8"/>
      <c r="E1182" s="8"/>
      <c r="F1182" s="8"/>
    </row>
    <row r="1183" spans="1:6" x14ac:dyDescent="0.25">
      <c r="A1183" s="8"/>
      <c r="B1183" s="8"/>
      <c r="C1183" s="8"/>
      <c r="D1183" s="8"/>
      <c r="E1183" s="8"/>
      <c r="F1183" s="8"/>
    </row>
    <row r="1184" spans="1:6" x14ac:dyDescent="0.25">
      <c r="A1184" s="8"/>
      <c r="B1184" s="8"/>
      <c r="C1184" s="8"/>
      <c r="D1184" s="8"/>
      <c r="E1184" s="8"/>
      <c r="F1184" s="8"/>
    </row>
    <row r="1185" spans="1:6" x14ac:dyDescent="0.25">
      <c r="A1185" s="8"/>
      <c r="B1185" s="8"/>
      <c r="C1185" s="8"/>
      <c r="D1185" s="8"/>
      <c r="E1185" s="8"/>
      <c r="F1185" s="8"/>
    </row>
    <row r="1186" spans="1:6" x14ac:dyDescent="0.25">
      <c r="A1186" s="8"/>
      <c r="B1186" s="8"/>
      <c r="C1186" s="8"/>
      <c r="D1186" s="8"/>
      <c r="E1186" s="8"/>
      <c r="F1186" s="8"/>
    </row>
    <row r="1187" spans="1:6" x14ac:dyDescent="0.25">
      <c r="A1187" s="8"/>
      <c r="B1187" s="8"/>
      <c r="C1187" s="8"/>
      <c r="D1187" s="8"/>
      <c r="E1187" s="8"/>
      <c r="F1187" s="8"/>
    </row>
    <row r="1188" spans="1:6" x14ac:dyDescent="0.25">
      <c r="A1188" s="8"/>
      <c r="B1188" s="8"/>
      <c r="C1188" s="8"/>
      <c r="D1188" s="8"/>
      <c r="E1188" s="8"/>
      <c r="F1188" s="8"/>
    </row>
    <row r="1189" spans="1:6" x14ac:dyDescent="0.25">
      <c r="A1189" s="8"/>
      <c r="B1189" s="8"/>
      <c r="C1189" s="8"/>
      <c r="D1189" s="8"/>
      <c r="E1189" s="8"/>
      <c r="F1189" s="8"/>
    </row>
    <row r="1190" spans="1:6" x14ac:dyDescent="0.25">
      <c r="A1190" s="8"/>
      <c r="B1190" s="8"/>
      <c r="C1190" s="8"/>
      <c r="D1190" s="8"/>
      <c r="E1190" s="8"/>
      <c r="F1190" s="8"/>
    </row>
    <row r="1191" spans="1:6" x14ac:dyDescent="0.25">
      <c r="A1191" s="8"/>
      <c r="B1191" s="8"/>
      <c r="C1191" s="8"/>
      <c r="D1191" s="8"/>
      <c r="E1191" s="8"/>
      <c r="F1191" s="8"/>
    </row>
    <row r="1192" spans="1:6" x14ac:dyDescent="0.25">
      <c r="A1192" s="8"/>
      <c r="B1192" s="8"/>
      <c r="C1192" s="8"/>
      <c r="D1192" s="8"/>
      <c r="E1192" s="8"/>
      <c r="F1192" s="8"/>
    </row>
    <row r="1193" spans="1:6" x14ac:dyDescent="0.25">
      <c r="A1193" s="8"/>
      <c r="B1193" s="8"/>
      <c r="C1193" s="8"/>
      <c r="D1193" s="8"/>
      <c r="E1193" s="8"/>
      <c r="F1193" s="8"/>
    </row>
    <row r="1194" spans="1:6" x14ac:dyDescent="0.25">
      <c r="A1194" s="8"/>
      <c r="B1194" s="8"/>
      <c r="C1194" s="8"/>
      <c r="D1194" s="8"/>
      <c r="E1194" s="8"/>
      <c r="F1194" s="8"/>
    </row>
    <row r="1195" spans="1:6" x14ac:dyDescent="0.25">
      <c r="A1195" s="8"/>
      <c r="B1195" s="8"/>
      <c r="C1195" s="8"/>
      <c r="D1195" s="8"/>
      <c r="E1195" s="8"/>
      <c r="F1195" s="8"/>
    </row>
    <row r="1196" spans="1:6" x14ac:dyDescent="0.25">
      <c r="A1196" s="8"/>
      <c r="B1196" s="8"/>
      <c r="C1196" s="8"/>
      <c r="D1196" s="8"/>
      <c r="E1196" s="8"/>
      <c r="F1196" s="8"/>
    </row>
    <row r="1197" spans="1:6" x14ac:dyDescent="0.25">
      <c r="A1197" s="8"/>
      <c r="B1197" s="8"/>
      <c r="C1197" s="8"/>
      <c r="D1197" s="8"/>
      <c r="E1197" s="8"/>
      <c r="F1197" s="8"/>
    </row>
    <row r="1198" spans="1:6" x14ac:dyDescent="0.25">
      <c r="A1198" s="8"/>
      <c r="B1198" s="8"/>
      <c r="C1198" s="8"/>
      <c r="D1198" s="8"/>
      <c r="E1198" s="8"/>
      <c r="F1198" s="8"/>
    </row>
    <row r="1199" spans="1:6" x14ac:dyDescent="0.25">
      <c r="A1199" s="8"/>
      <c r="B1199" s="8"/>
      <c r="C1199" s="8"/>
      <c r="D1199" s="8"/>
      <c r="E1199" s="8"/>
      <c r="F1199" s="8"/>
    </row>
    <row r="1200" spans="1:6" x14ac:dyDescent="0.25">
      <c r="A1200" s="8"/>
      <c r="B1200" s="8"/>
      <c r="C1200" s="8"/>
      <c r="D1200" s="8"/>
      <c r="E1200" s="8"/>
      <c r="F1200" s="8"/>
    </row>
    <row r="1201" spans="1:6" x14ac:dyDescent="0.25">
      <c r="A1201" s="8"/>
      <c r="B1201" s="8"/>
      <c r="C1201" s="8"/>
      <c r="D1201" s="8"/>
      <c r="E1201" s="8"/>
      <c r="F1201" s="8"/>
    </row>
    <row r="1202" spans="1:6" x14ac:dyDescent="0.25">
      <c r="A1202" s="8"/>
      <c r="B1202" s="8"/>
      <c r="C1202" s="8"/>
      <c r="D1202" s="8"/>
      <c r="E1202" s="8"/>
      <c r="F1202" s="8"/>
    </row>
    <row r="1203" spans="1:6" x14ac:dyDescent="0.25">
      <c r="A1203" s="8"/>
      <c r="B1203" s="8"/>
      <c r="C1203" s="8"/>
      <c r="D1203" s="8"/>
      <c r="E1203" s="8"/>
      <c r="F1203" s="8"/>
    </row>
    <row r="1204" spans="1:6" x14ac:dyDescent="0.25">
      <c r="A1204" s="8"/>
      <c r="B1204" s="8"/>
      <c r="C1204" s="8"/>
      <c r="D1204" s="8"/>
      <c r="E1204" s="8"/>
      <c r="F1204" s="8"/>
    </row>
    <row r="1205" spans="1:6" x14ac:dyDescent="0.25">
      <c r="A1205" s="8"/>
      <c r="B1205" s="8"/>
      <c r="C1205" s="8"/>
      <c r="D1205" s="8"/>
      <c r="E1205" s="8"/>
      <c r="F1205" s="8"/>
    </row>
    <row r="1206" spans="1:6" x14ac:dyDescent="0.25">
      <c r="A1206" s="8"/>
      <c r="B1206" s="8"/>
      <c r="C1206" s="8"/>
      <c r="D1206" s="8"/>
      <c r="E1206" s="8"/>
      <c r="F1206" s="8"/>
    </row>
    <row r="1207" spans="1:6" x14ac:dyDescent="0.25">
      <c r="A1207" s="8"/>
      <c r="B1207" s="8"/>
      <c r="C1207" s="8"/>
      <c r="D1207" s="8"/>
      <c r="E1207" s="8"/>
      <c r="F1207" s="8"/>
    </row>
    <row r="1208" spans="1:6" x14ac:dyDescent="0.25">
      <c r="A1208" s="8"/>
      <c r="B1208" s="8"/>
      <c r="C1208" s="8"/>
      <c r="D1208" s="8"/>
      <c r="E1208" s="8"/>
      <c r="F1208" s="8"/>
    </row>
    <row r="1209" spans="1:6" x14ac:dyDescent="0.25">
      <c r="A1209" s="8"/>
      <c r="B1209" s="8"/>
      <c r="C1209" s="8"/>
      <c r="D1209" s="8"/>
      <c r="E1209" s="8"/>
      <c r="F1209" s="8"/>
    </row>
    <row r="1210" spans="1:6" x14ac:dyDescent="0.25">
      <c r="A1210" s="8"/>
      <c r="B1210" s="8"/>
      <c r="C1210" s="8"/>
      <c r="D1210" s="8"/>
      <c r="E1210" s="8"/>
      <c r="F1210" s="8"/>
    </row>
    <row r="1211" spans="1:6" x14ac:dyDescent="0.25">
      <c r="A1211" s="8"/>
      <c r="B1211" s="8"/>
      <c r="C1211" s="8"/>
      <c r="D1211" s="8"/>
      <c r="E1211" s="8"/>
      <c r="F1211" s="8"/>
    </row>
    <row r="1212" spans="1:6" x14ac:dyDescent="0.25">
      <c r="A1212" s="8"/>
      <c r="B1212" s="8"/>
      <c r="C1212" s="8"/>
      <c r="D1212" s="8"/>
      <c r="E1212" s="8"/>
      <c r="F1212" s="8"/>
    </row>
    <row r="1213" spans="1:6" x14ac:dyDescent="0.25">
      <c r="A1213" s="8"/>
      <c r="B1213" s="8"/>
      <c r="C1213" s="8"/>
      <c r="D1213" s="8"/>
      <c r="E1213" s="8"/>
      <c r="F1213" s="8"/>
    </row>
    <row r="1214" spans="1:6" x14ac:dyDescent="0.25">
      <c r="A1214" s="8"/>
      <c r="B1214" s="8"/>
      <c r="C1214" s="8"/>
      <c r="D1214" s="8"/>
      <c r="E1214" s="8"/>
      <c r="F1214" s="8"/>
    </row>
    <row r="1215" spans="1:6" x14ac:dyDescent="0.25">
      <c r="A1215" s="8"/>
      <c r="B1215" s="8"/>
      <c r="C1215" s="8"/>
      <c r="D1215" s="8"/>
      <c r="E1215" s="8"/>
      <c r="F1215" s="8"/>
    </row>
    <row r="1216" spans="1:6" x14ac:dyDescent="0.25">
      <c r="A1216" s="8"/>
      <c r="B1216" s="8"/>
      <c r="C1216" s="8"/>
      <c r="D1216" s="8"/>
      <c r="E1216" s="8"/>
      <c r="F1216" s="8"/>
    </row>
    <row r="1217" spans="1:6" x14ac:dyDescent="0.25">
      <c r="A1217" s="8"/>
      <c r="B1217" s="8"/>
      <c r="C1217" s="8"/>
      <c r="D1217" s="8"/>
      <c r="E1217" s="8"/>
      <c r="F1217" s="8"/>
    </row>
    <row r="1218" spans="1:6" x14ac:dyDescent="0.25">
      <c r="A1218" s="8"/>
      <c r="B1218" s="8"/>
      <c r="C1218" s="8"/>
      <c r="D1218" s="8"/>
      <c r="E1218" s="8"/>
      <c r="F1218" s="8"/>
    </row>
    <row r="1219" spans="1:6" x14ac:dyDescent="0.25">
      <c r="A1219" s="8"/>
      <c r="B1219" s="8"/>
      <c r="C1219" s="8"/>
      <c r="D1219" s="8"/>
      <c r="E1219" s="8"/>
      <c r="F1219" s="8"/>
    </row>
    <row r="1220" spans="1:6" x14ac:dyDescent="0.25">
      <c r="A1220" s="8"/>
      <c r="B1220" s="8"/>
      <c r="C1220" s="8"/>
      <c r="D1220" s="8"/>
      <c r="E1220" s="8"/>
      <c r="F1220" s="8"/>
    </row>
    <row r="1221" spans="1:6" x14ac:dyDescent="0.25">
      <c r="A1221" s="8"/>
      <c r="B1221" s="8"/>
      <c r="C1221" s="8"/>
      <c r="D1221" s="8"/>
      <c r="E1221" s="8"/>
      <c r="F1221" s="8"/>
    </row>
    <row r="1222" spans="1:6" x14ac:dyDescent="0.25">
      <c r="A1222" s="8"/>
      <c r="B1222" s="8"/>
      <c r="C1222" s="8"/>
      <c r="D1222" s="8"/>
      <c r="E1222" s="8"/>
      <c r="F1222" s="8"/>
    </row>
    <row r="1223" spans="1:6" x14ac:dyDescent="0.25">
      <c r="A1223" s="8"/>
      <c r="B1223" s="8"/>
      <c r="C1223" s="8"/>
      <c r="D1223" s="8"/>
      <c r="E1223" s="8"/>
      <c r="F1223" s="8"/>
    </row>
    <row r="1224" spans="1:6" x14ac:dyDescent="0.25">
      <c r="A1224" s="8"/>
      <c r="B1224" s="8"/>
      <c r="C1224" s="8"/>
      <c r="D1224" s="8"/>
      <c r="E1224" s="8"/>
      <c r="F1224" s="8"/>
    </row>
    <row r="1225" spans="1:6" x14ac:dyDescent="0.25">
      <c r="A1225" s="8"/>
      <c r="B1225" s="8"/>
      <c r="C1225" s="8"/>
      <c r="D1225" s="8"/>
      <c r="E1225" s="8"/>
      <c r="F1225" s="8"/>
    </row>
    <row r="1226" spans="1:6" x14ac:dyDescent="0.25">
      <c r="A1226" s="8"/>
      <c r="B1226" s="8"/>
      <c r="C1226" s="8"/>
      <c r="D1226" s="8"/>
      <c r="E1226" s="8"/>
      <c r="F1226" s="8"/>
    </row>
    <row r="1227" spans="1:6" x14ac:dyDescent="0.25">
      <c r="A1227" s="8"/>
      <c r="B1227" s="8"/>
      <c r="C1227" s="8"/>
      <c r="D1227" s="8"/>
      <c r="E1227" s="8"/>
      <c r="F1227" s="8"/>
    </row>
    <row r="1228" spans="1:6" x14ac:dyDescent="0.25">
      <c r="A1228" s="8"/>
      <c r="B1228" s="8"/>
      <c r="C1228" s="8"/>
      <c r="D1228" s="8"/>
      <c r="E1228" s="8"/>
      <c r="F1228" s="8"/>
    </row>
    <row r="1229" spans="1:6" x14ac:dyDescent="0.25">
      <c r="A1229" s="8"/>
      <c r="B1229" s="8"/>
      <c r="C1229" s="8"/>
      <c r="D1229" s="8"/>
      <c r="E1229" s="8"/>
      <c r="F1229" s="8"/>
    </row>
    <row r="1230" spans="1:6" x14ac:dyDescent="0.25">
      <c r="A1230" s="8"/>
      <c r="B1230" s="8"/>
      <c r="C1230" s="8"/>
      <c r="D1230" s="8"/>
      <c r="E1230" s="8"/>
      <c r="F1230" s="8"/>
    </row>
    <row r="1231" spans="1:6" x14ac:dyDescent="0.25">
      <c r="A1231" s="8"/>
      <c r="B1231" s="8"/>
      <c r="C1231" s="8"/>
      <c r="D1231" s="8"/>
      <c r="E1231" s="8"/>
      <c r="F1231" s="8"/>
    </row>
    <row r="1232" spans="1:6" x14ac:dyDescent="0.25">
      <c r="A1232" s="8"/>
      <c r="B1232" s="8"/>
      <c r="C1232" s="8"/>
      <c r="D1232" s="8"/>
      <c r="E1232" s="8"/>
      <c r="F1232" s="8"/>
    </row>
    <row r="1233" spans="1:6" x14ac:dyDescent="0.25">
      <c r="A1233" s="8"/>
      <c r="B1233" s="8"/>
      <c r="C1233" s="8"/>
      <c r="D1233" s="8"/>
      <c r="E1233" s="8"/>
      <c r="F1233" s="8"/>
    </row>
    <row r="1234" spans="1:6" x14ac:dyDescent="0.25">
      <c r="A1234" s="8"/>
      <c r="B1234" s="8"/>
      <c r="C1234" s="8"/>
      <c r="D1234" s="8"/>
      <c r="E1234" s="8"/>
      <c r="F1234" s="8"/>
    </row>
    <row r="1235" spans="1:6" x14ac:dyDescent="0.25">
      <c r="A1235" s="8"/>
      <c r="B1235" s="8"/>
      <c r="C1235" s="8"/>
      <c r="D1235" s="8"/>
      <c r="E1235" s="8"/>
      <c r="F1235" s="8"/>
    </row>
    <row r="1236" spans="1:6" x14ac:dyDescent="0.25">
      <c r="A1236" s="8"/>
      <c r="B1236" s="8"/>
      <c r="C1236" s="8"/>
      <c r="D1236" s="8"/>
      <c r="E1236" s="8"/>
      <c r="F1236" s="8"/>
    </row>
    <row r="1237" spans="1:6" x14ac:dyDescent="0.25">
      <c r="A1237" s="8"/>
      <c r="B1237" s="8"/>
      <c r="C1237" s="8"/>
      <c r="D1237" s="8"/>
      <c r="E1237" s="8"/>
      <c r="F1237" s="8"/>
    </row>
    <row r="1238" spans="1:6" x14ac:dyDescent="0.25">
      <c r="A1238" s="8"/>
      <c r="B1238" s="8"/>
      <c r="C1238" s="8"/>
      <c r="D1238" s="8"/>
      <c r="E1238" s="8"/>
      <c r="F1238" s="8"/>
    </row>
    <row r="1239" spans="1:6" x14ac:dyDescent="0.25">
      <c r="A1239" s="8"/>
      <c r="B1239" s="8"/>
      <c r="C1239" s="8"/>
      <c r="D1239" s="8"/>
      <c r="E1239" s="8"/>
      <c r="F1239" s="8"/>
    </row>
    <row r="1240" spans="1:6" x14ac:dyDescent="0.25">
      <c r="A1240" s="8"/>
      <c r="B1240" s="8"/>
      <c r="C1240" s="8"/>
      <c r="D1240" s="8"/>
      <c r="E1240" s="8"/>
      <c r="F1240" s="8"/>
    </row>
    <row r="1241" spans="1:6" x14ac:dyDescent="0.25">
      <c r="A1241" s="8"/>
      <c r="B1241" s="8"/>
      <c r="C1241" s="8"/>
      <c r="D1241" s="8"/>
      <c r="E1241" s="8"/>
      <c r="F1241" s="8"/>
    </row>
    <row r="1242" spans="1:6" x14ac:dyDescent="0.25">
      <c r="A1242" s="8"/>
      <c r="B1242" s="8"/>
      <c r="C1242" s="8"/>
      <c r="D1242" s="8"/>
      <c r="E1242" s="8"/>
      <c r="F1242" s="8"/>
    </row>
    <row r="1243" spans="1:6" x14ac:dyDescent="0.25">
      <c r="A1243" s="8"/>
      <c r="B1243" s="8"/>
      <c r="C1243" s="8"/>
      <c r="D1243" s="8"/>
      <c r="E1243" s="8"/>
      <c r="F1243" s="8"/>
    </row>
    <row r="1244" spans="1:6" x14ac:dyDescent="0.25">
      <c r="A1244" s="8"/>
      <c r="B1244" s="8"/>
      <c r="C1244" s="8"/>
      <c r="D1244" s="8"/>
      <c r="E1244" s="8"/>
      <c r="F1244" s="8"/>
    </row>
    <row r="1245" spans="1:6" x14ac:dyDescent="0.25">
      <c r="A1245" s="8"/>
      <c r="B1245" s="8"/>
      <c r="C1245" s="8"/>
      <c r="D1245" s="8"/>
      <c r="E1245" s="8"/>
      <c r="F1245" s="8"/>
    </row>
    <row r="1246" spans="1:6" x14ac:dyDescent="0.25">
      <c r="A1246" s="8"/>
      <c r="B1246" s="8"/>
      <c r="C1246" s="8"/>
      <c r="D1246" s="8"/>
      <c r="E1246" s="8"/>
      <c r="F1246" s="8"/>
    </row>
    <row r="1247" spans="1:6" x14ac:dyDescent="0.25">
      <c r="A1247" s="8"/>
      <c r="B1247" s="8"/>
      <c r="C1247" s="8"/>
      <c r="D1247" s="8"/>
      <c r="E1247" s="8"/>
      <c r="F1247" s="8"/>
    </row>
    <row r="1248" spans="1:6" x14ac:dyDescent="0.25">
      <c r="A1248" s="8"/>
      <c r="B1248" s="8"/>
      <c r="C1248" s="8"/>
      <c r="D1248" s="8"/>
      <c r="E1248" s="8"/>
      <c r="F1248" s="8"/>
    </row>
    <row r="1249" spans="1:6" x14ac:dyDescent="0.25">
      <c r="A1249" s="8"/>
      <c r="B1249" s="8"/>
      <c r="C1249" s="8"/>
      <c r="D1249" s="8"/>
      <c r="E1249" s="8"/>
      <c r="F1249" s="8"/>
    </row>
    <row r="1250" spans="1:6" x14ac:dyDescent="0.25">
      <c r="A1250" s="8"/>
      <c r="B1250" s="8"/>
      <c r="C1250" s="8"/>
      <c r="D1250" s="8"/>
      <c r="E1250" s="8"/>
      <c r="F1250" s="8"/>
    </row>
    <row r="1251" spans="1:6" x14ac:dyDescent="0.25">
      <c r="A1251" s="8"/>
      <c r="B1251" s="8"/>
      <c r="C1251" s="8"/>
      <c r="D1251" s="8"/>
      <c r="E1251" s="8"/>
      <c r="F1251" s="8"/>
    </row>
    <row r="1252" spans="1:6" x14ac:dyDescent="0.25">
      <c r="A1252" s="8"/>
      <c r="B1252" s="8"/>
      <c r="C1252" s="8"/>
      <c r="D1252" s="8"/>
      <c r="E1252" s="8"/>
      <c r="F1252" s="8"/>
    </row>
    <row r="1253" spans="1:6" x14ac:dyDescent="0.25">
      <c r="A1253" s="8"/>
      <c r="B1253" s="8"/>
      <c r="C1253" s="8"/>
      <c r="D1253" s="8"/>
      <c r="E1253" s="8"/>
      <c r="F1253" s="8"/>
    </row>
    <row r="1254" spans="1:6" x14ac:dyDescent="0.25">
      <c r="A1254" s="8"/>
      <c r="B1254" s="8"/>
      <c r="C1254" s="8"/>
      <c r="D1254" s="8"/>
      <c r="E1254" s="8"/>
      <c r="F1254" s="8"/>
    </row>
    <row r="1255" spans="1:6" x14ac:dyDescent="0.25">
      <c r="A1255" s="8"/>
      <c r="B1255" s="8"/>
      <c r="C1255" s="8"/>
      <c r="D1255" s="8"/>
      <c r="E1255" s="8"/>
      <c r="F1255" s="8"/>
    </row>
    <row r="1256" spans="1:6" x14ac:dyDescent="0.25">
      <c r="A1256" s="8"/>
      <c r="B1256" s="8"/>
      <c r="C1256" s="8"/>
      <c r="D1256" s="8"/>
      <c r="E1256" s="8"/>
      <c r="F1256" s="8"/>
    </row>
    <row r="1257" spans="1:6" x14ac:dyDescent="0.25">
      <c r="A1257" s="8"/>
      <c r="B1257" s="8"/>
      <c r="C1257" s="8"/>
      <c r="D1257" s="8"/>
      <c r="E1257" s="8"/>
      <c r="F1257" s="8"/>
    </row>
    <row r="1258" spans="1:6" x14ac:dyDescent="0.25">
      <c r="A1258" s="8"/>
      <c r="B1258" s="8"/>
      <c r="C1258" s="8"/>
      <c r="D1258" s="8"/>
      <c r="E1258" s="8"/>
      <c r="F1258" s="8"/>
    </row>
    <row r="1259" spans="1:6" x14ac:dyDescent="0.25">
      <c r="A1259" s="8"/>
      <c r="B1259" s="8"/>
      <c r="C1259" s="8"/>
      <c r="D1259" s="8"/>
      <c r="E1259" s="8"/>
      <c r="F1259" s="8"/>
    </row>
    <row r="1260" spans="1:6" x14ac:dyDescent="0.25">
      <c r="A1260" s="8"/>
      <c r="B1260" s="8"/>
      <c r="C1260" s="8"/>
      <c r="D1260" s="8"/>
      <c r="E1260" s="8"/>
      <c r="F1260" s="8"/>
    </row>
    <row r="1261" spans="1:6" x14ac:dyDescent="0.25">
      <c r="A1261" s="8"/>
      <c r="B1261" s="8"/>
      <c r="C1261" s="8"/>
      <c r="D1261" s="8"/>
      <c r="E1261" s="8"/>
      <c r="F1261" s="8"/>
    </row>
    <row r="1262" spans="1:6" x14ac:dyDescent="0.25">
      <c r="A1262" s="8"/>
      <c r="B1262" s="8"/>
      <c r="C1262" s="8"/>
      <c r="D1262" s="8"/>
      <c r="E1262" s="8"/>
      <c r="F1262" s="8"/>
    </row>
    <row r="1263" spans="1:6" x14ac:dyDescent="0.25">
      <c r="A1263" s="8"/>
      <c r="B1263" s="8"/>
      <c r="C1263" s="8"/>
      <c r="D1263" s="8"/>
      <c r="E1263" s="8"/>
      <c r="F1263" s="8"/>
    </row>
    <row r="1264" spans="1:6" x14ac:dyDescent="0.25">
      <c r="A1264" s="8"/>
      <c r="B1264" s="8"/>
      <c r="C1264" s="8"/>
      <c r="D1264" s="8"/>
      <c r="E1264" s="8"/>
      <c r="F1264" s="8"/>
    </row>
    <row r="1265" spans="1:6" x14ac:dyDescent="0.25">
      <c r="A1265" s="8"/>
      <c r="B1265" s="8"/>
      <c r="C1265" s="8"/>
      <c r="D1265" s="8"/>
      <c r="E1265" s="8"/>
      <c r="F1265" s="8"/>
    </row>
    <row r="1266" spans="1:6" x14ac:dyDescent="0.25">
      <c r="A1266" s="8"/>
      <c r="B1266" s="8"/>
      <c r="C1266" s="8"/>
      <c r="D1266" s="8"/>
      <c r="E1266" s="8"/>
      <c r="F1266" s="8"/>
    </row>
    <row r="1267" spans="1:6" x14ac:dyDescent="0.25">
      <c r="A1267" s="8"/>
      <c r="B1267" s="8"/>
      <c r="C1267" s="8"/>
      <c r="D1267" s="8"/>
      <c r="E1267" s="8"/>
      <c r="F1267" s="8"/>
    </row>
    <row r="1268" spans="1:6" x14ac:dyDescent="0.25">
      <c r="A1268" s="8"/>
      <c r="B1268" s="8"/>
      <c r="C1268" s="8"/>
      <c r="D1268" s="8"/>
      <c r="E1268" s="8"/>
      <c r="F1268" s="8"/>
    </row>
  </sheetData>
  <mergeCells count="3">
    <mergeCell ref="B4:E4"/>
    <mergeCell ref="B5:E5"/>
    <mergeCell ref="B2:E2"/>
  </mergeCells>
  <conditionalFormatting sqref="I10:I75">
    <cfRule type="expression" dxfId="0" priority="1">
      <formula>ISNUMBER(SEARCH("NOT IN GLOSSARY", I10))</formula>
    </cfRule>
  </conditionalFormatting>
  <dataValidations count="1">
    <dataValidation type="list" allowBlank="1" showInputMessage="1" sqref="D10:D75" xr:uid="{59145B04-EF2B-4885-8EB8-9BB455A6A8DC}">
      <formula1>Concerns_List</formula1>
    </dataValidation>
  </dataValidations>
  <hyperlinks>
    <hyperlink ref="A9" r:id="rId1" xr:uid="{4CE09246-560E-4B59-9CCA-C765F5D5D4C7}"/>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PossibleSolutions">
                <anchor moveWithCells="1" sizeWithCells="1">
                  <from>
                    <xdr:col>4</xdr:col>
                    <xdr:colOff>666750</xdr:colOff>
                    <xdr:row>8</xdr:row>
                    <xdr:rowOff>142875</xdr:rowOff>
                  </from>
                  <to>
                    <xdr:col>4</xdr:col>
                    <xdr:colOff>2124075</xdr:colOff>
                    <xdr:row>8</xdr:row>
                    <xdr:rowOff>838200</xdr:rowOff>
                  </to>
                </anchor>
              </controlPr>
            </control>
          </mc:Choice>
        </mc:AlternateContent>
        <mc:AlternateContent xmlns:mc="http://schemas.openxmlformats.org/markup-compatibility/2006">
          <mc:Choice Requires="x14">
            <control shapeId="1026" r:id="rId6" name="Button 2">
              <controlPr defaultSize="0" print="0" autoFill="0" autoPict="0" macro="[0]!UpdateOrganizationalValues">
                <anchor moveWithCells="1" sizeWithCells="1">
                  <from>
                    <xdr:col>5</xdr:col>
                    <xdr:colOff>409575</xdr:colOff>
                    <xdr:row>8</xdr:row>
                    <xdr:rowOff>142875</xdr:rowOff>
                  </from>
                  <to>
                    <xdr:col>5</xdr:col>
                    <xdr:colOff>2990850</xdr:colOff>
                    <xdr:row>8</xdr:row>
                    <xdr:rowOff>838200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1:D215"/>
  <sheetViews>
    <sheetView workbookViewId="0">
      <selection activeCell="B10" sqref="B10"/>
    </sheetView>
  </sheetViews>
  <sheetFormatPr defaultRowHeight="15" x14ac:dyDescent="0.25"/>
  <cols>
    <col min="1" max="1" width="46.28515625" bestFit="1" customWidth="1"/>
    <col min="2" max="2" width="46.28515625" customWidth="1"/>
    <col min="3" max="3" width="40.140625" bestFit="1" customWidth="1"/>
    <col min="4" max="4" width="9.140625" customWidth="1"/>
    <col min="6" max="6" width="19" bestFit="1" customWidth="1"/>
    <col min="7" max="7" width="15.140625" bestFit="1" customWidth="1"/>
    <col min="8" max="8" width="16.28515625" bestFit="1" customWidth="1"/>
  </cols>
  <sheetData>
    <row r="1" spans="1:4" x14ac:dyDescent="0.25">
      <c r="A1" s="60" t="s">
        <v>368</v>
      </c>
      <c r="B1" s="60"/>
      <c r="C1" s="60"/>
    </row>
    <row r="2" spans="1:4" x14ac:dyDescent="0.25">
      <c r="A2" s="9" t="s">
        <v>8</v>
      </c>
      <c r="B2" s="9" t="s">
        <v>839</v>
      </c>
      <c r="C2" s="9" t="s">
        <v>9</v>
      </c>
    </row>
    <row r="3" spans="1:4" x14ac:dyDescent="0.25">
      <c r="A3" s="1" t="s">
        <v>287</v>
      </c>
      <c r="B3" s="1" t="s">
        <v>728</v>
      </c>
      <c r="C3" s="1" t="s">
        <v>532</v>
      </c>
      <c r="D3" s="6"/>
    </row>
    <row r="4" spans="1:4" x14ac:dyDescent="0.25">
      <c r="A4" s="1" t="s">
        <v>151</v>
      </c>
      <c r="B4" s="1" t="s">
        <v>728</v>
      </c>
      <c r="C4" s="1" t="s">
        <v>382</v>
      </c>
    </row>
    <row r="5" spans="1:4" x14ac:dyDescent="0.25">
      <c r="A5" s="1" t="s">
        <v>296</v>
      </c>
      <c r="B5" t="s">
        <v>728</v>
      </c>
      <c r="C5" s="1" t="s">
        <v>540</v>
      </c>
    </row>
    <row r="6" spans="1:4" x14ac:dyDescent="0.25">
      <c r="A6" s="1" t="s">
        <v>166</v>
      </c>
      <c r="B6" t="s">
        <v>728</v>
      </c>
      <c r="C6" s="1" t="s">
        <v>397</v>
      </c>
    </row>
    <row r="7" spans="1:4" x14ac:dyDescent="0.25">
      <c r="A7" t="s">
        <v>249</v>
      </c>
      <c r="B7" t="s">
        <v>728</v>
      </c>
      <c r="C7" t="s">
        <v>492</v>
      </c>
    </row>
    <row r="8" spans="1:4" x14ac:dyDescent="0.25">
      <c r="A8" t="s">
        <v>230</v>
      </c>
      <c r="B8" t="s">
        <v>728</v>
      </c>
      <c r="C8" t="s">
        <v>468</v>
      </c>
    </row>
    <row r="9" spans="1:4" x14ac:dyDescent="0.25">
      <c r="A9" t="s">
        <v>235</v>
      </c>
      <c r="B9" t="s">
        <v>728</v>
      </c>
      <c r="C9" t="s">
        <v>479</v>
      </c>
    </row>
    <row r="10" spans="1:4" x14ac:dyDescent="0.25">
      <c r="A10" s="1" t="s">
        <v>284</v>
      </c>
      <c r="B10" s="1" t="s">
        <v>728</v>
      </c>
      <c r="C10" s="1" t="s">
        <v>529</v>
      </c>
    </row>
    <row r="11" spans="1:4" x14ac:dyDescent="0.25">
      <c r="A11" s="1" t="s">
        <v>272</v>
      </c>
      <c r="B11" t="s">
        <v>728</v>
      </c>
      <c r="C11" s="1" t="s">
        <v>515</v>
      </c>
    </row>
    <row r="12" spans="1:4" x14ac:dyDescent="0.25">
      <c r="A12" s="1" t="s">
        <v>253</v>
      </c>
      <c r="B12" s="1" t="s">
        <v>728</v>
      </c>
      <c r="C12" s="1" t="s">
        <v>496</v>
      </c>
    </row>
    <row r="13" spans="1:4" x14ac:dyDescent="0.25">
      <c r="A13" s="1" t="s">
        <v>289</v>
      </c>
      <c r="B13" s="1" t="s">
        <v>728</v>
      </c>
      <c r="C13" s="1" t="s">
        <v>533</v>
      </c>
    </row>
    <row r="14" spans="1:4" x14ac:dyDescent="0.25">
      <c r="A14" s="1" t="s">
        <v>276</v>
      </c>
      <c r="B14" t="s">
        <v>728</v>
      </c>
      <c r="C14" s="1" t="s">
        <v>520</v>
      </c>
    </row>
    <row r="15" spans="1:4" x14ac:dyDescent="0.25">
      <c r="A15" t="s">
        <v>209</v>
      </c>
      <c r="B15" t="s">
        <v>728</v>
      </c>
      <c r="C15" t="s">
        <v>448</v>
      </c>
    </row>
    <row r="16" spans="1:4" x14ac:dyDescent="0.25">
      <c r="A16" t="s">
        <v>211</v>
      </c>
      <c r="B16" t="s">
        <v>728</v>
      </c>
      <c r="C16" t="s">
        <v>451</v>
      </c>
    </row>
    <row r="17" spans="1:3" x14ac:dyDescent="0.25">
      <c r="A17" s="1" t="s">
        <v>168</v>
      </c>
      <c r="B17" t="s">
        <v>728</v>
      </c>
      <c r="C17" s="1" t="s">
        <v>399</v>
      </c>
    </row>
    <row r="18" spans="1:3" x14ac:dyDescent="0.25">
      <c r="A18" s="1" t="s">
        <v>279</v>
      </c>
      <c r="B18" t="s">
        <v>726</v>
      </c>
      <c r="C18" s="1" t="s">
        <v>524</v>
      </c>
    </row>
    <row r="19" spans="1:3" x14ac:dyDescent="0.25">
      <c r="A19" s="1" t="s">
        <v>293</v>
      </c>
      <c r="B19" t="s">
        <v>726</v>
      </c>
      <c r="C19" s="1" t="s">
        <v>537</v>
      </c>
    </row>
    <row r="20" spans="1:3" x14ac:dyDescent="0.25">
      <c r="A20" s="7" t="s">
        <v>158</v>
      </c>
      <c r="B20" t="s">
        <v>726</v>
      </c>
      <c r="C20" s="1" t="s">
        <v>389</v>
      </c>
    </row>
    <row r="21" spans="1:3" x14ac:dyDescent="0.25">
      <c r="A21" s="1" t="s">
        <v>256</v>
      </c>
      <c r="B21" t="s">
        <v>726</v>
      </c>
      <c r="C21" s="1" t="s">
        <v>499</v>
      </c>
    </row>
    <row r="22" spans="1:3" x14ac:dyDescent="0.25">
      <c r="A22" s="1" t="s">
        <v>286</v>
      </c>
      <c r="B22" t="s">
        <v>726</v>
      </c>
      <c r="C22" s="1" t="s">
        <v>531</v>
      </c>
    </row>
    <row r="23" spans="1:3" x14ac:dyDescent="0.25">
      <c r="A23" s="1" t="s">
        <v>285</v>
      </c>
      <c r="B23" t="s">
        <v>726</v>
      </c>
      <c r="C23" s="1" t="s">
        <v>530</v>
      </c>
    </row>
    <row r="24" spans="1:3" x14ac:dyDescent="0.25">
      <c r="A24" s="1" t="s">
        <v>180</v>
      </c>
      <c r="B24" t="s">
        <v>726</v>
      </c>
      <c r="C24" s="1" t="s">
        <v>413</v>
      </c>
    </row>
    <row r="25" spans="1:3" x14ac:dyDescent="0.25">
      <c r="A25" t="s">
        <v>237</v>
      </c>
      <c r="B25" t="s">
        <v>726</v>
      </c>
      <c r="C25" t="s">
        <v>480</v>
      </c>
    </row>
    <row r="26" spans="1:3" x14ac:dyDescent="0.25">
      <c r="A26" s="1" t="s">
        <v>351</v>
      </c>
      <c r="B26" t="s">
        <v>726</v>
      </c>
      <c r="C26" s="1" t="s">
        <v>426</v>
      </c>
    </row>
    <row r="27" spans="1:3" x14ac:dyDescent="0.25">
      <c r="A27" t="s">
        <v>362</v>
      </c>
      <c r="B27" t="s">
        <v>726</v>
      </c>
      <c r="C27" t="s">
        <v>473</v>
      </c>
    </row>
    <row r="28" spans="1:3" x14ac:dyDescent="0.25">
      <c r="A28" s="1" t="s">
        <v>270</v>
      </c>
      <c r="B28" t="s">
        <v>726</v>
      </c>
      <c r="C28" s="1" t="s">
        <v>513</v>
      </c>
    </row>
    <row r="29" spans="1:3" x14ac:dyDescent="0.25">
      <c r="A29" s="1" t="s">
        <v>142</v>
      </c>
      <c r="B29" t="s">
        <v>726</v>
      </c>
      <c r="C29" s="1" t="s">
        <v>371</v>
      </c>
    </row>
    <row r="30" spans="1:3" x14ac:dyDescent="0.25">
      <c r="A30" t="s">
        <v>244</v>
      </c>
      <c r="B30" t="s">
        <v>726</v>
      </c>
      <c r="C30" t="s">
        <v>487</v>
      </c>
    </row>
    <row r="31" spans="1:3" x14ac:dyDescent="0.25">
      <c r="A31" t="s">
        <v>361</v>
      </c>
      <c r="B31" s="1" t="s">
        <v>726</v>
      </c>
      <c r="C31" t="s">
        <v>472</v>
      </c>
    </row>
    <row r="32" spans="1:3" x14ac:dyDescent="0.25">
      <c r="A32" s="1" t="s">
        <v>347</v>
      </c>
      <c r="B32" s="1" t="s">
        <v>733</v>
      </c>
      <c r="C32" s="1" t="s">
        <v>402</v>
      </c>
    </row>
    <row r="33" spans="1:3" x14ac:dyDescent="0.25">
      <c r="A33" s="1" t="s">
        <v>186</v>
      </c>
      <c r="B33" s="1" t="s">
        <v>733</v>
      </c>
      <c r="C33" s="1" t="s">
        <v>419</v>
      </c>
    </row>
    <row r="34" spans="1:3" x14ac:dyDescent="0.25">
      <c r="A34" s="1" t="s">
        <v>306</v>
      </c>
      <c r="B34" s="1" t="s">
        <v>733</v>
      </c>
      <c r="C34" s="1" t="s">
        <v>550</v>
      </c>
    </row>
    <row r="35" spans="1:3" x14ac:dyDescent="0.25">
      <c r="A35" t="s">
        <v>243</v>
      </c>
      <c r="B35" t="s">
        <v>733</v>
      </c>
      <c r="C35" t="s">
        <v>486</v>
      </c>
    </row>
    <row r="36" spans="1:3" x14ac:dyDescent="0.25">
      <c r="A36" s="1" t="s">
        <v>154</v>
      </c>
      <c r="B36" t="s">
        <v>733</v>
      </c>
      <c r="C36" s="1" t="s">
        <v>385</v>
      </c>
    </row>
    <row r="37" spans="1:3" x14ac:dyDescent="0.25">
      <c r="A37" s="1" t="s">
        <v>307</v>
      </c>
      <c r="B37" t="s">
        <v>733</v>
      </c>
      <c r="C37" s="1" t="s">
        <v>551</v>
      </c>
    </row>
    <row r="38" spans="1:3" x14ac:dyDescent="0.25">
      <c r="A38" s="1" t="s">
        <v>144</v>
      </c>
      <c r="B38" s="1" t="s">
        <v>733</v>
      </c>
      <c r="C38" s="1" t="s">
        <v>373</v>
      </c>
    </row>
    <row r="39" spans="1:3" x14ac:dyDescent="0.25">
      <c r="A39" s="1" t="s">
        <v>297</v>
      </c>
      <c r="B39" s="1" t="s">
        <v>733</v>
      </c>
      <c r="C39" s="1" t="s">
        <v>541</v>
      </c>
    </row>
    <row r="40" spans="1:3" x14ac:dyDescent="0.25">
      <c r="A40" s="1" t="s">
        <v>149</v>
      </c>
      <c r="B40" t="s">
        <v>733</v>
      </c>
      <c r="C40" s="1" t="s">
        <v>379</v>
      </c>
    </row>
    <row r="41" spans="1:3" x14ac:dyDescent="0.25">
      <c r="A41" s="1" t="s">
        <v>189</v>
      </c>
      <c r="B41" t="s">
        <v>733</v>
      </c>
      <c r="C41" s="1" t="s">
        <v>425</v>
      </c>
    </row>
    <row r="42" spans="1:3" x14ac:dyDescent="0.25">
      <c r="A42" t="s">
        <v>360</v>
      </c>
      <c r="B42" t="s">
        <v>733</v>
      </c>
      <c r="C42" t="s">
        <v>471</v>
      </c>
    </row>
    <row r="43" spans="1:3" x14ac:dyDescent="0.25">
      <c r="A43" s="1" t="s">
        <v>349</v>
      </c>
      <c r="B43" s="1" t="s">
        <v>733</v>
      </c>
      <c r="C43" s="1" t="s">
        <v>421</v>
      </c>
    </row>
    <row r="44" spans="1:3" x14ac:dyDescent="0.25">
      <c r="A44" s="1" t="s">
        <v>291</v>
      </c>
      <c r="B44" s="1" t="s">
        <v>733</v>
      </c>
      <c r="C44" s="1" t="s">
        <v>535</v>
      </c>
    </row>
    <row r="45" spans="1:3" x14ac:dyDescent="0.25">
      <c r="A45" s="1" t="s">
        <v>273</v>
      </c>
      <c r="B45" s="1" t="s">
        <v>733</v>
      </c>
      <c r="C45" s="1" t="s">
        <v>516</v>
      </c>
    </row>
    <row r="46" spans="1:3" x14ac:dyDescent="0.25">
      <c r="A46" s="1" t="s">
        <v>259</v>
      </c>
      <c r="B46" s="1" t="s">
        <v>733</v>
      </c>
      <c r="C46" s="1" t="s">
        <v>502</v>
      </c>
    </row>
    <row r="47" spans="1:3" x14ac:dyDescent="0.25">
      <c r="A47" s="1" t="s">
        <v>309</v>
      </c>
      <c r="B47" t="s">
        <v>729</v>
      </c>
      <c r="C47" s="1" t="s">
        <v>553</v>
      </c>
    </row>
    <row r="48" spans="1:3" x14ac:dyDescent="0.25">
      <c r="A48" t="s">
        <v>247</v>
      </c>
      <c r="B48" t="s">
        <v>729</v>
      </c>
      <c r="C48" t="s">
        <v>490</v>
      </c>
    </row>
    <row r="49" spans="1:3" x14ac:dyDescent="0.25">
      <c r="A49" t="s">
        <v>218</v>
      </c>
      <c r="B49" t="s">
        <v>729</v>
      </c>
      <c r="C49" t="s">
        <v>459</v>
      </c>
    </row>
    <row r="50" spans="1:3" x14ac:dyDescent="0.25">
      <c r="A50" t="s">
        <v>215</v>
      </c>
      <c r="B50" t="s">
        <v>729</v>
      </c>
      <c r="C50" t="s">
        <v>458</v>
      </c>
    </row>
    <row r="51" spans="1:3" x14ac:dyDescent="0.25">
      <c r="A51" t="s">
        <v>241</v>
      </c>
      <c r="B51" t="s">
        <v>729</v>
      </c>
      <c r="C51" t="s">
        <v>484</v>
      </c>
    </row>
    <row r="52" spans="1:3" x14ac:dyDescent="0.25">
      <c r="A52" t="s">
        <v>221</v>
      </c>
      <c r="B52" t="s">
        <v>729</v>
      </c>
      <c r="C52" t="s">
        <v>462</v>
      </c>
    </row>
    <row r="53" spans="1:3" x14ac:dyDescent="0.25">
      <c r="A53" s="1" t="s">
        <v>152</v>
      </c>
      <c r="B53" t="s">
        <v>729</v>
      </c>
      <c r="C53" s="1" t="s">
        <v>383</v>
      </c>
    </row>
    <row r="54" spans="1:3" x14ac:dyDescent="0.25">
      <c r="A54" t="s">
        <v>236</v>
      </c>
      <c r="B54" t="s">
        <v>729</v>
      </c>
      <c r="C54" t="s">
        <v>405</v>
      </c>
    </row>
    <row r="55" spans="1:3" x14ac:dyDescent="0.25">
      <c r="A55" s="1" t="s">
        <v>162</v>
      </c>
      <c r="B55" s="1" t="s">
        <v>729</v>
      </c>
      <c r="C55" s="1" t="s">
        <v>400</v>
      </c>
    </row>
    <row r="56" spans="1:3" x14ac:dyDescent="0.25">
      <c r="A56" t="s">
        <v>226</v>
      </c>
      <c r="B56" t="s">
        <v>729</v>
      </c>
      <c r="C56" t="s">
        <v>465</v>
      </c>
    </row>
    <row r="57" spans="1:3" x14ac:dyDescent="0.25">
      <c r="A57" s="1" t="s">
        <v>308</v>
      </c>
      <c r="B57" t="s">
        <v>729</v>
      </c>
      <c r="C57" s="1" t="s">
        <v>552</v>
      </c>
    </row>
    <row r="58" spans="1:3" x14ac:dyDescent="0.25">
      <c r="A58" s="1" t="s">
        <v>269</v>
      </c>
      <c r="B58" t="s">
        <v>729</v>
      </c>
      <c r="C58" s="1" t="s">
        <v>512</v>
      </c>
    </row>
    <row r="59" spans="1:3" x14ac:dyDescent="0.25">
      <c r="A59" s="1" t="s">
        <v>263</v>
      </c>
      <c r="B59" s="1" t="s">
        <v>729</v>
      </c>
      <c r="C59" s="1" t="s">
        <v>506</v>
      </c>
    </row>
    <row r="60" spans="1:3" x14ac:dyDescent="0.25">
      <c r="A60" t="s">
        <v>234</v>
      </c>
      <c r="B60" t="s">
        <v>729</v>
      </c>
      <c r="C60" t="s">
        <v>478</v>
      </c>
    </row>
    <row r="61" spans="1:3" x14ac:dyDescent="0.25">
      <c r="A61" t="s">
        <v>352</v>
      </c>
      <c r="B61" s="1" t="s">
        <v>729</v>
      </c>
      <c r="C61" t="s">
        <v>436</v>
      </c>
    </row>
    <row r="62" spans="1:3" x14ac:dyDescent="0.25">
      <c r="A62" s="1" t="s">
        <v>178</v>
      </c>
      <c r="B62" s="1" t="s">
        <v>729</v>
      </c>
      <c r="C62" s="1" t="s">
        <v>411</v>
      </c>
    </row>
    <row r="63" spans="1:3" x14ac:dyDescent="0.25">
      <c r="A63" s="1" t="s">
        <v>165</v>
      </c>
      <c r="B63" t="s">
        <v>729</v>
      </c>
      <c r="C63" s="1" t="s">
        <v>396</v>
      </c>
    </row>
    <row r="64" spans="1:3" x14ac:dyDescent="0.25">
      <c r="A64" t="s">
        <v>238</v>
      </c>
      <c r="B64" t="s">
        <v>729</v>
      </c>
      <c r="C64" t="s">
        <v>481</v>
      </c>
    </row>
    <row r="65" spans="1:3" x14ac:dyDescent="0.25">
      <c r="A65" t="s">
        <v>359</v>
      </c>
      <c r="B65" t="s">
        <v>729</v>
      </c>
      <c r="C65" t="s">
        <v>415</v>
      </c>
    </row>
    <row r="66" spans="1:3" x14ac:dyDescent="0.25">
      <c r="A66" s="1" t="s">
        <v>155</v>
      </c>
      <c r="B66" s="1" t="s">
        <v>727</v>
      </c>
      <c r="C66" s="1" t="s">
        <v>386</v>
      </c>
    </row>
    <row r="67" spans="1:3" x14ac:dyDescent="0.25">
      <c r="A67" t="s">
        <v>200</v>
      </c>
      <c r="B67" t="s">
        <v>727</v>
      </c>
      <c r="C67" t="s">
        <v>439</v>
      </c>
    </row>
    <row r="68" spans="1:3" x14ac:dyDescent="0.25">
      <c r="A68" s="1" t="s">
        <v>322</v>
      </c>
      <c r="B68" s="1" t="s">
        <v>727</v>
      </c>
      <c r="C68" s="1" t="s">
        <v>566</v>
      </c>
    </row>
    <row r="69" spans="1:3" x14ac:dyDescent="0.25">
      <c r="A69" s="1" t="s">
        <v>329</v>
      </c>
      <c r="B69" s="1" t="s">
        <v>727</v>
      </c>
      <c r="C69" s="1" t="s">
        <v>369</v>
      </c>
    </row>
    <row r="70" spans="1:3" x14ac:dyDescent="0.25">
      <c r="A70" s="1" t="s">
        <v>315</v>
      </c>
      <c r="B70" s="1" t="s">
        <v>727</v>
      </c>
      <c r="C70" s="1" t="s">
        <v>559</v>
      </c>
    </row>
    <row r="71" spans="1:3" x14ac:dyDescent="0.25">
      <c r="A71" s="1" t="s">
        <v>275</v>
      </c>
      <c r="B71" t="s">
        <v>727</v>
      </c>
      <c r="C71" s="1" t="s">
        <v>518</v>
      </c>
    </row>
    <row r="72" spans="1:3" x14ac:dyDescent="0.25">
      <c r="A72" s="1" t="s">
        <v>254</v>
      </c>
      <c r="B72" t="s">
        <v>727</v>
      </c>
      <c r="C72" s="1" t="s">
        <v>497</v>
      </c>
    </row>
    <row r="73" spans="1:3" x14ac:dyDescent="0.25">
      <c r="A73" s="1" t="s">
        <v>173</v>
      </c>
      <c r="B73" t="s">
        <v>727</v>
      </c>
      <c r="C73" s="1" t="s">
        <v>406</v>
      </c>
    </row>
    <row r="74" spans="1:3" x14ac:dyDescent="0.25">
      <c r="A74" t="s">
        <v>202</v>
      </c>
      <c r="B74" t="s">
        <v>727</v>
      </c>
      <c r="C74" t="s">
        <v>441</v>
      </c>
    </row>
    <row r="75" spans="1:3" x14ac:dyDescent="0.25">
      <c r="A75" t="s">
        <v>197</v>
      </c>
      <c r="B75" t="s">
        <v>727</v>
      </c>
      <c r="C75" t="s">
        <v>435</v>
      </c>
    </row>
    <row r="76" spans="1:3" x14ac:dyDescent="0.25">
      <c r="A76" s="1" t="s">
        <v>183</v>
      </c>
      <c r="B76" s="1" t="s">
        <v>727</v>
      </c>
      <c r="C76" s="1" t="s">
        <v>416</v>
      </c>
    </row>
    <row r="77" spans="1:3" x14ac:dyDescent="0.25">
      <c r="A77" s="1" t="s">
        <v>325</v>
      </c>
      <c r="B77" s="1" t="s">
        <v>727</v>
      </c>
      <c r="C77" s="1" t="s">
        <v>569</v>
      </c>
    </row>
    <row r="78" spans="1:3" x14ac:dyDescent="0.25">
      <c r="A78" t="s">
        <v>204</v>
      </c>
      <c r="B78" s="1" t="s">
        <v>727</v>
      </c>
      <c r="C78" t="s">
        <v>443</v>
      </c>
    </row>
    <row r="79" spans="1:3" x14ac:dyDescent="0.25">
      <c r="A79" s="1" t="s">
        <v>301</v>
      </c>
      <c r="B79" s="1" t="s">
        <v>727</v>
      </c>
      <c r="C79" s="1" t="s">
        <v>545</v>
      </c>
    </row>
    <row r="80" spans="1:3" x14ac:dyDescent="0.25">
      <c r="A80" s="1" t="s">
        <v>179</v>
      </c>
      <c r="B80" s="1" t="s">
        <v>727</v>
      </c>
      <c r="C80" s="1" t="s">
        <v>412</v>
      </c>
    </row>
    <row r="81" spans="1:3" x14ac:dyDescent="0.25">
      <c r="A81" s="1" t="s">
        <v>258</v>
      </c>
      <c r="B81" s="1" t="s">
        <v>727</v>
      </c>
      <c r="C81" s="1" t="s">
        <v>501</v>
      </c>
    </row>
    <row r="82" spans="1:3" x14ac:dyDescent="0.25">
      <c r="A82" t="s">
        <v>353</v>
      </c>
      <c r="B82" s="1" t="s">
        <v>727</v>
      </c>
      <c r="C82" t="s">
        <v>370</v>
      </c>
    </row>
    <row r="83" spans="1:3" x14ac:dyDescent="0.25">
      <c r="A83" s="1" t="s">
        <v>277</v>
      </c>
      <c r="B83" t="s">
        <v>727</v>
      </c>
      <c r="C83" s="1" t="s">
        <v>521</v>
      </c>
    </row>
    <row r="84" spans="1:3" x14ac:dyDescent="0.25">
      <c r="A84" s="1" t="s">
        <v>367</v>
      </c>
      <c r="B84" s="1" t="s">
        <v>727</v>
      </c>
      <c r="C84" s="1" t="s">
        <v>430</v>
      </c>
    </row>
    <row r="85" spans="1:3" x14ac:dyDescent="0.25">
      <c r="A85" s="1" t="s">
        <v>194</v>
      </c>
      <c r="B85" s="1" t="s">
        <v>727</v>
      </c>
      <c r="C85" s="1" t="s">
        <v>432</v>
      </c>
    </row>
    <row r="86" spans="1:3" x14ac:dyDescent="0.25">
      <c r="A86" s="1" t="s">
        <v>318</v>
      </c>
      <c r="B86" t="s">
        <v>753</v>
      </c>
      <c r="C86" s="1" t="s">
        <v>562</v>
      </c>
    </row>
    <row r="87" spans="1:3" x14ac:dyDescent="0.25">
      <c r="A87" s="1" t="s">
        <v>319</v>
      </c>
      <c r="B87" t="s">
        <v>753</v>
      </c>
      <c r="C87" s="1" t="s">
        <v>563</v>
      </c>
    </row>
    <row r="88" spans="1:3" x14ac:dyDescent="0.25">
      <c r="A88" s="1" t="s">
        <v>316</v>
      </c>
      <c r="B88" t="s">
        <v>753</v>
      </c>
      <c r="C88" s="1" t="s">
        <v>560</v>
      </c>
    </row>
    <row r="89" spans="1:3" x14ac:dyDescent="0.25">
      <c r="A89" s="1" t="s">
        <v>268</v>
      </c>
      <c r="B89" t="s">
        <v>753</v>
      </c>
      <c r="C89" s="1" t="s">
        <v>511</v>
      </c>
    </row>
    <row r="90" spans="1:3" x14ac:dyDescent="0.25">
      <c r="A90" s="1" t="s">
        <v>265</v>
      </c>
      <c r="B90" t="s">
        <v>753</v>
      </c>
      <c r="C90" s="1" t="s">
        <v>508</v>
      </c>
    </row>
    <row r="91" spans="1:3" x14ac:dyDescent="0.25">
      <c r="A91" s="1" t="s">
        <v>262</v>
      </c>
      <c r="B91" t="s">
        <v>753</v>
      </c>
      <c r="C91" s="1" t="s">
        <v>505</v>
      </c>
    </row>
    <row r="92" spans="1:3" x14ac:dyDescent="0.25">
      <c r="A92" s="1" t="s">
        <v>303</v>
      </c>
      <c r="B92" t="s">
        <v>744</v>
      </c>
      <c r="C92" s="1" t="s">
        <v>547</v>
      </c>
    </row>
    <row r="93" spans="1:3" x14ac:dyDescent="0.25">
      <c r="A93" t="s">
        <v>356</v>
      </c>
      <c r="B93" s="1" t="s">
        <v>744</v>
      </c>
      <c r="C93" t="s">
        <v>454</v>
      </c>
    </row>
    <row r="94" spans="1:3" x14ac:dyDescent="0.25">
      <c r="A94" s="1" t="s">
        <v>280</v>
      </c>
      <c r="B94" s="1" t="s">
        <v>744</v>
      </c>
      <c r="C94" s="1" t="s">
        <v>525</v>
      </c>
    </row>
    <row r="95" spans="1:3" x14ac:dyDescent="0.25">
      <c r="A95" s="1" t="s">
        <v>164</v>
      </c>
      <c r="B95" s="1" t="s">
        <v>744</v>
      </c>
      <c r="C95" s="1" t="s">
        <v>395</v>
      </c>
    </row>
    <row r="96" spans="1:3" x14ac:dyDescent="0.25">
      <c r="A96" s="1" t="s">
        <v>312</v>
      </c>
      <c r="B96" t="s">
        <v>731</v>
      </c>
      <c r="C96" s="1" t="s">
        <v>556</v>
      </c>
    </row>
    <row r="97" spans="1:3" x14ac:dyDescent="0.25">
      <c r="A97" t="s">
        <v>248</v>
      </c>
      <c r="B97" t="s">
        <v>731</v>
      </c>
      <c r="C97" t="s">
        <v>491</v>
      </c>
    </row>
    <row r="98" spans="1:3" x14ac:dyDescent="0.25">
      <c r="A98" s="1" t="s">
        <v>267</v>
      </c>
      <c r="B98" t="s">
        <v>731</v>
      </c>
      <c r="C98" s="1" t="s">
        <v>510</v>
      </c>
    </row>
    <row r="99" spans="1:3" x14ac:dyDescent="0.25">
      <c r="A99" s="1" t="s">
        <v>167</v>
      </c>
      <c r="B99" t="s">
        <v>731</v>
      </c>
      <c r="C99" s="1" t="s">
        <v>398</v>
      </c>
    </row>
    <row r="100" spans="1:3" x14ac:dyDescent="0.25">
      <c r="A100" t="s">
        <v>207</v>
      </c>
      <c r="B100" t="s">
        <v>731</v>
      </c>
      <c r="C100" t="s">
        <v>446</v>
      </c>
    </row>
    <row r="101" spans="1:3" x14ac:dyDescent="0.25">
      <c r="A101" s="1" t="s">
        <v>181</v>
      </c>
      <c r="B101" t="s">
        <v>731</v>
      </c>
      <c r="C101" s="1" t="s">
        <v>414</v>
      </c>
    </row>
    <row r="102" spans="1:3" x14ac:dyDescent="0.25">
      <c r="A102" t="s">
        <v>245</v>
      </c>
      <c r="B102" t="s">
        <v>731</v>
      </c>
      <c r="C102" t="s">
        <v>488</v>
      </c>
    </row>
    <row r="103" spans="1:3" x14ac:dyDescent="0.25">
      <c r="A103" s="1" t="s">
        <v>172</v>
      </c>
      <c r="B103" s="1" t="s">
        <v>731</v>
      </c>
      <c r="C103" s="1" t="s">
        <v>405</v>
      </c>
    </row>
    <row r="104" spans="1:3" x14ac:dyDescent="0.25">
      <c r="A104" s="1" t="s">
        <v>169</v>
      </c>
      <c r="B104" s="1" t="s">
        <v>731</v>
      </c>
      <c r="C104" s="1" t="s">
        <v>401</v>
      </c>
    </row>
    <row r="105" spans="1:3" x14ac:dyDescent="0.25">
      <c r="A105" s="1" t="s">
        <v>271</v>
      </c>
      <c r="B105" s="1" t="s">
        <v>731</v>
      </c>
      <c r="C105" s="1" t="s">
        <v>514</v>
      </c>
    </row>
    <row r="106" spans="1:3" x14ac:dyDescent="0.25">
      <c r="A106" s="1" t="s">
        <v>146</v>
      </c>
      <c r="B106" s="1" t="s">
        <v>731</v>
      </c>
      <c r="C106" s="1" t="s">
        <v>375</v>
      </c>
    </row>
    <row r="107" spans="1:3" x14ac:dyDescent="0.25">
      <c r="A107" t="s">
        <v>358</v>
      </c>
      <c r="B107" t="s">
        <v>731</v>
      </c>
      <c r="C107" t="s">
        <v>470</v>
      </c>
    </row>
    <row r="108" spans="1:3" x14ac:dyDescent="0.25">
      <c r="A108" s="1" t="s">
        <v>283</v>
      </c>
      <c r="B108" s="1" t="s">
        <v>731</v>
      </c>
      <c r="C108" s="1" t="s">
        <v>528</v>
      </c>
    </row>
    <row r="109" spans="1:3" x14ac:dyDescent="0.25">
      <c r="A109" t="s">
        <v>206</v>
      </c>
      <c r="B109" t="s">
        <v>734</v>
      </c>
      <c r="C109" t="s">
        <v>445</v>
      </c>
    </row>
    <row r="110" spans="1:3" x14ac:dyDescent="0.25">
      <c r="A110" s="1" t="s">
        <v>188</v>
      </c>
      <c r="B110" t="s">
        <v>734</v>
      </c>
      <c r="C110" s="1" t="s">
        <v>423</v>
      </c>
    </row>
    <row r="111" spans="1:3" x14ac:dyDescent="0.25">
      <c r="A111" s="1" t="s">
        <v>176</v>
      </c>
      <c r="B111" t="s">
        <v>734</v>
      </c>
      <c r="C111" s="1" t="s">
        <v>409</v>
      </c>
    </row>
    <row r="112" spans="1:3" x14ac:dyDescent="0.25">
      <c r="A112" s="1" t="s">
        <v>196</v>
      </c>
      <c r="B112" s="1" t="s">
        <v>734</v>
      </c>
      <c r="C112" s="1" t="s">
        <v>434</v>
      </c>
    </row>
    <row r="113" spans="1:3" x14ac:dyDescent="0.25">
      <c r="A113" t="s">
        <v>198</v>
      </c>
      <c r="B113" s="1" t="s">
        <v>734</v>
      </c>
      <c r="C113" t="s">
        <v>437</v>
      </c>
    </row>
    <row r="114" spans="1:3" x14ac:dyDescent="0.25">
      <c r="A114" s="1" t="s">
        <v>260</v>
      </c>
      <c r="B114" t="s">
        <v>736</v>
      </c>
      <c r="C114" s="1" t="s">
        <v>503</v>
      </c>
    </row>
    <row r="115" spans="1:3" x14ac:dyDescent="0.25">
      <c r="A115" s="1" t="s">
        <v>261</v>
      </c>
      <c r="B115" t="s">
        <v>736</v>
      </c>
      <c r="C115" s="1" t="s">
        <v>504</v>
      </c>
    </row>
    <row r="116" spans="1:3" x14ac:dyDescent="0.25">
      <c r="A116" t="s">
        <v>227</v>
      </c>
      <c r="B116" t="s">
        <v>736</v>
      </c>
      <c r="C116" t="s">
        <v>466</v>
      </c>
    </row>
    <row r="117" spans="1:3" x14ac:dyDescent="0.25">
      <c r="A117" s="1" t="s">
        <v>264</v>
      </c>
      <c r="B117" t="s">
        <v>736</v>
      </c>
      <c r="C117" s="1" t="s">
        <v>507</v>
      </c>
    </row>
    <row r="118" spans="1:3" x14ac:dyDescent="0.25">
      <c r="A118" t="s">
        <v>203</v>
      </c>
      <c r="B118" t="s">
        <v>735</v>
      </c>
      <c r="C118" t="s">
        <v>442</v>
      </c>
    </row>
    <row r="119" spans="1:3" x14ac:dyDescent="0.25">
      <c r="A119" s="1" t="s">
        <v>160</v>
      </c>
      <c r="B119" s="1" t="s">
        <v>735</v>
      </c>
      <c r="C119" s="1" t="s">
        <v>391</v>
      </c>
    </row>
    <row r="120" spans="1:3" x14ac:dyDescent="0.25">
      <c r="A120" t="s">
        <v>240</v>
      </c>
      <c r="B120" s="1" t="s">
        <v>735</v>
      </c>
      <c r="C120" t="s">
        <v>483</v>
      </c>
    </row>
    <row r="121" spans="1:3" x14ac:dyDescent="0.25">
      <c r="A121" s="1" t="s">
        <v>143</v>
      </c>
      <c r="B121" s="1" t="s">
        <v>735</v>
      </c>
      <c r="C121" s="1" t="s">
        <v>372</v>
      </c>
    </row>
    <row r="122" spans="1:3" x14ac:dyDescent="0.25">
      <c r="A122" s="1" t="s">
        <v>295</v>
      </c>
      <c r="B122" t="s">
        <v>732</v>
      </c>
      <c r="C122" s="1" t="s">
        <v>539</v>
      </c>
    </row>
    <row r="123" spans="1:3" x14ac:dyDescent="0.25">
      <c r="A123" t="s">
        <v>210</v>
      </c>
      <c r="B123" t="s">
        <v>732</v>
      </c>
      <c r="C123" t="s">
        <v>449</v>
      </c>
    </row>
    <row r="124" spans="1:3" x14ac:dyDescent="0.25">
      <c r="A124" s="1" t="s">
        <v>141</v>
      </c>
      <c r="B124" t="s">
        <v>732</v>
      </c>
      <c r="C124" s="1" t="s">
        <v>321</v>
      </c>
    </row>
    <row r="125" spans="1:3" x14ac:dyDescent="0.25">
      <c r="A125" s="1" t="s">
        <v>163</v>
      </c>
      <c r="B125" s="1" t="s">
        <v>732</v>
      </c>
      <c r="C125" s="1" t="s">
        <v>394</v>
      </c>
    </row>
    <row r="126" spans="1:3" x14ac:dyDescent="0.25">
      <c r="A126" t="s">
        <v>223</v>
      </c>
      <c r="B126" t="s">
        <v>732</v>
      </c>
      <c r="C126" t="s">
        <v>464</v>
      </c>
    </row>
    <row r="127" spans="1:3" x14ac:dyDescent="0.25">
      <c r="A127" t="s">
        <v>233</v>
      </c>
      <c r="B127" t="s">
        <v>732</v>
      </c>
      <c r="C127" t="s">
        <v>477</v>
      </c>
    </row>
    <row r="128" spans="1:3" x14ac:dyDescent="0.25">
      <c r="A128" t="s">
        <v>251</v>
      </c>
      <c r="B128" t="s">
        <v>732</v>
      </c>
      <c r="C128" t="s">
        <v>494</v>
      </c>
    </row>
    <row r="129" spans="1:3" x14ac:dyDescent="0.25">
      <c r="A129" s="1" t="s">
        <v>148</v>
      </c>
      <c r="B129" s="1" t="s">
        <v>732</v>
      </c>
      <c r="C129" s="1" t="s">
        <v>377</v>
      </c>
    </row>
    <row r="130" spans="1:3" x14ac:dyDescent="0.25">
      <c r="A130" t="s">
        <v>220</v>
      </c>
      <c r="B130" t="s">
        <v>732</v>
      </c>
      <c r="C130" t="s">
        <v>461</v>
      </c>
    </row>
    <row r="131" spans="1:3" x14ac:dyDescent="0.25">
      <c r="A131" t="s">
        <v>354</v>
      </c>
      <c r="B131" t="s">
        <v>732</v>
      </c>
      <c r="C131" t="s">
        <v>450</v>
      </c>
    </row>
    <row r="132" spans="1:3" x14ac:dyDescent="0.25">
      <c r="A132" t="s">
        <v>246</v>
      </c>
      <c r="B132" t="s">
        <v>732</v>
      </c>
      <c r="C132" t="s">
        <v>489</v>
      </c>
    </row>
    <row r="133" spans="1:3" x14ac:dyDescent="0.25">
      <c r="A133" s="1" t="s">
        <v>328</v>
      </c>
      <c r="B133" s="1" t="s">
        <v>732</v>
      </c>
      <c r="C133" s="1" t="s">
        <v>369</v>
      </c>
    </row>
    <row r="134" spans="1:3" x14ac:dyDescent="0.25">
      <c r="A134" s="1" t="s">
        <v>184</v>
      </c>
      <c r="B134" s="1" t="s">
        <v>732</v>
      </c>
      <c r="C134" s="1" t="s">
        <v>417</v>
      </c>
    </row>
    <row r="135" spans="1:3" x14ac:dyDescent="0.25">
      <c r="A135" s="1" t="s">
        <v>317</v>
      </c>
      <c r="B135" s="1" t="s">
        <v>732</v>
      </c>
      <c r="C135" s="1" t="s">
        <v>561</v>
      </c>
    </row>
    <row r="136" spans="1:3" x14ac:dyDescent="0.25">
      <c r="A136" s="1" t="s">
        <v>182</v>
      </c>
      <c r="B136" t="s">
        <v>732</v>
      </c>
      <c r="C136" s="1" t="s">
        <v>415</v>
      </c>
    </row>
    <row r="137" spans="1:3" x14ac:dyDescent="0.25">
      <c r="A137" s="1" t="s">
        <v>190</v>
      </c>
      <c r="B137" s="1" t="s">
        <v>732</v>
      </c>
      <c r="C137" s="1" t="s">
        <v>427</v>
      </c>
    </row>
    <row r="138" spans="1:3" x14ac:dyDescent="0.25">
      <c r="A138" s="1" t="s">
        <v>175</v>
      </c>
      <c r="B138" s="1" t="s">
        <v>743</v>
      </c>
      <c r="C138" s="1" t="s">
        <v>408</v>
      </c>
    </row>
    <row r="139" spans="1:3" x14ac:dyDescent="0.25">
      <c r="A139" s="1" t="s">
        <v>252</v>
      </c>
      <c r="B139" t="s">
        <v>743</v>
      </c>
      <c r="C139" s="1" t="s">
        <v>495</v>
      </c>
    </row>
    <row r="140" spans="1:3" x14ac:dyDescent="0.25">
      <c r="A140" s="1" t="s">
        <v>366</v>
      </c>
      <c r="B140" s="1" t="s">
        <v>743</v>
      </c>
      <c r="C140" s="1" t="s">
        <v>522</v>
      </c>
    </row>
    <row r="141" spans="1:3" x14ac:dyDescent="0.25">
      <c r="A141" s="1" t="s">
        <v>274</v>
      </c>
      <c r="B141" s="1" t="s">
        <v>743</v>
      </c>
      <c r="C141" s="1" t="s">
        <v>517</v>
      </c>
    </row>
    <row r="142" spans="1:3" x14ac:dyDescent="0.25">
      <c r="A142" t="s">
        <v>229</v>
      </c>
      <c r="B142" s="1" t="s">
        <v>743</v>
      </c>
      <c r="C142" t="s">
        <v>467</v>
      </c>
    </row>
    <row r="143" spans="1:3" x14ac:dyDescent="0.25">
      <c r="A143" s="1" t="s">
        <v>147</v>
      </c>
      <c r="B143" t="s">
        <v>743</v>
      </c>
      <c r="C143" s="1" t="s">
        <v>376</v>
      </c>
    </row>
    <row r="144" spans="1:3" x14ac:dyDescent="0.25">
      <c r="A144" t="s">
        <v>239</v>
      </c>
      <c r="B144" s="1" t="s">
        <v>743</v>
      </c>
      <c r="C144" t="s">
        <v>482</v>
      </c>
    </row>
    <row r="145" spans="1:3" x14ac:dyDescent="0.25">
      <c r="A145" t="s">
        <v>214</v>
      </c>
      <c r="B145" t="s">
        <v>743</v>
      </c>
      <c r="C145" t="s">
        <v>457</v>
      </c>
    </row>
    <row r="146" spans="1:3" x14ac:dyDescent="0.25">
      <c r="A146" s="1" t="s">
        <v>161</v>
      </c>
      <c r="B146" s="1" t="s">
        <v>740</v>
      </c>
      <c r="C146" s="1" t="s">
        <v>392</v>
      </c>
    </row>
    <row r="147" spans="1:3" x14ac:dyDescent="0.25">
      <c r="A147" s="1" t="s">
        <v>310</v>
      </c>
      <c r="B147" s="1" t="s">
        <v>740</v>
      </c>
      <c r="C147" s="1" t="s">
        <v>554</v>
      </c>
    </row>
    <row r="148" spans="1:3" x14ac:dyDescent="0.25">
      <c r="A148" s="1" t="s">
        <v>323</v>
      </c>
      <c r="B148" s="1" t="s">
        <v>740</v>
      </c>
      <c r="C148" s="1" t="s">
        <v>567</v>
      </c>
    </row>
    <row r="149" spans="1:3" x14ac:dyDescent="0.25">
      <c r="A149" s="1" t="s">
        <v>304</v>
      </c>
      <c r="B149" s="1" t="s">
        <v>740</v>
      </c>
      <c r="C149" s="1" t="s">
        <v>548</v>
      </c>
    </row>
    <row r="150" spans="1:3" x14ac:dyDescent="0.25">
      <c r="A150" t="s">
        <v>216</v>
      </c>
      <c r="B150" s="1" t="s">
        <v>740</v>
      </c>
      <c r="C150" t="s">
        <v>279</v>
      </c>
    </row>
    <row r="151" spans="1:3" x14ac:dyDescent="0.25">
      <c r="A151" t="s">
        <v>357</v>
      </c>
      <c r="B151" s="1" t="s">
        <v>740</v>
      </c>
      <c r="C151" t="s">
        <v>455</v>
      </c>
    </row>
    <row r="152" spans="1:3" x14ac:dyDescent="0.25">
      <c r="A152" t="s">
        <v>228</v>
      </c>
      <c r="B152" t="s">
        <v>725</v>
      </c>
      <c r="C152" t="s">
        <v>397</v>
      </c>
    </row>
    <row r="153" spans="1:3" x14ac:dyDescent="0.25">
      <c r="A153" t="s">
        <v>242</v>
      </c>
      <c r="B153" t="s">
        <v>725</v>
      </c>
      <c r="C153" t="s">
        <v>485</v>
      </c>
    </row>
    <row r="154" spans="1:3" x14ac:dyDescent="0.25">
      <c r="A154" s="1" t="s">
        <v>281</v>
      </c>
      <c r="B154" s="1" t="s">
        <v>725</v>
      </c>
      <c r="C154" s="1" t="s">
        <v>526</v>
      </c>
    </row>
    <row r="155" spans="1:3" x14ac:dyDescent="0.25">
      <c r="A155" t="s">
        <v>217</v>
      </c>
      <c r="B155" t="s">
        <v>725</v>
      </c>
      <c r="C155" t="s">
        <v>323</v>
      </c>
    </row>
    <row r="156" spans="1:3" x14ac:dyDescent="0.25">
      <c r="A156" s="1" t="s">
        <v>191</v>
      </c>
      <c r="B156" t="s">
        <v>725</v>
      </c>
      <c r="C156" s="1" t="s">
        <v>428</v>
      </c>
    </row>
    <row r="157" spans="1:3" x14ac:dyDescent="0.25">
      <c r="A157" s="1" t="s">
        <v>314</v>
      </c>
      <c r="B157" t="s">
        <v>725</v>
      </c>
      <c r="C157" s="1" t="s">
        <v>558</v>
      </c>
    </row>
    <row r="158" spans="1:3" x14ac:dyDescent="0.25">
      <c r="A158" s="1" t="s">
        <v>174</v>
      </c>
      <c r="B158" s="1" t="s">
        <v>725</v>
      </c>
      <c r="C158" s="1" t="s">
        <v>407</v>
      </c>
    </row>
    <row r="159" spans="1:3" x14ac:dyDescent="0.25">
      <c r="A159" s="1" t="s">
        <v>187</v>
      </c>
      <c r="B159" s="1" t="s">
        <v>725</v>
      </c>
      <c r="C159" s="1" t="s">
        <v>422</v>
      </c>
    </row>
    <row r="160" spans="1:3" x14ac:dyDescent="0.25">
      <c r="A160" s="1" t="s">
        <v>302</v>
      </c>
      <c r="B160" s="1" t="s">
        <v>725</v>
      </c>
      <c r="C160" s="1" t="s">
        <v>546</v>
      </c>
    </row>
    <row r="161" spans="1:3" x14ac:dyDescent="0.25">
      <c r="A161" s="1" t="s">
        <v>185</v>
      </c>
      <c r="B161" s="1" t="s">
        <v>725</v>
      </c>
      <c r="C161" s="1" t="s">
        <v>418</v>
      </c>
    </row>
    <row r="162" spans="1:3" x14ac:dyDescent="0.25">
      <c r="A162" s="1" t="s">
        <v>326</v>
      </c>
      <c r="B162" s="1" t="s">
        <v>725</v>
      </c>
      <c r="C162" s="1" t="s">
        <v>570</v>
      </c>
    </row>
    <row r="163" spans="1:3" x14ac:dyDescent="0.25">
      <c r="A163" s="1" t="s">
        <v>195</v>
      </c>
      <c r="B163" s="1" t="s">
        <v>725</v>
      </c>
      <c r="C163" s="1" t="s">
        <v>433</v>
      </c>
    </row>
    <row r="164" spans="1:3" x14ac:dyDescent="0.25">
      <c r="A164" s="1" t="s">
        <v>266</v>
      </c>
      <c r="B164" t="s">
        <v>725</v>
      </c>
      <c r="C164" s="1" t="s">
        <v>509</v>
      </c>
    </row>
    <row r="165" spans="1:3" x14ac:dyDescent="0.25">
      <c r="A165" t="s">
        <v>364</v>
      </c>
      <c r="B165" t="s">
        <v>741</v>
      </c>
      <c r="C165" t="s">
        <v>475</v>
      </c>
    </row>
    <row r="166" spans="1:3" x14ac:dyDescent="0.25">
      <c r="A166" s="1" t="s">
        <v>282</v>
      </c>
      <c r="B166" t="s">
        <v>741</v>
      </c>
      <c r="C166" s="1" t="s">
        <v>527</v>
      </c>
    </row>
    <row r="167" spans="1:3" x14ac:dyDescent="0.25">
      <c r="A167" s="1" t="s">
        <v>350</v>
      </c>
      <c r="B167" t="s">
        <v>741</v>
      </c>
      <c r="C167" s="1" t="s">
        <v>424</v>
      </c>
    </row>
    <row r="168" spans="1:3" x14ac:dyDescent="0.25">
      <c r="A168" t="s">
        <v>219</v>
      </c>
      <c r="B168" t="s">
        <v>741</v>
      </c>
      <c r="C168" t="s">
        <v>460</v>
      </c>
    </row>
    <row r="169" spans="1:3" x14ac:dyDescent="0.25">
      <c r="A169" t="s">
        <v>232</v>
      </c>
      <c r="B169" t="s">
        <v>741</v>
      </c>
      <c r="C169" t="s">
        <v>476</v>
      </c>
    </row>
    <row r="170" spans="1:3" x14ac:dyDescent="0.25">
      <c r="A170" s="1" t="s">
        <v>171</v>
      </c>
      <c r="B170" t="s">
        <v>741</v>
      </c>
      <c r="C170" s="1" t="s">
        <v>403</v>
      </c>
    </row>
    <row r="171" spans="1:3" x14ac:dyDescent="0.25">
      <c r="A171" t="s">
        <v>222</v>
      </c>
      <c r="B171" t="s">
        <v>741</v>
      </c>
      <c r="C171" t="s">
        <v>463</v>
      </c>
    </row>
    <row r="172" spans="1:3" x14ac:dyDescent="0.25">
      <c r="A172" s="1" t="s">
        <v>290</v>
      </c>
      <c r="B172" t="s">
        <v>730</v>
      </c>
      <c r="C172" s="1" t="s">
        <v>534</v>
      </c>
    </row>
    <row r="173" spans="1:3" x14ac:dyDescent="0.25">
      <c r="A173" s="1" t="s">
        <v>193</v>
      </c>
      <c r="B173" t="s">
        <v>730</v>
      </c>
      <c r="C173" s="1" t="s">
        <v>431</v>
      </c>
    </row>
    <row r="174" spans="1:3" x14ac:dyDescent="0.25">
      <c r="A174" s="1" t="s">
        <v>345</v>
      </c>
      <c r="B174" t="s">
        <v>730</v>
      </c>
      <c r="C174" s="1" t="s">
        <v>381</v>
      </c>
    </row>
    <row r="175" spans="1:3" x14ac:dyDescent="0.25">
      <c r="A175" t="s">
        <v>231</v>
      </c>
      <c r="B175" t="s">
        <v>730</v>
      </c>
      <c r="C175" t="s">
        <v>469</v>
      </c>
    </row>
    <row r="176" spans="1:3" x14ac:dyDescent="0.25">
      <c r="A176" s="1" t="s">
        <v>156</v>
      </c>
      <c r="B176" t="s">
        <v>730</v>
      </c>
      <c r="C176" s="1" t="s">
        <v>387</v>
      </c>
    </row>
    <row r="177" spans="1:3" x14ac:dyDescent="0.25">
      <c r="A177" s="1" t="s">
        <v>292</v>
      </c>
      <c r="B177" t="s">
        <v>730</v>
      </c>
      <c r="C177" s="1" t="s">
        <v>536</v>
      </c>
    </row>
    <row r="178" spans="1:3" x14ac:dyDescent="0.25">
      <c r="A178" s="1" t="s">
        <v>257</v>
      </c>
      <c r="B178" t="s">
        <v>730</v>
      </c>
      <c r="C178" s="1" t="s">
        <v>500</v>
      </c>
    </row>
    <row r="179" spans="1:3" x14ac:dyDescent="0.25">
      <c r="A179" s="1" t="s">
        <v>305</v>
      </c>
      <c r="B179" t="s">
        <v>730</v>
      </c>
      <c r="C179" s="1" t="s">
        <v>549</v>
      </c>
    </row>
    <row r="180" spans="1:3" x14ac:dyDescent="0.25">
      <c r="A180" s="1" t="s">
        <v>288</v>
      </c>
      <c r="B180" s="1" t="s">
        <v>730</v>
      </c>
      <c r="C180" s="1" t="s">
        <v>500</v>
      </c>
    </row>
    <row r="181" spans="1:3" x14ac:dyDescent="0.25">
      <c r="A181" s="1" t="s">
        <v>348</v>
      </c>
      <c r="B181" s="1" t="s">
        <v>742</v>
      </c>
      <c r="C181" s="1" t="s">
        <v>420</v>
      </c>
    </row>
    <row r="182" spans="1:3" x14ac:dyDescent="0.25">
      <c r="A182" t="s">
        <v>355</v>
      </c>
      <c r="B182" t="s">
        <v>742</v>
      </c>
      <c r="C182" t="s">
        <v>453</v>
      </c>
    </row>
    <row r="183" spans="1:3" x14ac:dyDescent="0.25">
      <c r="A183" s="1" t="s">
        <v>157</v>
      </c>
      <c r="B183" s="1" t="s">
        <v>742</v>
      </c>
      <c r="C183" s="1" t="s">
        <v>388</v>
      </c>
    </row>
    <row r="184" spans="1:3" x14ac:dyDescent="0.25">
      <c r="A184" s="1" t="s">
        <v>255</v>
      </c>
      <c r="B184" s="1" t="s">
        <v>742</v>
      </c>
      <c r="C184" s="1" t="s">
        <v>498</v>
      </c>
    </row>
    <row r="185" spans="1:3" x14ac:dyDescent="0.25">
      <c r="A185" t="s">
        <v>205</v>
      </c>
      <c r="B185" t="s">
        <v>737</v>
      </c>
      <c r="C185" t="s">
        <v>444</v>
      </c>
    </row>
    <row r="186" spans="1:3" x14ac:dyDescent="0.25">
      <c r="A186" t="s">
        <v>213</v>
      </c>
      <c r="B186" t="s">
        <v>737</v>
      </c>
      <c r="C186" t="s">
        <v>456</v>
      </c>
    </row>
    <row r="187" spans="1:3" x14ac:dyDescent="0.25">
      <c r="A187" t="s">
        <v>250</v>
      </c>
      <c r="B187" t="s">
        <v>737</v>
      </c>
      <c r="C187" t="s">
        <v>493</v>
      </c>
    </row>
    <row r="188" spans="1:3" x14ac:dyDescent="0.25">
      <c r="A188" s="1" t="s">
        <v>150</v>
      </c>
      <c r="B188" s="1" t="s">
        <v>737</v>
      </c>
      <c r="C188" s="1" t="s">
        <v>380</v>
      </c>
    </row>
    <row r="189" spans="1:3" x14ac:dyDescent="0.25">
      <c r="A189" t="s">
        <v>212</v>
      </c>
      <c r="B189" s="1" t="s">
        <v>737</v>
      </c>
      <c r="C189" t="s">
        <v>452</v>
      </c>
    </row>
    <row r="190" spans="1:3" x14ac:dyDescent="0.25">
      <c r="A190" s="1" t="s">
        <v>344</v>
      </c>
      <c r="B190" t="s">
        <v>737</v>
      </c>
      <c r="C190" s="1" t="s">
        <v>378</v>
      </c>
    </row>
    <row r="191" spans="1:3" x14ac:dyDescent="0.25">
      <c r="A191" t="s">
        <v>201</v>
      </c>
      <c r="B191" s="1" t="s">
        <v>737</v>
      </c>
      <c r="C191" t="s">
        <v>440</v>
      </c>
    </row>
    <row r="192" spans="1:3" x14ac:dyDescent="0.25">
      <c r="A192" t="s">
        <v>224</v>
      </c>
      <c r="B192" s="1" t="s">
        <v>738</v>
      </c>
      <c r="C192" t="s">
        <v>465</v>
      </c>
    </row>
    <row r="193" spans="1:3" x14ac:dyDescent="0.25">
      <c r="A193" s="1" t="s">
        <v>170</v>
      </c>
      <c r="B193" s="1" t="s">
        <v>738</v>
      </c>
      <c r="C193" s="1" t="s">
        <v>404</v>
      </c>
    </row>
    <row r="194" spans="1:3" x14ac:dyDescent="0.25">
      <c r="A194" s="1" t="s">
        <v>298</v>
      </c>
      <c r="B194" s="1" t="s">
        <v>738</v>
      </c>
      <c r="C194" s="1" t="s">
        <v>542</v>
      </c>
    </row>
    <row r="195" spans="1:3" x14ac:dyDescent="0.25">
      <c r="A195" t="s">
        <v>208</v>
      </c>
      <c r="B195" s="1" t="s">
        <v>738</v>
      </c>
      <c r="C195" t="s">
        <v>447</v>
      </c>
    </row>
    <row r="196" spans="1:3" x14ac:dyDescent="0.25">
      <c r="A196" s="1" t="s">
        <v>300</v>
      </c>
      <c r="B196" s="1" t="s">
        <v>738</v>
      </c>
      <c r="C196" s="1" t="s">
        <v>544</v>
      </c>
    </row>
    <row r="197" spans="1:3" x14ac:dyDescent="0.25">
      <c r="A197" s="1" t="s">
        <v>327</v>
      </c>
      <c r="B197" s="1" t="s">
        <v>738</v>
      </c>
      <c r="C197" s="1" t="s">
        <v>571</v>
      </c>
    </row>
    <row r="198" spans="1:3" x14ac:dyDescent="0.25">
      <c r="A198" s="1" t="s">
        <v>153</v>
      </c>
      <c r="B198" s="1" t="s">
        <v>738</v>
      </c>
      <c r="C198" s="1" t="s">
        <v>384</v>
      </c>
    </row>
    <row r="199" spans="1:3" x14ac:dyDescent="0.25">
      <c r="A199" s="1" t="s">
        <v>192</v>
      </c>
      <c r="B199" s="1" t="s">
        <v>738</v>
      </c>
      <c r="C199" s="1" t="s">
        <v>429</v>
      </c>
    </row>
    <row r="200" spans="1:3" x14ac:dyDescent="0.25">
      <c r="A200" s="1" t="s">
        <v>320</v>
      </c>
      <c r="B200" s="1" t="s">
        <v>738</v>
      </c>
      <c r="C200" s="1" t="s">
        <v>564</v>
      </c>
    </row>
    <row r="201" spans="1:3" x14ac:dyDescent="0.25">
      <c r="A201" s="1" t="s">
        <v>311</v>
      </c>
      <c r="B201" s="1" t="s">
        <v>738</v>
      </c>
      <c r="C201" s="1" t="s">
        <v>555</v>
      </c>
    </row>
    <row r="202" spans="1:3" x14ac:dyDescent="0.25">
      <c r="A202" s="1" t="s">
        <v>313</v>
      </c>
      <c r="B202" s="1" t="s">
        <v>738</v>
      </c>
      <c r="C202" s="1" t="s">
        <v>557</v>
      </c>
    </row>
    <row r="203" spans="1:3" x14ac:dyDescent="0.25">
      <c r="A203" s="1" t="s">
        <v>299</v>
      </c>
      <c r="B203" s="1" t="s">
        <v>738</v>
      </c>
      <c r="C203" s="1" t="s">
        <v>543</v>
      </c>
    </row>
    <row r="204" spans="1:3" x14ac:dyDescent="0.25">
      <c r="A204" s="1" t="s">
        <v>159</v>
      </c>
      <c r="B204" s="1" t="s">
        <v>738</v>
      </c>
      <c r="C204" s="1" t="s">
        <v>390</v>
      </c>
    </row>
    <row r="205" spans="1:3" x14ac:dyDescent="0.25">
      <c r="A205" s="1" t="s">
        <v>278</v>
      </c>
      <c r="B205" s="1" t="s">
        <v>738</v>
      </c>
      <c r="C205" s="1" t="s">
        <v>523</v>
      </c>
    </row>
    <row r="206" spans="1:3" x14ac:dyDescent="0.25">
      <c r="A206" s="1" t="s">
        <v>346</v>
      </c>
      <c r="B206" t="s">
        <v>738</v>
      </c>
      <c r="C206" s="1" t="s">
        <v>393</v>
      </c>
    </row>
    <row r="207" spans="1:3" x14ac:dyDescent="0.25">
      <c r="A207" s="1" t="s">
        <v>177</v>
      </c>
      <c r="B207" s="1" t="s">
        <v>738</v>
      </c>
      <c r="C207" s="1" t="s">
        <v>410</v>
      </c>
    </row>
    <row r="208" spans="1:3" x14ac:dyDescent="0.25">
      <c r="A208" s="1" t="s">
        <v>321</v>
      </c>
      <c r="B208" s="1" t="s">
        <v>738</v>
      </c>
      <c r="C208" s="1" t="s">
        <v>565</v>
      </c>
    </row>
    <row r="209" spans="1:3" x14ac:dyDescent="0.25">
      <c r="A209" s="1" t="s">
        <v>365</v>
      </c>
      <c r="B209" s="1" t="s">
        <v>739</v>
      </c>
      <c r="C209" s="1" t="s">
        <v>519</v>
      </c>
    </row>
    <row r="210" spans="1:3" x14ac:dyDescent="0.25">
      <c r="A210" s="1" t="s">
        <v>294</v>
      </c>
      <c r="B210" s="1" t="s">
        <v>739</v>
      </c>
      <c r="C210" s="1" t="s">
        <v>538</v>
      </c>
    </row>
    <row r="211" spans="1:3" x14ac:dyDescent="0.25">
      <c r="A211" s="1" t="s">
        <v>324</v>
      </c>
      <c r="B211" s="1" t="s">
        <v>739</v>
      </c>
      <c r="C211" s="1" t="s">
        <v>568</v>
      </c>
    </row>
    <row r="212" spans="1:3" x14ac:dyDescent="0.25">
      <c r="A212" s="1" t="s">
        <v>145</v>
      </c>
      <c r="B212" s="1" t="s">
        <v>739</v>
      </c>
      <c r="C212" s="1" t="s">
        <v>374</v>
      </c>
    </row>
    <row r="213" spans="1:3" x14ac:dyDescent="0.25">
      <c r="A213" t="s">
        <v>199</v>
      </c>
      <c r="B213" s="1" t="s">
        <v>739</v>
      </c>
      <c r="C213" t="s">
        <v>438</v>
      </c>
    </row>
    <row r="214" spans="1:3" x14ac:dyDescent="0.25">
      <c r="A214" t="s">
        <v>363</v>
      </c>
      <c r="B214" s="1" t="s">
        <v>739</v>
      </c>
      <c r="C214" t="s">
        <v>474</v>
      </c>
    </row>
    <row r="215" spans="1:3" x14ac:dyDescent="0.25">
      <c r="A215" t="s">
        <v>225</v>
      </c>
      <c r="B215" s="1" t="s">
        <v>739</v>
      </c>
      <c r="C215" t="s">
        <v>464</v>
      </c>
    </row>
  </sheetData>
  <mergeCells count="1">
    <mergeCell ref="A1:C1"/>
  </mergeCell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7ACE-F4F5-420D-8539-57569849076F}">
  <sheetPr codeName="Sheet4"/>
  <dimension ref="A1:K689"/>
  <sheetViews>
    <sheetView topLeftCell="D1" workbookViewId="0">
      <selection activeCell="E3" sqref="E3:E208"/>
    </sheetView>
  </sheetViews>
  <sheetFormatPr defaultRowHeight="15" x14ac:dyDescent="0.25"/>
  <cols>
    <col min="1" max="1" width="46.28515625" bestFit="1" customWidth="1"/>
    <col min="2" max="2" width="13.85546875" customWidth="1"/>
    <col min="3" max="3" width="14.7109375" customWidth="1"/>
    <col min="5" max="5" width="40.140625" bestFit="1" customWidth="1"/>
    <col min="6" max="7" width="11" customWidth="1"/>
    <col min="9" max="9" width="46.85546875" bestFit="1" customWidth="1"/>
    <col min="18" max="18" width="2.42578125" customWidth="1"/>
  </cols>
  <sheetData>
    <row r="1" spans="1:11" ht="30" customHeight="1" x14ac:dyDescent="0.25"/>
    <row r="2" spans="1:11" x14ac:dyDescent="0.25">
      <c r="A2" s="9" t="s">
        <v>724</v>
      </c>
      <c r="B2" s="34" t="s">
        <v>4</v>
      </c>
      <c r="C2" s="34" t="s">
        <v>723</v>
      </c>
      <c r="E2" s="10" t="s">
        <v>642</v>
      </c>
      <c r="F2" s="34" t="s">
        <v>4</v>
      </c>
      <c r="G2" s="33" t="s">
        <v>723</v>
      </c>
      <c r="I2" s="10" t="s">
        <v>844</v>
      </c>
      <c r="J2" s="10" t="s">
        <v>4</v>
      </c>
      <c r="K2" s="34" t="s">
        <v>723</v>
      </c>
    </row>
    <row r="3" spans="1:11" x14ac:dyDescent="0.25">
      <c r="A3" s="1" t="s">
        <v>151</v>
      </c>
      <c r="B3">
        <f>COUNTIF(Concerns, "*"&amp;Table2[[#This Row],[Table 2: Concerns Values Unique]]&amp;"*")</f>
        <v>10</v>
      </c>
      <c r="C3" s="32">
        <f>Table2[[#This Row],[Count]]/SUM(Table2[Count])</f>
        <v>3.6900369003690037E-2</v>
      </c>
      <c r="E3" t="s">
        <v>418</v>
      </c>
      <c r="F3">
        <f>COUNTIF(Possible_Solutions, "*"&amp;Table3[[#This Row],[Table 3: Possible Solutions Values Unique]]&amp;"*")</f>
        <v>5</v>
      </c>
      <c r="G3" s="32">
        <f>Table3[[#This Row],[Count]]/SUM(Table3[Count])</f>
        <v>2.0408163265306121E-2</v>
      </c>
      <c r="I3" t="s">
        <v>729</v>
      </c>
      <c r="J3" s="65">
        <f>COUNTIF(Organizational_Values, "*"&amp;Table4[[#This Row],[Table 4: Organizational Values Unique (Themes)]]&amp;"*")</f>
        <v>21</v>
      </c>
      <c r="K3" s="32">
        <f>Table4[[#This Row],[Count]]/SUM(Table4[Count])</f>
        <v>9.7222222222222224E-2</v>
      </c>
    </row>
    <row r="4" spans="1:11" x14ac:dyDescent="0.25">
      <c r="A4" s="1" t="s">
        <v>153</v>
      </c>
      <c r="B4">
        <f>COUNTIF(Concerns, "*"&amp;Table2[[#This Row],[Table 2: Concerns Values Unique]]&amp;"*")</f>
        <v>9</v>
      </c>
      <c r="C4" s="32">
        <f>Table2[[#This Row],[Count]]/SUM(Table2[Count])</f>
        <v>3.3210332103321034E-2</v>
      </c>
      <c r="E4" t="s">
        <v>382</v>
      </c>
      <c r="F4">
        <f>COUNTIF(Possible_Solutions, "*"&amp;Table3[[#This Row],[Table 3: Possible Solutions Values Unique]]&amp;"*")</f>
        <v>4</v>
      </c>
      <c r="G4" s="32">
        <f>Table3[[#This Row],[Count]]/SUM(Table3[Count])</f>
        <v>1.6326530612244899E-2</v>
      </c>
      <c r="I4" t="s">
        <v>727</v>
      </c>
      <c r="J4" s="65">
        <f>COUNTIF(Organizational_Values, "*"&amp;Table4[[#This Row],[Table 4: Organizational Values Unique (Themes)]]&amp;"*")</f>
        <v>21</v>
      </c>
      <c r="K4" s="32">
        <f>Table4[[#This Row],[Count]]/SUM(Table4[Count])</f>
        <v>9.7222222222222224E-2</v>
      </c>
    </row>
    <row r="5" spans="1:11" x14ac:dyDescent="0.25">
      <c r="A5" s="1" t="s">
        <v>185</v>
      </c>
      <c r="B5">
        <f>COUNTIF(Concerns, "*"&amp;Table2[[#This Row],[Table 2: Concerns Values Unique]]&amp;"*")</f>
        <v>5</v>
      </c>
      <c r="C5" s="32">
        <f>Table2[[#This Row],[Count]]/SUM(Table2[Count])</f>
        <v>1.8450184501845018E-2</v>
      </c>
      <c r="E5" t="s">
        <v>416</v>
      </c>
      <c r="F5">
        <f>COUNTIF(Possible_Solutions, "*"&amp;Table3[[#This Row],[Table 3: Possible Solutions Values Unique]]&amp;"*")</f>
        <v>4</v>
      </c>
      <c r="G5" s="32">
        <f>Table3[[#This Row],[Count]]/SUM(Table3[Count])</f>
        <v>1.6326530612244899E-2</v>
      </c>
      <c r="I5" t="s">
        <v>728</v>
      </c>
      <c r="J5">
        <f>COUNTIF(Organizational_Values, "*"&amp;Table4[[#This Row],[Table 4: Organizational Values Unique (Themes)]]&amp;"*")</f>
        <v>19</v>
      </c>
      <c r="K5" s="32">
        <f>Table4[[#This Row],[Count]]/SUM(Table4[Count])</f>
        <v>8.7962962962962965E-2</v>
      </c>
    </row>
    <row r="6" spans="1:11" x14ac:dyDescent="0.25">
      <c r="A6" s="7" t="s">
        <v>158</v>
      </c>
      <c r="B6">
        <f>COUNTIF(Concerns, "*"&amp;Table2[[#This Row],[Table 2: Concerns Values Unique]]&amp;"*")</f>
        <v>5</v>
      </c>
      <c r="C6" s="32">
        <f>Table2[[#This Row],[Count]]/SUM(Table2[Count])</f>
        <v>1.8450184501845018E-2</v>
      </c>
      <c r="E6" t="s">
        <v>389</v>
      </c>
      <c r="F6">
        <f>COUNTIF(Possible_Solutions, "*"&amp;Table3[[#This Row],[Table 3: Possible Solutions Values Unique]]&amp;"*")</f>
        <v>3</v>
      </c>
      <c r="G6" s="32">
        <f>Table3[[#This Row],[Count]]/SUM(Table3[Count])</f>
        <v>1.2244897959183673E-2</v>
      </c>
      <c r="I6" t="s">
        <v>738</v>
      </c>
      <c r="J6" s="65">
        <f>COUNTIF(Organizational_Values, "*"&amp;Table4[[#This Row],[Table 4: Organizational Values Unique (Themes)]]&amp;"*")</f>
        <v>16</v>
      </c>
      <c r="K6" s="32">
        <f>Table4[[#This Row],[Count]]/SUM(Table4[Count])</f>
        <v>7.407407407407407E-2</v>
      </c>
    </row>
    <row r="7" spans="1:11" x14ac:dyDescent="0.25">
      <c r="A7" s="1" t="s">
        <v>147</v>
      </c>
      <c r="B7">
        <f>COUNTIF(Concerns, "*"&amp;Table2[[#This Row],[Table 2: Concerns Values Unique]]&amp;"*")</f>
        <v>4</v>
      </c>
      <c r="C7" s="32">
        <f>Table2[[#This Row],[Count]]/SUM(Table2[Count])</f>
        <v>1.4760147601476014E-2</v>
      </c>
      <c r="E7" t="s">
        <v>516</v>
      </c>
      <c r="F7">
        <f>COUNTIF(Possible_Solutions, "*"&amp;Table3[[#This Row],[Table 3: Possible Solutions Values Unique]]&amp;"*")</f>
        <v>3</v>
      </c>
      <c r="G7" s="32">
        <f>Table3[[#This Row],[Count]]/SUM(Table3[Count])</f>
        <v>1.2244897959183673E-2</v>
      </c>
      <c r="I7" t="s">
        <v>732</v>
      </c>
      <c r="J7" s="65">
        <f>COUNTIF(Organizational_Values, "*"&amp;Table4[[#This Row],[Table 4: Organizational Values Unique (Themes)]]&amp;"*")</f>
        <v>15</v>
      </c>
      <c r="K7" s="32">
        <f>Table4[[#This Row],[Count]]/SUM(Table4[Count])</f>
        <v>6.9444444444444448E-2</v>
      </c>
    </row>
    <row r="8" spans="1:11" x14ac:dyDescent="0.25">
      <c r="A8" s="1" t="s">
        <v>183</v>
      </c>
      <c r="B8">
        <f>COUNTIF(Concerns, "*"&amp;Table2[[#This Row],[Table 2: Concerns Values Unique]]&amp;"*")</f>
        <v>4</v>
      </c>
      <c r="C8" s="32">
        <f>Table2[[#This Row],[Count]]/SUM(Table2[Count])</f>
        <v>1.4760147601476014E-2</v>
      </c>
      <c r="E8" t="s">
        <v>405</v>
      </c>
      <c r="F8">
        <f>COUNTIF(Possible_Solutions, "*"&amp;Table3[[#This Row],[Table 3: Possible Solutions Values Unique]]&amp;"*")</f>
        <v>3</v>
      </c>
      <c r="G8" s="32">
        <f>Table3[[#This Row],[Count]]/SUM(Table3[Count])</f>
        <v>1.2244897959183673E-2</v>
      </c>
      <c r="I8" t="s">
        <v>725</v>
      </c>
      <c r="J8" s="65">
        <f>COUNTIF(Organizational_Values, "*"&amp;Table4[[#This Row],[Table 4: Organizational Values Unique (Themes)]]&amp;"*")</f>
        <v>15</v>
      </c>
      <c r="K8" s="32">
        <f>Table4[[#This Row],[Count]]/SUM(Table4[Count])</f>
        <v>6.9444444444444448E-2</v>
      </c>
    </row>
    <row r="9" spans="1:11" x14ac:dyDescent="0.25">
      <c r="A9" s="1" t="s">
        <v>367</v>
      </c>
      <c r="B9">
        <f>COUNTIF(Concerns, "*"&amp;Table2[[#This Row],[Table 2: Concerns Values Unique]]&amp;"*")</f>
        <v>4</v>
      </c>
      <c r="C9" s="32">
        <f>Table2[[#This Row],[Count]]/SUM(Table2[Count])</f>
        <v>1.4760147601476014E-2</v>
      </c>
      <c r="E9" t="s">
        <v>430</v>
      </c>
      <c r="F9">
        <f>COUNTIF(Possible_Solutions, "*"&amp;Table3[[#This Row],[Table 3: Possible Solutions Values Unique]]&amp;"*")</f>
        <v>3</v>
      </c>
      <c r="G9" s="32">
        <f>Table3[[#This Row],[Count]]/SUM(Table3[Count])</f>
        <v>1.2244897959183673E-2</v>
      </c>
      <c r="I9" t="s">
        <v>733</v>
      </c>
      <c r="J9" s="65">
        <f>COUNTIF(Organizational_Values, "*"&amp;Table4[[#This Row],[Table 4: Organizational Values Unique (Themes)]]&amp;"*")</f>
        <v>14</v>
      </c>
      <c r="K9" s="32">
        <f>Table4[[#This Row],[Count]]/SUM(Table4[Count])</f>
        <v>6.4814814814814811E-2</v>
      </c>
    </row>
    <row r="10" spans="1:11" x14ac:dyDescent="0.25">
      <c r="A10" s="1" t="s">
        <v>152</v>
      </c>
      <c r="B10">
        <f>COUNTIF(Concerns, "*"&amp;Table2[[#This Row],[Table 2: Concerns Values Unique]]&amp;"*")</f>
        <v>3</v>
      </c>
      <c r="C10" s="32">
        <f>Table2[[#This Row],[Count]]/SUM(Table2[Count])</f>
        <v>1.107011070110701E-2</v>
      </c>
      <c r="E10" t="s">
        <v>434</v>
      </c>
      <c r="F10">
        <f>COUNTIF(Possible_Solutions, "*"&amp;Table3[[#This Row],[Table 3: Possible Solutions Values Unique]]&amp;"*")</f>
        <v>3</v>
      </c>
      <c r="G10" s="32">
        <f>Table3[[#This Row],[Count]]/SUM(Table3[Count])</f>
        <v>1.2244897959183673E-2</v>
      </c>
      <c r="I10" t="s">
        <v>726</v>
      </c>
      <c r="J10">
        <f>COUNTIF(Organizational_Values, "*"&amp;Table4[[#This Row],[Table 4: Organizational Values Unique (Themes)]]&amp;"*")</f>
        <v>13</v>
      </c>
      <c r="K10" s="32">
        <f>Table4[[#This Row],[Count]]/SUM(Table4[Count])</f>
        <v>6.0185185185185182E-2</v>
      </c>
    </row>
    <row r="11" spans="1:11" x14ac:dyDescent="0.25">
      <c r="A11" s="1" t="s">
        <v>156</v>
      </c>
      <c r="B11">
        <f>COUNTIF(Concerns, "*"&amp;Table2[[#This Row],[Table 2: Concerns Values Unique]]&amp;"*")</f>
        <v>3</v>
      </c>
      <c r="C11" s="32">
        <f>Table2[[#This Row],[Count]]/SUM(Table2[Count])</f>
        <v>1.107011070110701E-2</v>
      </c>
      <c r="E11" t="s">
        <v>376</v>
      </c>
      <c r="F11">
        <f>COUNTIF(Possible_Solutions, "*"&amp;Table3[[#This Row],[Table 3: Possible Solutions Values Unique]]&amp;"*")</f>
        <v>3</v>
      </c>
      <c r="G11" s="32">
        <f>Table3[[#This Row],[Count]]/SUM(Table3[Count])</f>
        <v>1.2244897959183673E-2</v>
      </c>
      <c r="I11" t="s">
        <v>731</v>
      </c>
      <c r="J11" s="65">
        <f>COUNTIF(Organizational_Values, "*"&amp;Table4[[#This Row],[Table 4: Organizational Values Unique (Themes)]]&amp;"*")</f>
        <v>12</v>
      </c>
      <c r="K11" s="32">
        <f>Table4[[#This Row],[Count]]/SUM(Table4[Count])</f>
        <v>5.5555555555555552E-2</v>
      </c>
    </row>
    <row r="12" spans="1:11" x14ac:dyDescent="0.25">
      <c r="A12" t="s">
        <v>352</v>
      </c>
      <c r="B12">
        <f>COUNTIF(Concerns, "*"&amp;Table2[[#This Row],[Table 2: Concerns Values Unique]]&amp;"*")</f>
        <v>3</v>
      </c>
      <c r="C12" s="32">
        <f>Table2[[#This Row],[Count]]/SUM(Table2[Count])</f>
        <v>1.107011070110701E-2</v>
      </c>
      <c r="E12" t="s">
        <v>397</v>
      </c>
      <c r="F12">
        <f>COUNTIF(Possible_Solutions, "*"&amp;Table3[[#This Row],[Table 3: Possible Solutions Values Unique]]&amp;"*")</f>
        <v>2</v>
      </c>
      <c r="G12" s="32">
        <f>Table3[[#This Row],[Count]]/SUM(Table3[Count])</f>
        <v>8.1632653061224497E-3</v>
      </c>
      <c r="I12" t="s">
        <v>743</v>
      </c>
      <c r="J12" s="65">
        <f>COUNTIF(Organizational_Values, "*"&amp;Table4[[#This Row],[Table 4: Organizational Values Unique (Themes)]]&amp;"*")</f>
        <v>10</v>
      </c>
      <c r="K12" s="32">
        <f>Table4[[#This Row],[Count]]/SUM(Table4[Count])</f>
        <v>4.6296296296296294E-2</v>
      </c>
    </row>
    <row r="13" spans="1:11" x14ac:dyDescent="0.25">
      <c r="A13" s="1" t="s">
        <v>323</v>
      </c>
      <c r="B13">
        <f>COUNTIF(Concerns, "*"&amp;Table2[[#This Row],[Table 2: Concerns Values Unique]]&amp;"*")</f>
        <v>3</v>
      </c>
      <c r="C13" s="32">
        <f>Table2[[#This Row],[Count]]/SUM(Table2[Count])</f>
        <v>1.107011070110701E-2</v>
      </c>
      <c r="E13" t="s">
        <v>399</v>
      </c>
      <c r="F13">
        <f>COUNTIF(Possible_Solutions, "*"&amp;Table3[[#This Row],[Table 3: Possible Solutions Values Unique]]&amp;"*")</f>
        <v>2</v>
      </c>
      <c r="G13" s="32">
        <f>Table3[[#This Row],[Count]]/SUM(Table3[Count])</f>
        <v>8.1632653061224497E-3</v>
      </c>
      <c r="I13" t="s">
        <v>741</v>
      </c>
      <c r="J13" s="65">
        <f>COUNTIF(Organizational_Values, "*"&amp;Table4[[#This Row],[Table 4: Organizational Values Unique (Themes)]]&amp;"*")</f>
        <v>8</v>
      </c>
      <c r="K13" s="32">
        <f>Table4[[#This Row],[Count]]/SUM(Table4[Count])</f>
        <v>3.7037037037037035E-2</v>
      </c>
    </row>
    <row r="14" spans="1:11" x14ac:dyDescent="0.25">
      <c r="A14" s="1" t="s">
        <v>324</v>
      </c>
      <c r="B14">
        <f>COUNTIF(Concerns, "*"&amp;Table2[[#This Row],[Table 2: Concerns Values Unique]]&amp;"*")</f>
        <v>3</v>
      </c>
      <c r="C14" s="32">
        <f>Table2[[#This Row],[Count]]/SUM(Table2[Count])</f>
        <v>1.107011070110701E-2</v>
      </c>
      <c r="E14" t="s">
        <v>413</v>
      </c>
      <c r="F14">
        <f>COUNTIF(Possible_Solutions, "*"&amp;Table3[[#This Row],[Table 3: Possible Solutions Values Unique]]&amp;"*")</f>
        <v>2</v>
      </c>
      <c r="G14" s="32">
        <f>Table3[[#This Row],[Count]]/SUM(Table3[Count])</f>
        <v>8.1632653061224497E-3</v>
      </c>
      <c r="I14" t="s">
        <v>730</v>
      </c>
      <c r="J14" s="65">
        <f>COUNTIF(Organizational_Values, "*"&amp;Table4[[#This Row],[Table 4: Organizational Values Unique (Themes)]]&amp;"*")</f>
        <v>8</v>
      </c>
      <c r="K14" s="32">
        <f>Table4[[#This Row],[Count]]/SUM(Table4[Count])</f>
        <v>3.7037037037037035E-2</v>
      </c>
    </row>
    <row r="15" spans="1:11" x14ac:dyDescent="0.25">
      <c r="A15" s="1" t="s">
        <v>142</v>
      </c>
      <c r="B15">
        <f>COUNTIF(Concerns, "*"&amp;Table2[[#This Row],[Table 2: Concerns Values Unique]]&amp;"*")</f>
        <v>2</v>
      </c>
      <c r="C15" s="32">
        <f>Table2[[#This Row],[Count]]/SUM(Table2[Count])</f>
        <v>7.3800738007380072E-3</v>
      </c>
      <c r="E15" t="s">
        <v>465</v>
      </c>
      <c r="F15">
        <f>COUNTIF(Possible_Solutions, "*"&amp;Table3[[#This Row],[Table 3: Possible Solutions Values Unique]]&amp;"*")</f>
        <v>2</v>
      </c>
      <c r="G15" s="32">
        <f>Table3[[#This Row],[Count]]/SUM(Table3[Count])</f>
        <v>8.1632653061224497E-3</v>
      </c>
      <c r="I15" t="s">
        <v>740</v>
      </c>
      <c r="J15" s="65">
        <f>COUNTIF(Organizational_Values, "*"&amp;Table4[[#This Row],[Table 4: Organizational Values Unique (Themes)]]&amp;"*")</f>
        <v>7</v>
      </c>
      <c r="K15" s="32">
        <f>Table4[[#This Row],[Count]]/SUM(Table4[Count])</f>
        <v>3.2407407407407406E-2</v>
      </c>
    </row>
    <row r="16" spans="1:11" x14ac:dyDescent="0.25">
      <c r="A16" s="1" t="s">
        <v>345</v>
      </c>
      <c r="B16">
        <f>COUNTIF(Concerns, "*"&amp;Table2[[#This Row],[Table 2: Concerns Values Unique]]&amp;"*")</f>
        <v>2</v>
      </c>
      <c r="C16" s="32">
        <f>Table2[[#This Row],[Count]]/SUM(Table2[Count])</f>
        <v>7.3800738007380072E-3</v>
      </c>
      <c r="E16" t="s">
        <v>411</v>
      </c>
      <c r="F16">
        <f>COUNTIF(Possible_Solutions, "*"&amp;Table3[[#This Row],[Table 3: Possible Solutions Values Unique]]&amp;"*")</f>
        <v>2</v>
      </c>
      <c r="G16" s="32">
        <f>Table3[[#This Row],[Count]]/SUM(Table3[Count])</f>
        <v>8.1632653061224497E-3</v>
      </c>
      <c r="I16" t="s">
        <v>737</v>
      </c>
      <c r="J16" s="65">
        <f>COUNTIF(Organizational_Values, "*"&amp;Table4[[#This Row],[Table 4: Organizational Values Unique (Themes)]]&amp;"*")</f>
        <v>7</v>
      </c>
      <c r="K16" s="32">
        <f>Table4[[#This Row],[Count]]/SUM(Table4[Count])</f>
        <v>3.2407407407407406E-2</v>
      </c>
    </row>
    <row r="17" spans="1:11" x14ac:dyDescent="0.25">
      <c r="A17" s="1" t="s">
        <v>159</v>
      </c>
      <c r="B17">
        <f>COUNTIF(Concerns, "*"&amp;Table2[[#This Row],[Table 2: Concerns Values Unique]]&amp;"*")</f>
        <v>2</v>
      </c>
      <c r="C17" s="32">
        <f>Table2[[#This Row],[Count]]/SUM(Table2[Count])</f>
        <v>7.3800738007380072E-3</v>
      </c>
      <c r="E17" t="s">
        <v>415</v>
      </c>
      <c r="F17">
        <f>COUNTIF(Possible_Solutions, "*"&amp;Table3[[#This Row],[Table 3: Possible Solutions Values Unique]]&amp;"*")</f>
        <v>2</v>
      </c>
      <c r="G17" s="32">
        <f>Table3[[#This Row],[Count]]/SUM(Table3[Count])</f>
        <v>8.1632653061224497E-3</v>
      </c>
      <c r="I17" t="s">
        <v>739</v>
      </c>
      <c r="J17" s="65">
        <f>COUNTIF(Organizational_Values, "*"&amp;Table4[[#This Row],[Table 4: Organizational Values Unique (Themes)]]&amp;"*")</f>
        <v>7</v>
      </c>
      <c r="K17" s="32">
        <f>Table4[[#This Row],[Count]]/SUM(Table4[Count])</f>
        <v>3.2407407407407406E-2</v>
      </c>
    </row>
    <row r="18" spans="1:11" x14ac:dyDescent="0.25">
      <c r="A18" s="1" t="s">
        <v>160</v>
      </c>
      <c r="B18">
        <f>COUNTIF(Concerns, "*"&amp;Table2[[#This Row],[Table 2: Concerns Values Unique]]&amp;"*")</f>
        <v>2</v>
      </c>
      <c r="C18" s="32">
        <f>Table2[[#This Row],[Count]]/SUM(Table2[Count])</f>
        <v>7.3800738007380072E-3</v>
      </c>
      <c r="E18" t="s">
        <v>560</v>
      </c>
      <c r="F18">
        <f>COUNTIF(Possible_Solutions, "*"&amp;Table3[[#This Row],[Table 3: Possible Solutions Values Unique]]&amp;"*")</f>
        <v>2</v>
      </c>
      <c r="G18" s="32">
        <f>Table3[[#This Row],[Count]]/SUM(Table3[Count])</f>
        <v>8.1632653061224497E-3</v>
      </c>
      <c r="I18" t="s">
        <v>734</v>
      </c>
      <c r="J18" s="65">
        <f>COUNTIF(Organizational_Values, "*"&amp;Table4[[#This Row],[Table 4: Organizational Values Unique (Themes)]]&amp;"*")</f>
        <v>5</v>
      </c>
      <c r="K18" s="32">
        <f>Table4[[#This Row],[Count]]/SUM(Table4[Count])</f>
        <v>2.3148148148148147E-2</v>
      </c>
    </row>
    <row r="19" spans="1:11" x14ac:dyDescent="0.25">
      <c r="A19" s="1" t="s">
        <v>168</v>
      </c>
      <c r="B19">
        <f>COUNTIF(Concerns, "*"&amp;Table2[[#This Row],[Table 2: Concerns Values Unique]]&amp;"*")</f>
        <v>2</v>
      </c>
      <c r="C19" s="32">
        <f>Table2[[#This Row],[Count]]/SUM(Table2[Count])</f>
        <v>7.3800738007380072E-3</v>
      </c>
      <c r="E19" t="s">
        <v>464</v>
      </c>
      <c r="F19">
        <f>COUNTIF(Possible_Solutions, "*"&amp;Table3[[#This Row],[Table 3: Possible Solutions Values Unique]]&amp;"*")</f>
        <v>2</v>
      </c>
      <c r="G19" s="32">
        <f>Table3[[#This Row],[Count]]/SUM(Table3[Count])</f>
        <v>8.1632653061224497E-3</v>
      </c>
      <c r="I19" t="s">
        <v>753</v>
      </c>
      <c r="J19" s="65">
        <f>COUNTIF(Organizational_Values, "*"&amp;Table4[[#This Row],[Table 4: Organizational Values Unique (Themes)]]&amp;"*")</f>
        <v>4</v>
      </c>
      <c r="K19" s="32">
        <f>Table4[[#This Row],[Count]]/SUM(Table4[Count])</f>
        <v>1.8518518518518517E-2</v>
      </c>
    </row>
    <row r="20" spans="1:11" x14ac:dyDescent="0.25">
      <c r="A20" s="1" t="s">
        <v>162</v>
      </c>
      <c r="B20">
        <f>COUNTIF(Concerns, "*"&amp;Table2[[#This Row],[Table 2: Concerns Values Unique]]&amp;"*")</f>
        <v>2</v>
      </c>
      <c r="C20" s="32">
        <f>Table2[[#This Row],[Count]]/SUM(Table2[Count])</f>
        <v>7.3800738007380072E-3</v>
      </c>
      <c r="E20" t="s">
        <v>567</v>
      </c>
      <c r="F20">
        <f>COUNTIF(Possible_Solutions, "*"&amp;Table3[[#This Row],[Table 3: Possible Solutions Values Unique]]&amp;"*")</f>
        <v>2</v>
      </c>
      <c r="G20" s="32">
        <f>Table3[[#This Row],[Count]]/SUM(Table3[Count])</f>
        <v>8.1632653061224497E-3</v>
      </c>
      <c r="I20" t="s">
        <v>744</v>
      </c>
      <c r="J20" s="65">
        <f>COUNTIF(Organizational_Values, "*"&amp;Table4[[#This Row],[Table 4: Organizational Values Unique (Themes)]]&amp;"*")</f>
        <v>4</v>
      </c>
      <c r="K20" s="32">
        <f>Table4[[#This Row],[Count]]/SUM(Table4[Count])</f>
        <v>1.8518518518518517E-2</v>
      </c>
    </row>
    <row r="21" spans="1:11" x14ac:dyDescent="0.25">
      <c r="A21" s="1" t="s">
        <v>171</v>
      </c>
      <c r="B21">
        <f>COUNTIF(Concerns, "*"&amp;Table2[[#This Row],[Table 2: Concerns Values Unique]]&amp;"*")</f>
        <v>2</v>
      </c>
      <c r="C21" s="32">
        <f>Table2[[#This Row],[Count]]/SUM(Table2[Count])</f>
        <v>7.3800738007380072E-3</v>
      </c>
      <c r="E21" t="s">
        <v>403</v>
      </c>
      <c r="F21">
        <f>COUNTIF(Possible_Solutions, "*"&amp;Table3[[#This Row],[Table 3: Possible Solutions Values Unique]]&amp;"*")</f>
        <v>2</v>
      </c>
      <c r="G21" s="32">
        <f>Table3[[#This Row],[Count]]/SUM(Table3[Count])</f>
        <v>8.1632653061224497E-3</v>
      </c>
      <c r="I21" t="s">
        <v>735</v>
      </c>
      <c r="J21" s="65">
        <f>COUNTIF(Organizational_Values, "*"&amp;Table4[[#This Row],[Table 4: Organizational Values Unique (Themes)]]&amp;"*")</f>
        <v>4</v>
      </c>
      <c r="K21" s="32">
        <f>Table4[[#This Row],[Count]]/SUM(Table4[Count])</f>
        <v>1.8518518518518517E-2</v>
      </c>
    </row>
    <row r="22" spans="1:11" x14ac:dyDescent="0.25">
      <c r="A22" s="1" t="s">
        <v>172</v>
      </c>
      <c r="B22">
        <f>COUNTIF(Concerns, "*"&amp;Table2[[#This Row],[Table 2: Concerns Values Unique]]&amp;"*")</f>
        <v>2</v>
      </c>
      <c r="C22" s="32">
        <f>Table2[[#This Row],[Count]]/SUM(Table2[Count])</f>
        <v>7.3800738007380072E-3</v>
      </c>
      <c r="E22" t="s">
        <v>463</v>
      </c>
      <c r="F22">
        <f>COUNTIF(Possible_Solutions, "*"&amp;Table3[[#This Row],[Table 3: Possible Solutions Values Unique]]&amp;"*")</f>
        <v>2</v>
      </c>
      <c r="G22" s="32">
        <f>Table3[[#This Row],[Count]]/SUM(Table3[Count])</f>
        <v>8.1632653061224497E-3</v>
      </c>
      <c r="I22" t="s">
        <v>742</v>
      </c>
      <c r="J22" s="65">
        <f>COUNTIF(Organizational_Values, "*"&amp;Table4[[#This Row],[Table 4: Organizational Values Unique (Themes)]]&amp;"*")</f>
        <v>4</v>
      </c>
      <c r="K22" s="32">
        <f>Table4[[#This Row],[Count]]/SUM(Table4[Count])</f>
        <v>1.8518518518518517E-2</v>
      </c>
    </row>
    <row r="23" spans="1:11" x14ac:dyDescent="0.25">
      <c r="A23" s="1" t="s">
        <v>178</v>
      </c>
      <c r="B23">
        <f>COUNTIF(Concerns, "*"&amp;Table2[[#This Row],[Table 2: Concerns Values Unique]]&amp;"*")</f>
        <v>2</v>
      </c>
      <c r="C23" s="32">
        <f>Table2[[#This Row],[Count]]/SUM(Table2[Count])</f>
        <v>7.3800738007380072E-3</v>
      </c>
      <c r="E23" t="s">
        <v>500</v>
      </c>
      <c r="F23">
        <f>COUNTIF(Possible_Solutions, "*"&amp;Table3[[#This Row],[Table 3: Possible Solutions Values Unique]]&amp;"*")</f>
        <v>2</v>
      </c>
      <c r="G23" s="32">
        <f>Table3[[#This Row],[Count]]/SUM(Table3[Count])</f>
        <v>8.1632653061224497E-3</v>
      </c>
      <c r="I23" t="s">
        <v>736</v>
      </c>
      <c r="J23" s="65">
        <f>COUNTIF(Organizational_Values, "*"&amp;Table4[[#This Row],[Table 4: Organizational Values Unique (Themes)]]&amp;"*")</f>
        <v>2</v>
      </c>
      <c r="K23" s="32">
        <f>Table4[[#This Row],[Count]]/SUM(Table4[Count])</f>
        <v>9.2592592592592587E-3</v>
      </c>
    </row>
    <row r="24" spans="1:11" x14ac:dyDescent="0.25">
      <c r="A24" s="1" t="s">
        <v>195</v>
      </c>
      <c r="B24">
        <f>COUNTIF(Concerns, "*"&amp;Table2[[#This Row],[Table 2: Concerns Values Unique]]&amp;"*")</f>
        <v>2</v>
      </c>
      <c r="C24" s="32">
        <f>Table2[[#This Row],[Count]]/SUM(Table2[Count])</f>
        <v>7.3800738007380072E-3</v>
      </c>
      <c r="E24" t="s">
        <v>456</v>
      </c>
      <c r="F24">
        <f>COUNTIF(Possible_Solutions, "*"&amp;Table3[[#This Row],[Table 3: Possible Solutions Values Unique]]&amp;"*")</f>
        <v>2</v>
      </c>
      <c r="G24" s="32">
        <f>Table3[[#This Row],[Count]]/SUM(Table3[Count])</f>
        <v>8.1632653061224497E-3</v>
      </c>
    </row>
    <row r="25" spans="1:11" x14ac:dyDescent="0.25">
      <c r="A25" s="1" t="s">
        <v>316</v>
      </c>
      <c r="B25">
        <f>COUNTIF(Concerns, "*"&amp;Table2[[#This Row],[Table 2: Concerns Values Unique]]&amp;"*")</f>
        <v>2</v>
      </c>
      <c r="C25" s="32">
        <f>Table2[[#This Row],[Count]]/SUM(Table2[Count])</f>
        <v>7.3800738007380072E-3</v>
      </c>
      <c r="E25" t="s">
        <v>555</v>
      </c>
      <c r="F25">
        <f>COUNTIF(Possible_Solutions, "*"&amp;Table3[[#This Row],[Table 3: Possible Solutions Values Unique]]&amp;"*")</f>
        <v>2</v>
      </c>
      <c r="G25" s="32">
        <f>Table3[[#This Row],[Count]]/SUM(Table3[Count])</f>
        <v>8.1632653061224497E-3</v>
      </c>
    </row>
    <row r="26" spans="1:11" x14ac:dyDescent="0.25">
      <c r="A26" s="1" t="s">
        <v>177</v>
      </c>
      <c r="B26">
        <f>COUNTIF(Concerns, "*"&amp;Table2[[#This Row],[Table 2: Concerns Values Unique]]&amp;"*")</f>
        <v>2</v>
      </c>
      <c r="C26" s="32">
        <f>Table2[[#This Row],[Count]]/SUM(Table2[Count])</f>
        <v>7.3800738007380072E-3</v>
      </c>
      <c r="E26" t="s">
        <v>390</v>
      </c>
      <c r="F26">
        <f>COUNTIF(Possible_Solutions, "*"&amp;Table3[[#This Row],[Table 3: Possible Solutions Values Unique]]&amp;"*")</f>
        <v>2</v>
      </c>
      <c r="G26" s="32">
        <f>Table3[[#This Row],[Count]]/SUM(Table3[Count])</f>
        <v>8.1632653061224497E-3</v>
      </c>
    </row>
    <row r="27" spans="1:11" x14ac:dyDescent="0.25">
      <c r="A27" t="s">
        <v>226</v>
      </c>
      <c r="B27">
        <f>COUNTIF(Concerns, "*"&amp;Table2[[#This Row],[Table 2: Concerns Values Unique]]&amp;"*")</f>
        <v>2</v>
      </c>
      <c r="C27" s="32">
        <f>Table2[[#This Row],[Count]]/SUM(Table2[Count])</f>
        <v>7.3800738007380072E-3</v>
      </c>
      <c r="E27" t="s">
        <v>410</v>
      </c>
      <c r="F27">
        <f>COUNTIF(Possible_Solutions, "*"&amp;Table3[[#This Row],[Table 3: Possible Solutions Values Unique]]&amp;"*")</f>
        <v>2</v>
      </c>
      <c r="G27" s="32">
        <f>Table3[[#This Row],[Count]]/SUM(Table3[Count])</f>
        <v>8.1632653061224497E-3</v>
      </c>
    </row>
    <row r="28" spans="1:11" x14ac:dyDescent="0.25">
      <c r="A28" s="1" t="s">
        <v>311</v>
      </c>
      <c r="B28">
        <f>COUNTIF(Concerns, "*"&amp;Table2[[#This Row],[Table 2: Concerns Values Unique]]&amp;"*")</f>
        <v>2</v>
      </c>
      <c r="C28" s="32">
        <f>Table2[[#This Row],[Count]]/SUM(Table2[Count])</f>
        <v>7.3800738007380072E-3</v>
      </c>
      <c r="E28" t="s">
        <v>568</v>
      </c>
      <c r="F28" s="65">
        <f>COUNTIF(Possible_Solutions, "*"&amp;Table3[[#This Row],[Table 3: Possible Solutions Values Unique]]&amp;"*")</f>
        <v>2</v>
      </c>
      <c r="G28" s="66">
        <f>Table3[[#This Row],[Count]]/SUM(Table3[Count])</f>
        <v>8.1632653061224497E-3</v>
      </c>
    </row>
    <row r="29" spans="1:11" x14ac:dyDescent="0.25">
      <c r="A29" s="1" t="s">
        <v>193</v>
      </c>
      <c r="B29">
        <f>COUNTIF(Concerns, "*"&amp;Table2[[#This Row],[Table 2: Concerns Values Unique]]&amp;"*")</f>
        <v>1</v>
      </c>
      <c r="C29" s="32">
        <f>Table2[[#This Row],[Count]]/SUM(Table2[Count])</f>
        <v>3.6900369003690036E-3</v>
      </c>
      <c r="E29" t="s">
        <v>532</v>
      </c>
      <c r="F29">
        <f>COUNTIF(Possible_Solutions, "*"&amp;Table3[[#This Row],[Table 3: Possible Solutions Values Unique]]&amp;"*")</f>
        <v>1</v>
      </c>
      <c r="G29" s="32">
        <f>Table3[[#This Row],[Count]]/SUM(Table3[Count])</f>
        <v>4.0816326530612249E-3</v>
      </c>
    </row>
    <row r="30" spans="1:11" x14ac:dyDescent="0.25">
      <c r="A30" s="1" t="s">
        <v>141</v>
      </c>
      <c r="B30">
        <f>COUNTIF(Concerns, "*"&amp;Table2[[#This Row],[Table 2: Concerns Values Unique]]&amp;"*")</f>
        <v>1</v>
      </c>
      <c r="C30" s="32">
        <f>Table2[[#This Row],[Count]]/SUM(Table2[Count])</f>
        <v>3.6900369003690036E-3</v>
      </c>
      <c r="E30" t="s">
        <v>540</v>
      </c>
      <c r="F30">
        <f>COUNTIF(Possible_Solutions, "*"&amp;Table3[[#This Row],[Table 3: Possible Solutions Values Unique]]&amp;"*")</f>
        <v>1</v>
      </c>
      <c r="G30" s="32">
        <f>Table3[[#This Row],[Count]]/SUM(Table3[Count])</f>
        <v>4.0816326530612249E-3</v>
      </c>
    </row>
    <row r="31" spans="1:11" x14ac:dyDescent="0.25">
      <c r="A31" s="1" t="s">
        <v>143</v>
      </c>
      <c r="B31">
        <f>COUNTIF(Concerns, "*"&amp;Table2[[#This Row],[Table 2: Concerns Values Unique]]&amp;"*")</f>
        <v>1</v>
      </c>
      <c r="C31" s="32">
        <f>Table2[[#This Row],[Count]]/SUM(Table2[Count])</f>
        <v>3.6900369003690036E-3</v>
      </c>
      <c r="E31" t="s">
        <v>492</v>
      </c>
      <c r="F31">
        <f>COUNTIF(Possible_Solutions, "*"&amp;Table3[[#This Row],[Table 3: Possible Solutions Values Unique]]&amp;"*")</f>
        <v>1</v>
      </c>
      <c r="G31" s="32">
        <f>Table3[[#This Row],[Count]]/SUM(Table3[Count])</f>
        <v>4.0816326530612249E-3</v>
      </c>
    </row>
    <row r="32" spans="1:11" x14ac:dyDescent="0.25">
      <c r="A32" s="1" t="s">
        <v>144</v>
      </c>
      <c r="B32">
        <f>COUNTIF(Concerns, "*"&amp;Table2[[#This Row],[Table 2: Concerns Values Unique]]&amp;"*")</f>
        <v>1</v>
      </c>
      <c r="C32" s="32">
        <f>Table2[[#This Row],[Count]]/SUM(Table2[Count])</f>
        <v>3.6900369003690036E-3</v>
      </c>
      <c r="E32" t="s">
        <v>468</v>
      </c>
      <c r="F32">
        <f>COUNTIF(Possible_Solutions, "*"&amp;Table3[[#This Row],[Table 3: Possible Solutions Values Unique]]&amp;"*")</f>
        <v>1</v>
      </c>
      <c r="G32" s="32">
        <f>Table3[[#This Row],[Count]]/SUM(Table3[Count])</f>
        <v>4.0816326530612249E-3</v>
      </c>
    </row>
    <row r="33" spans="1:7" x14ac:dyDescent="0.25">
      <c r="A33" s="1" t="s">
        <v>145</v>
      </c>
      <c r="B33">
        <f>COUNTIF(Concerns, "*"&amp;Table2[[#This Row],[Table 2: Concerns Values Unique]]&amp;"*")</f>
        <v>1</v>
      </c>
      <c r="C33" s="32">
        <f>Table2[[#This Row],[Count]]/SUM(Table2[Count])</f>
        <v>3.6900369003690036E-3</v>
      </c>
      <c r="E33" t="s">
        <v>479</v>
      </c>
      <c r="F33">
        <f>COUNTIF(Possible_Solutions, "*"&amp;Table3[[#This Row],[Table 3: Possible Solutions Values Unique]]&amp;"*")</f>
        <v>1</v>
      </c>
      <c r="G33" s="32">
        <f>Table3[[#This Row],[Count]]/SUM(Table3[Count])</f>
        <v>4.0816326530612249E-3</v>
      </c>
    </row>
    <row r="34" spans="1:7" x14ac:dyDescent="0.25">
      <c r="A34" s="1" t="s">
        <v>146</v>
      </c>
      <c r="B34">
        <f>COUNTIF(Concerns, "*"&amp;Table2[[#This Row],[Table 2: Concerns Values Unique]]&amp;"*")</f>
        <v>1</v>
      </c>
      <c r="C34" s="32">
        <f>Table2[[#This Row],[Count]]/SUM(Table2[Count])</f>
        <v>3.6900369003690036E-3</v>
      </c>
      <c r="E34" t="s">
        <v>529</v>
      </c>
      <c r="F34">
        <f>COUNTIF(Possible_Solutions, "*"&amp;Table3[[#This Row],[Table 3: Possible Solutions Values Unique]]&amp;"*")</f>
        <v>1</v>
      </c>
      <c r="G34" s="32">
        <f>Table3[[#This Row],[Count]]/SUM(Table3[Count])</f>
        <v>4.0816326530612249E-3</v>
      </c>
    </row>
    <row r="35" spans="1:7" x14ac:dyDescent="0.25">
      <c r="A35" s="1" t="s">
        <v>148</v>
      </c>
      <c r="B35">
        <f>COUNTIF(Concerns, "*"&amp;Table2[[#This Row],[Table 2: Concerns Values Unique]]&amp;"*")</f>
        <v>1</v>
      </c>
      <c r="C35" s="32">
        <f>Table2[[#This Row],[Count]]/SUM(Table2[Count])</f>
        <v>3.6900369003690036E-3</v>
      </c>
      <c r="E35" t="s">
        <v>515</v>
      </c>
      <c r="F35">
        <f>COUNTIF(Possible_Solutions, "*"&amp;Table3[[#This Row],[Table 3: Possible Solutions Values Unique]]&amp;"*")</f>
        <v>1</v>
      </c>
      <c r="G35" s="32">
        <f>Table3[[#This Row],[Count]]/SUM(Table3[Count])</f>
        <v>4.0816326530612249E-3</v>
      </c>
    </row>
    <row r="36" spans="1:7" x14ac:dyDescent="0.25">
      <c r="A36" s="1" t="s">
        <v>344</v>
      </c>
      <c r="B36">
        <f>COUNTIF(Concerns, "*"&amp;Table2[[#This Row],[Table 2: Concerns Values Unique]]&amp;"*")</f>
        <v>1</v>
      </c>
      <c r="C36" s="32">
        <f>Table2[[#This Row],[Count]]/SUM(Table2[Count])</f>
        <v>3.6900369003690036E-3</v>
      </c>
      <c r="E36" t="s">
        <v>496</v>
      </c>
      <c r="F36">
        <f>COUNTIF(Possible_Solutions, "*"&amp;Table3[[#This Row],[Table 3: Possible Solutions Values Unique]]&amp;"*")</f>
        <v>1</v>
      </c>
      <c r="G36" s="32">
        <f>Table3[[#This Row],[Count]]/SUM(Table3[Count])</f>
        <v>4.0816326530612249E-3</v>
      </c>
    </row>
    <row r="37" spans="1:7" x14ac:dyDescent="0.25">
      <c r="A37" s="1" t="s">
        <v>149</v>
      </c>
      <c r="B37">
        <f>COUNTIF(Concerns, "*"&amp;Table2[[#This Row],[Table 2: Concerns Values Unique]]&amp;"*")</f>
        <v>1</v>
      </c>
      <c r="C37" s="32">
        <f>Table2[[#This Row],[Count]]/SUM(Table2[Count])</f>
        <v>3.6900369003690036E-3</v>
      </c>
      <c r="E37" t="s">
        <v>533</v>
      </c>
      <c r="F37">
        <f>COUNTIF(Possible_Solutions, "*"&amp;Table3[[#This Row],[Table 3: Possible Solutions Values Unique]]&amp;"*")</f>
        <v>1</v>
      </c>
      <c r="G37" s="32">
        <f>Table3[[#This Row],[Count]]/SUM(Table3[Count])</f>
        <v>4.0816326530612249E-3</v>
      </c>
    </row>
    <row r="38" spans="1:7" x14ac:dyDescent="0.25">
      <c r="A38" s="1" t="s">
        <v>150</v>
      </c>
      <c r="B38">
        <f>COUNTIF(Concerns, "*"&amp;Table2[[#This Row],[Table 2: Concerns Values Unique]]&amp;"*")</f>
        <v>1</v>
      </c>
      <c r="C38" s="32">
        <f>Table2[[#This Row],[Count]]/SUM(Table2[Count])</f>
        <v>3.6900369003690036E-3</v>
      </c>
      <c r="E38" t="s">
        <v>520</v>
      </c>
      <c r="F38">
        <f>COUNTIF(Possible_Solutions, "*"&amp;Table3[[#This Row],[Table 3: Possible Solutions Values Unique]]&amp;"*")</f>
        <v>1</v>
      </c>
      <c r="G38" s="32">
        <f>Table3[[#This Row],[Count]]/SUM(Table3[Count])</f>
        <v>4.0816326530612249E-3</v>
      </c>
    </row>
    <row r="39" spans="1:7" x14ac:dyDescent="0.25">
      <c r="A39" s="1" t="s">
        <v>154</v>
      </c>
      <c r="B39">
        <f>COUNTIF(Concerns, "*"&amp;Table2[[#This Row],[Table 2: Concerns Values Unique]]&amp;"*")</f>
        <v>1</v>
      </c>
      <c r="C39" s="32">
        <f>Table2[[#This Row],[Count]]/SUM(Table2[Count])</f>
        <v>3.6900369003690036E-3</v>
      </c>
      <c r="E39" t="s">
        <v>448</v>
      </c>
      <c r="F39">
        <f>COUNTIF(Possible_Solutions, "*"&amp;Table3[[#This Row],[Table 3: Possible Solutions Values Unique]]&amp;"*")</f>
        <v>1</v>
      </c>
      <c r="G39" s="32">
        <f>Table3[[#This Row],[Count]]/SUM(Table3[Count])</f>
        <v>4.0816326530612249E-3</v>
      </c>
    </row>
    <row r="40" spans="1:7" x14ac:dyDescent="0.25">
      <c r="A40" s="1" t="s">
        <v>155</v>
      </c>
      <c r="B40">
        <f>COUNTIF(Concerns, "*"&amp;Table2[[#This Row],[Table 2: Concerns Values Unique]]&amp;"*")</f>
        <v>1</v>
      </c>
      <c r="C40" s="32">
        <f>Table2[[#This Row],[Count]]/SUM(Table2[Count])</f>
        <v>3.6900369003690036E-3</v>
      </c>
      <c r="E40" t="s">
        <v>451</v>
      </c>
      <c r="F40">
        <f>COUNTIF(Possible_Solutions, "*"&amp;Table3[[#This Row],[Table 3: Possible Solutions Values Unique]]&amp;"*")</f>
        <v>1</v>
      </c>
      <c r="G40" s="32">
        <f>Table3[[#This Row],[Count]]/SUM(Table3[Count])</f>
        <v>4.0816326530612249E-3</v>
      </c>
    </row>
    <row r="41" spans="1:7" x14ac:dyDescent="0.25">
      <c r="A41" s="1" t="s">
        <v>157</v>
      </c>
      <c r="B41">
        <f>COUNTIF(Concerns, "*"&amp;Table2[[#This Row],[Table 2: Concerns Values Unique]]&amp;"*")</f>
        <v>1</v>
      </c>
      <c r="C41" s="32">
        <f>Table2[[#This Row],[Count]]/SUM(Table2[Count])</f>
        <v>3.6900369003690036E-3</v>
      </c>
      <c r="E41" t="s">
        <v>524</v>
      </c>
      <c r="F41">
        <f>COUNTIF(Possible_Solutions, "*"&amp;Table3[[#This Row],[Table 3: Possible Solutions Values Unique]]&amp;"*")</f>
        <v>1</v>
      </c>
      <c r="G41" s="32">
        <f>Table3[[#This Row],[Count]]/SUM(Table3[Count])</f>
        <v>4.0816326530612249E-3</v>
      </c>
    </row>
    <row r="42" spans="1:7" x14ac:dyDescent="0.25">
      <c r="A42" s="1" t="s">
        <v>161</v>
      </c>
      <c r="B42">
        <f>COUNTIF(Concerns, "*"&amp;Table2[[#This Row],[Table 2: Concerns Values Unique]]&amp;"*")</f>
        <v>1</v>
      </c>
      <c r="C42" s="32">
        <f>Table2[[#This Row],[Count]]/SUM(Table2[Count])</f>
        <v>3.6900369003690036E-3</v>
      </c>
      <c r="E42" t="s">
        <v>537</v>
      </c>
      <c r="F42">
        <f>COUNTIF(Possible_Solutions, "*"&amp;Table3[[#This Row],[Table 3: Possible Solutions Values Unique]]&amp;"*")</f>
        <v>1</v>
      </c>
      <c r="G42" s="32">
        <f>Table3[[#This Row],[Count]]/SUM(Table3[Count])</f>
        <v>4.0816326530612249E-3</v>
      </c>
    </row>
    <row r="43" spans="1:7" x14ac:dyDescent="0.25">
      <c r="A43" s="1" t="s">
        <v>346</v>
      </c>
      <c r="B43">
        <f>COUNTIF(Concerns, "*"&amp;Table2[[#This Row],[Table 2: Concerns Values Unique]]&amp;"*")</f>
        <v>1</v>
      </c>
      <c r="C43" s="32">
        <f>Table2[[#This Row],[Count]]/SUM(Table2[Count])</f>
        <v>3.6900369003690036E-3</v>
      </c>
      <c r="E43" t="s">
        <v>499</v>
      </c>
      <c r="F43">
        <f>COUNTIF(Possible_Solutions, "*"&amp;Table3[[#This Row],[Table 3: Possible Solutions Values Unique]]&amp;"*")</f>
        <v>1</v>
      </c>
      <c r="G43" s="32">
        <f>Table3[[#This Row],[Count]]/SUM(Table3[Count])</f>
        <v>4.0816326530612249E-3</v>
      </c>
    </row>
    <row r="44" spans="1:7" x14ac:dyDescent="0.25">
      <c r="A44" s="1" t="s">
        <v>163</v>
      </c>
      <c r="B44">
        <f>COUNTIF(Concerns, "*"&amp;Table2[[#This Row],[Table 2: Concerns Values Unique]]&amp;"*")</f>
        <v>1</v>
      </c>
      <c r="C44" s="32">
        <f>Table2[[#This Row],[Count]]/SUM(Table2[Count])</f>
        <v>3.6900369003690036E-3</v>
      </c>
      <c r="E44" t="s">
        <v>531</v>
      </c>
      <c r="F44">
        <f>COUNTIF(Possible_Solutions, "*"&amp;Table3[[#This Row],[Table 3: Possible Solutions Values Unique]]&amp;"*")</f>
        <v>1</v>
      </c>
      <c r="G44" s="32">
        <f>Table3[[#This Row],[Count]]/SUM(Table3[Count])</f>
        <v>4.0816326530612249E-3</v>
      </c>
    </row>
    <row r="45" spans="1:7" x14ac:dyDescent="0.25">
      <c r="A45" s="1" t="s">
        <v>164</v>
      </c>
      <c r="B45">
        <f>COUNTIF(Concerns, "*"&amp;Table2[[#This Row],[Table 2: Concerns Values Unique]]&amp;"*")</f>
        <v>1</v>
      </c>
      <c r="C45" s="32">
        <f>Table2[[#This Row],[Count]]/SUM(Table2[Count])</f>
        <v>3.6900369003690036E-3</v>
      </c>
      <c r="E45" t="s">
        <v>530</v>
      </c>
      <c r="F45">
        <f>COUNTIF(Possible_Solutions, "*"&amp;Table3[[#This Row],[Table 3: Possible Solutions Values Unique]]&amp;"*")</f>
        <v>1</v>
      </c>
      <c r="G45" s="32">
        <f>Table3[[#This Row],[Count]]/SUM(Table3[Count])</f>
        <v>4.0816326530612249E-3</v>
      </c>
    </row>
    <row r="46" spans="1:7" x14ac:dyDescent="0.25">
      <c r="A46" s="1" t="s">
        <v>165</v>
      </c>
      <c r="B46">
        <f>COUNTIF(Concerns, "*"&amp;Table2[[#This Row],[Table 2: Concerns Values Unique]]&amp;"*")</f>
        <v>1</v>
      </c>
      <c r="C46" s="32">
        <f>Table2[[#This Row],[Count]]/SUM(Table2[Count])</f>
        <v>3.6900369003690036E-3</v>
      </c>
      <c r="E46" t="s">
        <v>480</v>
      </c>
      <c r="F46">
        <f>COUNTIF(Possible_Solutions, "*"&amp;Table3[[#This Row],[Table 3: Possible Solutions Values Unique]]&amp;"*")</f>
        <v>1</v>
      </c>
      <c r="G46" s="32">
        <f>Table3[[#This Row],[Count]]/SUM(Table3[Count])</f>
        <v>4.0816326530612249E-3</v>
      </c>
    </row>
    <row r="47" spans="1:7" x14ac:dyDescent="0.25">
      <c r="A47" s="1" t="s">
        <v>166</v>
      </c>
      <c r="B47">
        <f>COUNTIF(Concerns, "*"&amp;Table2[[#This Row],[Table 2: Concerns Values Unique]]&amp;"*")</f>
        <v>1</v>
      </c>
      <c r="C47" s="32">
        <f>Table2[[#This Row],[Count]]/SUM(Table2[Count])</f>
        <v>3.6900369003690036E-3</v>
      </c>
      <c r="E47" t="s">
        <v>426</v>
      </c>
      <c r="F47">
        <f>COUNTIF(Possible_Solutions, "*"&amp;Table3[[#This Row],[Table 3: Possible Solutions Values Unique]]&amp;"*")</f>
        <v>1</v>
      </c>
      <c r="G47" s="32">
        <f>Table3[[#This Row],[Count]]/SUM(Table3[Count])</f>
        <v>4.0816326530612249E-3</v>
      </c>
    </row>
    <row r="48" spans="1:7" x14ac:dyDescent="0.25">
      <c r="A48" s="1" t="s">
        <v>167</v>
      </c>
      <c r="B48">
        <f>COUNTIF(Concerns, "*"&amp;Table2[[#This Row],[Table 2: Concerns Values Unique]]&amp;"*")</f>
        <v>1</v>
      </c>
      <c r="C48" s="32">
        <f>Table2[[#This Row],[Count]]/SUM(Table2[Count])</f>
        <v>3.6900369003690036E-3</v>
      </c>
      <c r="E48" t="s">
        <v>473</v>
      </c>
      <c r="F48">
        <f>COUNTIF(Possible_Solutions, "*"&amp;Table3[[#This Row],[Table 3: Possible Solutions Values Unique]]&amp;"*")</f>
        <v>1</v>
      </c>
      <c r="G48" s="32">
        <f>Table3[[#This Row],[Count]]/SUM(Table3[Count])</f>
        <v>4.0816326530612249E-3</v>
      </c>
    </row>
    <row r="49" spans="1:7" x14ac:dyDescent="0.25">
      <c r="A49" s="1" t="s">
        <v>169</v>
      </c>
      <c r="B49">
        <f>COUNTIF(Concerns, "*"&amp;Table2[[#This Row],[Table 2: Concerns Values Unique]]&amp;"*")</f>
        <v>1</v>
      </c>
      <c r="C49" s="32">
        <f>Table2[[#This Row],[Count]]/SUM(Table2[Count])</f>
        <v>3.6900369003690036E-3</v>
      </c>
      <c r="E49" t="s">
        <v>513</v>
      </c>
      <c r="F49">
        <f>COUNTIF(Possible_Solutions, "*"&amp;Table3[[#This Row],[Table 3: Possible Solutions Values Unique]]&amp;"*")</f>
        <v>1</v>
      </c>
      <c r="G49" s="32">
        <f>Table3[[#This Row],[Count]]/SUM(Table3[Count])</f>
        <v>4.0816326530612249E-3</v>
      </c>
    </row>
    <row r="50" spans="1:7" x14ac:dyDescent="0.25">
      <c r="A50" s="1" t="s">
        <v>347</v>
      </c>
      <c r="B50">
        <f>COUNTIF(Concerns, "*"&amp;Table2[[#This Row],[Table 2: Concerns Values Unique]]&amp;"*")</f>
        <v>1</v>
      </c>
      <c r="C50" s="32">
        <f>Table2[[#This Row],[Count]]/SUM(Table2[Count])</f>
        <v>3.6900369003690036E-3</v>
      </c>
      <c r="E50" t="s">
        <v>371</v>
      </c>
      <c r="F50">
        <f>COUNTIF(Possible_Solutions, "*"&amp;Table3[[#This Row],[Table 3: Possible Solutions Values Unique]]&amp;"*")</f>
        <v>1</v>
      </c>
      <c r="G50" s="32">
        <f>Table3[[#This Row],[Count]]/SUM(Table3[Count])</f>
        <v>4.0816326530612249E-3</v>
      </c>
    </row>
    <row r="51" spans="1:7" x14ac:dyDescent="0.25">
      <c r="A51" s="1" t="s">
        <v>170</v>
      </c>
      <c r="B51">
        <f>COUNTIF(Concerns, "*"&amp;Table2[[#This Row],[Table 2: Concerns Values Unique]]&amp;"*")</f>
        <v>1</v>
      </c>
      <c r="C51" s="32">
        <f>Table2[[#This Row],[Count]]/SUM(Table2[Count])</f>
        <v>3.6900369003690036E-3</v>
      </c>
      <c r="E51" t="s">
        <v>487</v>
      </c>
      <c r="F51">
        <f>COUNTIF(Possible_Solutions, "*"&amp;Table3[[#This Row],[Table 3: Possible Solutions Values Unique]]&amp;"*")</f>
        <v>1</v>
      </c>
      <c r="G51" s="32">
        <f>Table3[[#This Row],[Count]]/SUM(Table3[Count])</f>
        <v>4.0816326530612249E-3</v>
      </c>
    </row>
    <row r="52" spans="1:7" x14ac:dyDescent="0.25">
      <c r="A52" s="1" t="s">
        <v>173</v>
      </c>
      <c r="B52">
        <f>COUNTIF(Concerns, "*"&amp;Table2[[#This Row],[Table 2: Concerns Values Unique]]&amp;"*")</f>
        <v>1</v>
      </c>
      <c r="C52" s="32">
        <f>Table2[[#This Row],[Count]]/SUM(Table2[Count])</f>
        <v>3.6900369003690036E-3</v>
      </c>
      <c r="E52" t="s">
        <v>472</v>
      </c>
      <c r="F52">
        <f>COUNTIF(Possible_Solutions, "*"&amp;Table3[[#This Row],[Table 3: Possible Solutions Values Unique]]&amp;"*")</f>
        <v>1</v>
      </c>
      <c r="G52" s="32">
        <f>Table3[[#This Row],[Count]]/SUM(Table3[Count])</f>
        <v>4.0816326530612249E-3</v>
      </c>
    </row>
    <row r="53" spans="1:7" x14ac:dyDescent="0.25">
      <c r="A53" s="1" t="s">
        <v>174</v>
      </c>
      <c r="B53">
        <f>COUNTIF(Concerns, "*"&amp;Table2[[#This Row],[Table 2: Concerns Values Unique]]&amp;"*")</f>
        <v>1</v>
      </c>
      <c r="C53" s="32">
        <f>Table2[[#This Row],[Count]]/SUM(Table2[Count])</f>
        <v>3.6900369003690036E-3</v>
      </c>
      <c r="E53" t="s">
        <v>402</v>
      </c>
      <c r="F53">
        <f>COUNTIF(Possible_Solutions, "*"&amp;Table3[[#This Row],[Table 3: Possible Solutions Values Unique]]&amp;"*")</f>
        <v>1</v>
      </c>
      <c r="G53" s="32">
        <f>Table3[[#This Row],[Count]]/SUM(Table3[Count])</f>
        <v>4.0816326530612249E-3</v>
      </c>
    </row>
    <row r="54" spans="1:7" x14ac:dyDescent="0.25">
      <c r="A54" s="1" t="s">
        <v>175</v>
      </c>
      <c r="B54">
        <f>COUNTIF(Concerns, "*"&amp;Table2[[#This Row],[Table 2: Concerns Values Unique]]&amp;"*")</f>
        <v>1</v>
      </c>
      <c r="C54" s="32">
        <f>Table2[[#This Row],[Count]]/SUM(Table2[Count])</f>
        <v>3.6900369003690036E-3</v>
      </c>
      <c r="E54" t="s">
        <v>419</v>
      </c>
      <c r="F54">
        <f>COUNTIF(Possible_Solutions, "*"&amp;Table3[[#This Row],[Table 3: Possible Solutions Values Unique]]&amp;"*")</f>
        <v>1</v>
      </c>
      <c r="G54" s="32">
        <f>Table3[[#This Row],[Count]]/SUM(Table3[Count])</f>
        <v>4.0816326530612249E-3</v>
      </c>
    </row>
    <row r="55" spans="1:7" x14ac:dyDescent="0.25">
      <c r="A55" s="1" t="s">
        <v>176</v>
      </c>
      <c r="B55">
        <f>COUNTIF(Concerns, "*"&amp;Table2[[#This Row],[Table 2: Concerns Values Unique]]&amp;"*")</f>
        <v>1</v>
      </c>
      <c r="C55" s="32">
        <f>Table2[[#This Row],[Count]]/SUM(Table2[Count])</f>
        <v>3.6900369003690036E-3</v>
      </c>
      <c r="E55" t="s">
        <v>550</v>
      </c>
      <c r="F55">
        <f>COUNTIF(Possible_Solutions, "*"&amp;Table3[[#This Row],[Table 3: Possible Solutions Values Unique]]&amp;"*")</f>
        <v>1</v>
      </c>
      <c r="G55" s="32">
        <f>Table3[[#This Row],[Count]]/SUM(Table3[Count])</f>
        <v>4.0816326530612249E-3</v>
      </c>
    </row>
    <row r="56" spans="1:7" x14ac:dyDescent="0.25">
      <c r="A56" s="1" t="s">
        <v>179</v>
      </c>
      <c r="B56">
        <f>COUNTIF(Concerns, "*"&amp;Table2[[#This Row],[Table 2: Concerns Values Unique]]&amp;"*")</f>
        <v>1</v>
      </c>
      <c r="C56" s="32">
        <f>Table2[[#This Row],[Count]]/SUM(Table2[Count])</f>
        <v>3.6900369003690036E-3</v>
      </c>
      <c r="E56" t="s">
        <v>486</v>
      </c>
      <c r="F56">
        <f>COUNTIF(Possible_Solutions, "*"&amp;Table3[[#This Row],[Table 3: Possible Solutions Values Unique]]&amp;"*")</f>
        <v>1</v>
      </c>
      <c r="G56" s="32">
        <f>Table3[[#This Row],[Count]]/SUM(Table3[Count])</f>
        <v>4.0816326530612249E-3</v>
      </c>
    </row>
    <row r="57" spans="1:7" x14ac:dyDescent="0.25">
      <c r="A57" s="1" t="s">
        <v>180</v>
      </c>
      <c r="B57">
        <f>COUNTIF(Concerns, "*"&amp;Table2[[#This Row],[Table 2: Concerns Values Unique]]&amp;"*")</f>
        <v>1</v>
      </c>
      <c r="C57" s="32">
        <f>Table2[[#This Row],[Count]]/SUM(Table2[Count])</f>
        <v>3.6900369003690036E-3</v>
      </c>
      <c r="E57" t="s">
        <v>385</v>
      </c>
      <c r="F57">
        <f>COUNTIF(Possible_Solutions, "*"&amp;Table3[[#This Row],[Table 3: Possible Solutions Values Unique]]&amp;"*")</f>
        <v>1</v>
      </c>
      <c r="G57" s="32">
        <f>Table3[[#This Row],[Count]]/SUM(Table3[Count])</f>
        <v>4.0816326530612249E-3</v>
      </c>
    </row>
    <row r="58" spans="1:7" x14ac:dyDescent="0.25">
      <c r="A58" s="1" t="s">
        <v>181</v>
      </c>
      <c r="B58">
        <f>COUNTIF(Concerns, "*"&amp;Table2[[#This Row],[Table 2: Concerns Values Unique]]&amp;"*")</f>
        <v>1</v>
      </c>
      <c r="C58" s="32">
        <f>Table2[[#This Row],[Count]]/SUM(Table2[Count])</f>
        <v>3.6900369003690036E-3</v>
      </c>
      <c r="E58" t="s">
        <v>551</v>
      </c>
      <c r="F58">
        <f>COUNTIF(Possible_Solutions, "*"&amp;Table3[[#This Row],[Table 3: Possible Solutions Values Unique]]&amp;"*")</f>
        <v>1</v>
      </c>
      <c r="G58" s="32">
        <f>Table3[[#This Row],[Count]]/SUM(Table3[Count])</f>
        <v>4.0816326530612249E-3</v>
      </c>
    </row>
    <row r="59" spans="1:7" x14ac:dyDescent="0.25">
      <c r="A59" s="1" t="s">
        <v>182</v>
      </c>
      <c r="B59">
        <f>COUNTIF(Concerns, "*"&amp;Table2[[#This Row],[Table 2: Concerns Values Unique]]&amp;"*")</f>
        <v>1</v>
      </c>
      <c r="C59" s="32">
        <f>Table2[[#This Row],[Count]]/SUM(Table2[Count])</f>
        <v>3.6900369003690036E-3</v>
      </c>
      <c r="E59" t="s">
        <v>373</v>
      </c>
      <c r="F59">
        <f>COUNTIF(Possible_Solutions, "*"&amp;Table3[[#This Row],[Table 3: Possible Solutions Values Unique]]&amp;"*")</f>
        <v>1</v>
      </c>
      <c r="G59" s="32">
        <f>Table3[[#This Row],[Count]]/SUM(Table3[Count])</f>
        <v>4.0816326530612249E-3</v>
      </c>
    </row>
    <row r="60" spans="1:7" x14ac:dyDescent="0.25">
      <c r="A60" s="1" t="s">
        <v>184</v>
      </c>
      <c r="B60">
        <f>COUNTIF(Concerns, "*"&amp;Table2[[#This Row],[Table 2: Concerns Values Unique]]&amp;"*")</f>
        <v>1</v>
      </c>
      <c r="C60" s="32">
        <f>Table2[[#This Row],[Count]]/SUM(Table2[Count])</f>
        <v>3.6900369003690036E-3</v>
      </c>
      <c r="E60" t="s">
        <v>541</v>
      </c>
      <c r="F60">
        <f>COUNTIF(Possible_Solutions, "*"&amp;Table3[[#This Row],[Table 3: Possible Solutions Values Unique]]&amp;"*")</f>
        <v>1</v>
      </c>
      <c r="G60" s="32">
        <f>Table3[[#This Row],[Count]]/SUM(Table3[Count])</f>
        <v>4.0816326530612249E-3</v>
      </c>
    </row>
    <row r="61" spans="1:7" x14ac:dyDescent="0.25">
      <c r="A61" s="1" t="s">
        <v>186</v>
      </c>
      <c r="B61">
        <f>COUNTIF(Concerns, "*"&amp;Table2[[#This Row],[Table 2: Concerns Values Unique]]&amp;"*")</f>
        <v>1</v>
      </c>
      <c r="C61" s="32">
        <f>Table2[[#This Row],[Count]]/SUM(Table2[Count])</f>
        <v>3.6900369003690036E-3</v>
      </c>
      <c r="E61" t="s">
        <v>379</v>
      </c>
      <c r="F61">
        <f>COUNTIF(Possible_Solutions, "*"&amp;Table3[[#This Row],[Table 3: Possible Solutions Values Unique]]&amp;"*")</f>
        <v>1</v>
      </c>
      <c r="G61" s="32">
        <f>Table3[[#This Row],[Count]]/SUM(Table3[Count])</f>
        <v>4.0816326530612249E-3</v>
      </c>
    </row>
    <row r="62" spans="1:7" x14ac:dyDescent="0.25">
      <c r="A62" s="1" t="s">
        <v>348</v>
      </c>
      <c r="B62">
        <f>COUNTIF(Concerns, "*"&amp;Table2[[#This Row],[Table 2: Concerns Values Unique]]&amp;"*")</f>
        <v>1</v>
      </c>
      <c r="C62" s="32">
        <f>Table2[[#This Row],[Count]]/SUM(Table2[Count])</f>
        <v>3.6900369003690036E-3</v>
      </c>
      <c r="E62" t="s">
        <v>425</v>
      </c>
      <c r="F62">
        <f>COUNTIF(Possible_Solutions, "*"&amp;Table3[[#This Row],[Table 3: Possible Solutions Values Unique]]&amp;"*")</f>
        <v>1</v>
      </c>
      <c r="G62" s="32">
        <f>Table3[[#This Row],[Count]]/SUM(Table3[Count])</f>
        <v>4.0816326530612249E-3</v>
      </c>
    </row>
    <row r="63" spans="1:7" x14ac:dyDescent="0.25">
      <c r="A63" s="1" t="s">
        <v>349</v>
      </c>
      <c r="B63">
        <f>COUNTIF(Concerns, "*"&amp;Table2[[#This Row],[Table 2: Concerns Values Unique]]&amp;"*")</f>
        <v>1</v>
      </c>
      <c r="C63" s="32">
        <f>Table2[[#This Row],[Count]]/SUM(Table2[Count])</f>
        <v>3.6900369003690036E-3</v>
      </c>
      <c r="E63" t="s">
        <v>471</v>
      </c>
      <c r="F63">
        <f>COUNTIF(Possible_Solutions, "*"&amp;Table3[[#This Row],[Table 3: Possible Solutions Values Unique]]&amp;"*")</f>
        <v>1</v>
      </c>
      <c r="G63" s="32">
        <f>Table3[[#This Row],[Count]]/SUM(Table3[Count])</f>
        <v>4.0816326530612249E-3</v>
      </c>
    </row>
    <row r="64" spans="1:7" x14ac:dyDescent="0.25">
      <c r="A64" s="1" t="s">
        <v>187</v>
      </c>
      <c r="B64">
        <f>COUNTIF(Concerns, "*"&amp;Table2[[#This Row],[Table 2: Concerns Values Unique]]&amp;"*")</f>
        <v>1</v>
      </c>
      <c r="C64" s="32">
        <f>Table2[[#This Row],[Count]]/SUM(Table2[Count])</f>
        <v>3.6900369003690036E-3</v>
      </c>
      <c r="E64" t="s">
        <v>421</v>
      </c>
      <c r="F64">
        <f>COUNTIF(Possible_Solutions, "*"&amp;Table3[[#This Row],[Table 3: Possible Solutions Values Unique]]&amp;"*")</f>
        <v>1</v>
      </c>
      <c r="G64" s="32">
        <f>Table3[[#This Row],[Count]]/SUM(Table3[Count])</f>
        <v>4.0816326530612249E-3</v>
      </c>
    </row>
    <row r="65" spans="1:7" x14ac:dyDescent="0.25">
      <c r="A65" s="1" t="s">
        <v>188</v>
      </c>
      <c r="B65">
        <f>COUNTIF(Concerns, "*"&amp;Table2[[#This Row],[Table 2: Concerns Values Unique]]&amp;"*")</f>
        <v>1</v>
      </c>
      <c r="C65" s="32">
        <f>Table2[[#This Row],[Count]]/SUM(Table2[Count])</f>
        <v>3.6900369003690036E-3</v>
      </c>
      <c r="E65" t="s">
        <v>535</v>
      </c>
      <c r="F65">
        <f>COUNTIF(Possible_Solutions, "*"&amp;Table3[[#This Row],[Table 3: Possible Solutions Values Unique]]&amp;"*")</f>
        <v>1</v>
      </c>
      <c r="G65" s="32">
        <f>Table3[[#This Row],[Count]]/SUM(Table3[Count])</f>
        <v>4.0816326530612249E-3</v>
      </c>
    </row>
    <row r="66" spans="1:7" x14ac:dyDescent="0.25">
      <c r="A66" s="1" t="s">
        <v>350</v>
      </c>
      <c r="B66">
        <f>COUNTIF(Concerns, "*"&amp;Table2[[#This Row],[Table 2: Concerns Values Unique]]&amp;"*")</f>
        <v>1</v>
      </c>
      <c r="C66" s="32">
        <f>Table2[[#This Row],[Count]]/SUM(Table2[Count])</f>
        <v>3.6900369003690036E-3</v>
      </c>
      <c r="E66" t="s">
        <v>502</v>
      </c>
      <c r="F66">
        <f>COUNTIF(Possible_Solutions, "*"&amp;Table3[[#This Row],[Table 3: Possible Solutions Values Unique]]&amp;"*")</f>
        <v>1</v>
      </c>
      <c r="G66" s="32">
        <f>Table3[[#This Row],[Count]]/SUM(Table3[Count])</f>
        <v>4.0816326530612249E-3</v>
      </c>
    </row>
    <row r="67" spans="1:7" x14ac:dyDescent="0.25">
      <c r="A67" s="1" t="s">
        <v>189</v>
      </c>
      <c r="B67">
        <f>COUNTIF(Concerns, "*"&amp;Table2[[#This Row],[Table 2: Concerns Values Unique]]&amp;"*")</f>
        <v>1</v>
      </c>
      <c r="C67" s="32">
        <f>Table2[[#This Row],[Count]]/SUM(Table2[Count])</f>
        <v>3.6900369003690036E-3</v>
      </c>
      <c r="E67" t="s">
        <v>553</v>
      </c>
      <c r="F67">
        <f>COUNTIF(Possible_Solutions, "*"&amp;Table3[[#This Row],[Table 3: Possible Solutions Values Unique]]&amp;"*")</f>
        <v>1</v>
      </c>
      <c r="G67" s="32">
        <f>Table3[[#This Row],[Count]]/SUM(Table3[Count])</f>
        <v>4.0816326530612249E-3</v>
      </c>
    </row>
    <row r="68" spans="1:7" x14ac:dyDescent="0.25">
      <c r="A68" s="1" t="s">
        <v>351</v>
      </c>
      <c r="B68">
        <f>COUNTIF(Concerns, "*"&amp;Table2[[#This Row],[Table 2: Concerns Values Unique]]&amp;"*")</f>
        <v>1</v>
      </c>
      <c r="C68" s="32">
        <f>Table2[[#This Row],[Count]]/SUM(Table2[Count])</f>
        <v>3.6900369003690036E-3</v>
      </c>
      <c r="E68" t="s">
        <v>490</v>
      </c>
      <c r="F68">
        <f>COUNTIF(Possible_Solutions, "*"&amp;Table3[[#This Row],[Table 3: Possible Solutions Values Unique]]&amp;"*")</f>
        <v>1</v>
      </c>
      <c r="G68" s="32">
        <f>Table3[[#This Row],[Count]]/SUM(Table3[Count])</f>
        <v>4.0816326530612249E-3</v>
      </c>
    </row>
    <row r="69" spans="1:7" x14ac:dyDescent="0.25">
      <c r="A69" s="1" t="s">
        <v>190</v>
      </c>
      <c r="B69">
        <f>COUNTIF(Concerns, "*"&amp;Table2[[#This Row],[Table 2: Concerns Values Unique]]&amp;"*")</f>
        <v>1</v>
      </c>
      <c r="C69" s="32">
        <f>Table2[[#This Row],[Count]]/SUM(Table2[Count])</f>
        <v>3.6900369003690036E-3</v>
      </c>
      <c r="E69" t="s">
        <v>459</v>
      </c>
      <c r="F69">
        <f>COUNTIF(Possible_Solutions, "*"&amp;Table3[[#This Row],[Table 3: Possible Solutions Values Unique]]&amp;"*")</f>
        <v>1</v>
      </c>
      <c r="G69" s="32">
        <f>Table3[[#This Row],[Count]]/SUM(Table3[Count])</f>
        <v>4.0816326530612249E-3</v>
      </c>
    </row>
    <row r="70" spans="1:7" x14ac:dyDescent="0.25">
      <c r="A70" s="1" t="s">
        <v>191</v>
      </c>
      <c r="B70">
        <f>COUNTIF(Concerns, "*"&amp;Table2[[#This Row],[Table 2: Concerns Values Unique]]&amp;"*")</f>
        <v>1</v>
      </c>
      <c r="C70" s="32">
        <f>Table2[[#This Row],[Count]]/SUM(Table2[Count])</f>
        <v>3.6900369003690036E-3</v>
      </c>
      <c r="E70" t="s">
        <v>458</v>
      </c>
      <c r="F70">
        <f>COUNTIF(Possible_Solutions, "*"&amp;Table3[[#This Row],[Table 3: Possible Solutions Values Unique]]&amp;"*")</f>
        <v>1</v>
      </c>
      <c r="G70" s="32">
        <f>Table3[[#This Row],[Count]]/SUM(Table3[Count])</f>
        <v>4.0816326530612249E-3</v>
      </c>
    </row>
    <row r="71" spans="1:7" x14ac:dyDescent="0.25">
      <c r="A71" s="1" t="s">
        <v>192</v>
      </c>
      <c r="B71">
        <f>COUNTIF(Concerns, "*"&amp;Table2[[#This Row],[Table 2: Concerns Values Unique]]&amp;"*")</f>
        <v>1</v>
      </c>
      <c r="C71" s="32">
        <f>Table2[[#This Row],[Count]]/SUM(Table2[Count])</f>
        <v>3.6900369003690036E-3</v>
      </c>
      <c r="E71" t="s">
        <v>484</v>
      </c>
      <c r="F71">
        <f>COUNTIF(Possible_Solutions, "*"&amp;Table3[[#This Row],[Table 3: Possible Solutions Values Unique]]&amp;"*")</f>
        <v>1</v>
      </c>
      <c r="G71" s="32">
        <f>Table3[[#This Row],[Count]]/SUM(Table3[Count])</f>
        <v>4.0816326530612249E-3</v>
      </c>
    </row>
    <row r="72" spans="1:7" x14ac:dyDescent="0.25">
      <c r="A72" s="1" t="s">
        <v>194</v>
      </c>
      <c r="B72">
        <f>COUNTIF(Concerns, "*"&amp;Table2[[#This Row],[Table 2: Concerns Values Unique]]&amp;"*")</f>
        <v>1</v>
      </c>
      <c r="C72" s="32">
        <f>Table2[[#This Row],[Count]]/SUM(Table2[Count])</f>
        <v>3.6900369003690036E-3</v>
      </c>
      <c r="E72" t="s">
        <v>462</v>
      </c>
      <c r="F72">
        <f>COUNTIF(Possible_Solutions, "*"&amp;Table3[[#This Row],[Table 3: Possible Solutions Values Unique]]&amp;"*")</f>
        <v>1</v>
      </c>
      <c r="G72" s="32">
        <f>Table3[[#This Row],[Count]]/SUM(Table3[Count])</f>
        <v>4.0816326530612249E-3</v>
      </c>
    </row>
    <row r="73" spans="1:7" x14ac:dyDescent="0.25">
      <c r="A73" s="1" t="s">
        <v>196</v>
      </c>
      <c r="B73">
        <f>COUNTIF(Concerns, "*"&amp;Table2[[#This Row],[Table 2: Concerns Values Unique]]&amp;"*")</f>
        <v>1</v>
      </c>
      <c r="C73" s="32">
        <f>Table2[[#This Row],[Count]]/SUM(Table2[Count])</f>
        <v>3.6900369003690036E-3</v>
      </c>
      <c r="E73" t="s">
        <v>383</v>
      </c>
      <c r="F73">
        <f>COUNTIF(Possible_Solutions, "*"&amp;Table3[[#This Row],[Table 3: Possible Solutions Values Unique]]&amp;"*")</f>
        <v>1</v>
      </c>
      <c r="G73" s="32">
        <f>Table3[[#This Row],[Count]]/SUM(Table3[Count])</f>
        <v>4.0816326530612249E-3</v>
      </c>
    </row>
    <row r="74" spans="1:7" x14ac:dyDescent="0.25">
      <c r="A74" t="s">
        <v>197</v>
      </c>
      <c r="B74">
        <f>COUNTIF(Concerns, "*"&amp;Table2[[#This Row],[Table 2: Concerns Values Unique]]&amp;"*")</f>
        <v>1</v>
      </c>
      <c r="C74" s="32">
        <f>Table2[[#This Row],[Count]]/SUM(Table2[Count])</f>
        <v>3.6900369003690036E-3</v>
      </c>
      <c r="E74" t="s">
        <v>400</v>
      </c>
      <c r="F74">
        <f>COUNTIF(Possible_Solutions, "*"&amp;Table3[[#This Row],[Table 3: Possible Solutions Values Unique]]&amp;"*")</f>
        <v>1</v>
      </c>
      <c r="G74" s="32">
        <f>Table3[[#This Row],[Count]]/SUM(Table3[Count])</f>
        <v>4.0816326530612249E-3</v>
      </c>
    </row>
    <row r="75" spans="1:7" x14ac:dyDescent="0.25">
      <c r="A75" t="s">
        <v>198</v>
      </c>
      <c r="B75">
        <f>COUNTIF(Concerns, "*"&amp;Table2[[#This Row],[Table 2: Concerns Values Unique]]&amp;"*")</f>
        <v>1</v>
      </c>
      <c r="C75" s="32">
        <f>Table2[[#This Row],[Count]]/SUM(Table2[Count])</f>
        <v>3.6900369003690036E-3</v>
      </c>
      <c r="E75" t="s">
        <v>552</v>
      </c>
      <c r="F75">
        <f>COUNTIF(Possible_Solutions, "*"&amp;Table3[[#This Row],[Table 3: Possible Solutions Values Unique]]&amp;"*")</f>
        <v>1</v>
      </c>
      <c r="G75" s="32">
        <f>Table3[[#This Row],[Count]]/SUM(Table3[Count])</f>
        <v>4.0816326530612249E-3</v>
      </c>
    </row>
    <row r="76" spans="1:7" x14ac:dyDescent="0.25">
      <c r="A76" t="s">
        <v>199</v>
      </c>
      <c r="B76">
        <f>COUNTIF(Concerns, "*"&amp;Table2[[#This Row],[Table 2: Concerns Values Unique]]&amp;"*")</f>
        <v>1</v>
      </c>
      <c r="C76" s="32">
        <f>Table2[[#This Row],[Count]]/SUM(Table2[Count])</f>
        <v>3.6900369003690036E-3</v>
      </c>
      <c r="E76" t="s">
        <v>512</v>
      </c>
      <c r="F76">
        <f>COUNTIF(Possible_Solutions, "*"&amp;Table3[[#This Row],[Table 3: Possible Solutions Values Unique]]&amp;"*")</f>
        <v>1</v>
      </c>
      <c r="G76" s="32">
        <f>Table3[[#This Row],[Count]]/SUM(Table3[Count])</f>
        <v>4.0816326530612249E-3</v>
      </c>
    </row>
    <row r="77" spans="1:7" x14ac:dyDescent="0.25">
      <c r="A77" t="s">
        <v>200</v>
      </c>
      <c r="B77">
        <f>COUNTIF(Concerns, "*"&amp;Table2[[#This Row],[Table 2: Concerns Values Unique]]&amp;"*")</f>
        <v>1</v>
      </c>
      <c r="C77" s="32">
        <f>Table2[[#This Row],[Count]]/SUM(Table2[Count])</f>
        <v>3.6900369003690036E-3</v>
      </c>
      <c r="E77" t="s">
        <v>506</v>
      </c>
      <c r="F77">
        <f>COUNTIF(Possible_Solutions, "*"&amp;Table3[[#This Row],[Table 3: Possible Solutions Values Unique]]&amp;"*")</f>
        <v>1</v>
      </c>
      <c r="G77" s="32">
        <f>Table3[[#This Row],[Count]]/SUM(Table3[Count])</f>
        <v>4.0816326530612249E-3</v>
      </c>
    </row>
    <row r="78" spans="1:7" x14ac:dyDescent="0.25">
      <c r="A78" t="s">
        <v>201</v>
      </c>
      <c r="B78">
        <f>COUNTIF(Concerns, "*"&amp;Table2[[#This Row],[Table 2: Concerns Values Unique]]&amp;"*")</f>
        <v>1</v>
      </c>
      <c r="C78" s="32">
        <f>Table2[[#This Row],[Count]]/SUM(Table2[Count])</f>
        <v>3.6900369003690036E-3</v>
      </c>
      <c r="E78" t="s">
        <v>478</v>
      </c>
      <c r="F78">
        <f>COUNTIF(Possible_Solutions, "*"&amp;Table3[[#This Row],[Table 3: Possible Solutions Values Unique]]&amp;"*")</f>
        <v>1</v>
      </c>
      <c r="G78" s="32">
        <f>Table3[[#This Row],[Count]]/SUM(Table3[Count])</f>
        <v>4.0816326530612249E-3</v>
      </c>
    </row>
    <row r="79" spans="1:7" x14ac:dyDescent="0.25">
      <c r="A79" t="s">
        <v>202</v>
      </c>
      <c r="B79">
        <f>COUNTIF(Concerns, "*"&amp;Table2[[#This Row],[Table 2: Concerns Values Unique]]&amp;"*")</f>
        <v>1</v>
      </c>
      <c r="C79" s="32">
        <f>Table2[[#This Row],[Count]]/SUM(Table2[Count])</f>
        <v>3.6900369003690036E-3</v>
      </c>
      <c r="E79" t="s">
        <v>436</v>
      </c>
      <c r="F79">
        <f>COUNTIF(Possible_Solutions, "*"&amp;Table3[[#This Row],[Table 3: Possible Solutions Values Unique]]&amp;"*")</f>
        <v>1</v>
      </c>
      <c r="G79" s="32">
        <f>Table3[[#This Row],[Count]]/SUM(Table3[Count])</f>
        <v>4.0816326530612249E-3</v>
      </c>
    </row>
    <row r="80" spans="1:7" x14ac:dyDescent="0.25">
      <c r="A80" t="s">
        <v>353</v>
      </c>
      <c r="B80">
        <f>COUNTIF(Concerns, "*"&amp;Table2[[#This Row],[Table 2: Concerns Values Unique]]&amp;"*")</f>
        <v>1</v>
      </c>
      <c r="C80" s="32">
        <f>Table2[[#This Row],[Count]]/SUM(Table2[Count])</f>
        <v>3.6900369003690036E-3</v>
      </c>
      <c r="E80" t="s">
        <v>396</v>
      </c>
      <c r="F80">
        <f>COUNTIF(Possible_Solutions, "*"&amp;Table3[[#This Row],[Table 3: Possible Solutions Values Unique]]&amp;"*")</f>
        <v>1</v>
      </c>
      <c r="G80" s="32">
        <f>Table3[[#This Row],[Count]]/SUM(Table3[Count])</f>
        <v>4.0816326530612249E-3</v>
      </c>
    </row>
    <row r="81" spans="1:7" x14ac:dyDescent="0.25">
      <c r="A81" t="s">
        <v>203</v>
      </c>
      <c r="B81">
        <f>COUNTIF(Concerns, "*"&amp;Table2[[#This Row],[Table 2: Concerns Values Unique]]&amp;"*")</f>
        <v>1</v>
      </c>
      <c r="C81" s="32">
        <f>Table2[[#This Row],[Count]]/SUM(Table2[Count])</f>
        <v>3.6900369003690036E-3</v>
      </c>
      <c r="E81" t="s">
        <v>481</v>
      </c>
      <c r="F81">
        <f>COUNTIF(Possible_Solutions, "*"&amp;Table3[[#This Row],[Table 3: Possible Solutions Values Unique]]&amp;"*")</f>
        <v>1</v>
      </c>
      <c r="G81" s="32">
        <f>Table3[[#This Row],[Count]]/SUM(Table3[Count])</f>
        <v>4.0816326530612249E-3</v>
      </c>
    </row>
    <row r="82" spans="1:7" x14ac:dyDescent="0.25">
      <c r="A82" t="s">
        <v>204</v>
      </c>
      <c r="B82">
        <f>COUNTIF(Concerns, "*"&amp;Table2[[#This Row],[Table 2: Concerns Values Unique]]&amp;"*")</f>
        <v>1</v>
      </c>
      <c r="C82" s="32">
        <f>Table2[[#This Row],[Count]]/SUM(Table2[Count])</f>
        <v>3.6900369003690036E-3</v>
      </c>
      <c r="E82" t="s">
        <v>386</v>
      </c>
      <c r="F82">
        <f>COUNTIF(Possible_Solutions, "*"&amp;Table3[[#This Row],[Table 3: Possible Solutions Values Unique]]&amp;"*")</f>
        <v>1</v>
      </c>
      <c r="G82" s="32">
        <f>Table3[[#This Row],[Count]]/SUM(Table3[Count])</f>
        <v>4.0816326530612249E-3</v>
      </c>
    </row>
    <row r="83" spans="1:7" x14ac:dyDescent="0.25">
      <c r="A83" t="s">
        <v>205</v>
      </c>
      <c r="B83">
        <f>COUNTIF(Concerns, "*"&amp;Table2[[#This Row],[Table 2: Concerns Values Unique]]&amp;"*")</f>
        <v>1</v>
      </c>
      <c r="C83" s="32">
        <f>Table2[[#This Row],[Count]]/SUM(Table2[Count])</f>
        <v>3.6900369003690036E-3</v>
      </c>
      <c r="E83" t="s">
        <v>439</v>
      </c>
      <c r="F83">
        <f>COUNTIF(Possible_Solutions, "*"&amp;Table3[[#This Row],[Table 3: Possible Solutions Values Unique]]&amp;"*")</f>
        <v>1</v>
      </c>
      <c r="G83" s="32">
        <f>Table3[[#This Row],[Count]]/SUM(Table3[Count])</f>
        <v>4.0816326530612249E-3</v>
      </c>
    </row>
    <row r="84" spans="1:7" x14ac:dyDescent="0.25">
      <c r="A84" t="s">
        <v>206</v>
      </c>
      <c r="B84">
        <f>COUNTIF(Concerns, "*"&amp;Table2[[#This Row],[Table 2: Concerns Values Unique]]&amp;"*")</f>
        <v>1</v>
      </c>
      <c r="C84" s="32">
        <f>Table2[[#This Row],[Count]]/SUM(Table2[Count])</f>
        <v>3.6900369003690036E-3</v>
      </c>
      <c r="E84" t="s">
        <v>566</v>
      </c>
      <c r="F84">
        <f>COUNTIF(Possible_Solutions, "*"&amp;Table3[[#This Row],[Table 3: Possible Solutions Values Unique]]&amp;"*")</f>
        <v>1</v>
      </c>
      <c r="G84" s="32">
        <f>Table3[[#This Row],[Count]]/SUM(Table3[Count])</f>
        <v>4.0816326530612249E-3</v>
      </c>
    </row>
    <row r="85" spans="1:7" x14ac:dyDescent="0.25">
      <c r="A85" t="s">
        <v>207</v>
      </c>
      <c r="B85">
        <f>COUNTIF(Concerns, "*"&amp;Table2[[#This Row],[Table 2: Concerns Values Unique]]&amp;"*")</f>
        <v>1</v>
      </c>
      <c r="C85" s="32">
        <f>Table2[[#This Row],[Count]]/SUM(Table2[Count])</f>
        <v>3.6900369003690036E-3</v>
      </c>
      <c r="E85" t="s">
        <v>369</v>
      </c>
      <c r="F85">
        <f>COUNTIF(Possible_Solutions, "*"&amp;Table3[[#This Row],[Table 3: Possible Solutions Values Unique]]&amp;"*")</f>
        <v>1</v>
      </c>
      <c r="G85" s="32">
        <f>Table3[[#This Row],[Count]]/SUM(Table3[Count])</f>
        <v>4.0816326530612249E-3</v>
      </c>
    </row>
    <row r="86" spans="1:7" x14ac:dyDescent="0.25">
      <c r="A86" t="s">
        <v>208</v>
      </c>
      <c r="B86">
        <f>COUNTIF(Concerns, "*"&amp;Table2[[#This Row],[Table 2: Concerns Values Unique]]&amp;"*")</f>
        <v>1</v>
      </c>
      <c r="C86" s="32">
        <f>Table2[[#This Row],[Count]]/SUM(Table2[Count])</f>
        <v>3.6900369003690036E-3</v>
      </c>
      <c r="E86" t="s">
        <v>559</v>
      </c>
      <c r="F86">
        <f>COUNTIF(Possible_Solutions, "*"&amp;Table3[[#This Row],[Table 3: Possible Solutions Values Unique]]&amp;"*")</f>
        <v>1</v>
      </c>
      <c r="G86" s="32">
        <f>Table3[[#This Row],[Count]]/SUM(Table3[Count])</f>
        <v>4.0816326530612249E-3</v>
      </c>
    </row>
    <row r="87" spans="1:7" x14ac:dyDescent="0.25">
      <c r="A87" t="s">
        <v>209</v>
      </c>
      <c r="B87">
        <f>COUNTIF(Concerns, "*"&amp;Table2[[#This Row],[Table 2: Concerns Values Unique]]&amp;"*")</f>
        <v>1</v>
      </c>
      <c r="C87" s="32">
        <f>Table2[[#This Row],[Count]]/SUM(Table2[Count])</f>
        <v>3.6900369003690036E-3</v>
      </c>
      <c r="E87" t="s">
        <v>518</v>
      </c>
      <c r="F87">
        <f>COUNTIF(Possible_Solutions, "*"&amp;Table3[[#This Row],[Table 3: Possible Solutions Values Unique]]&amp;"*")</f>
        <v>1</v>
      </c>
      <c r="G87" s="32">
        <f>Table3[[#This Row],[Count]]/SUM(Table3[Count])</f>
        <v>4.0816326530612249E-3</v>
      </c>
    </row>
    <row r="88" spans="1:7" x14ac:dyDescent="0.25">
      <c r="A88" t="s">
        <v>210</v>
      </c>
      <c r="B88">
        <f>COUNTIF(Concerns, "*"&amp;Table2[[#This Row],[Table 2: Concerns Values Unique]]&amp;"*")</f>
        <v>1</v>
      </c>
      <c r="C88" s="32">
        <f>Table2[[#This Row],[Count]]/SUM(Table2[Count])</f>
        <v>3.6900369003690036E-3</v>
      </c>
      <c r="E88" t="s">
        <v>497</v>
      </c>
      <c r="F88">
        <f>COUNTIF(Possible_Solutions, "*"&amp;Table3[[#This Row],[Table 3: Possible Solutions Values Unique]]&amp;"*")</f>
        <v>1</v>
      </c>
      <c r="G88" s="32">
        <f>Table3[[#This Row],[Count]]/SUM(Table3[Count])</f>
        <v>4.0816326530612249E-3</v>
      </c>
    </row>
    <row r="89" spans="1:7" x14ac:dyDescent="0.25">
      <c r="A89" t="s">
        <v>354</v>
      </c>
      <c r="B89">
        <f>COUNTIF(Concerns, "*"&amp;Table2[[#This Row],[Table 2: Concerns Values Unique]]&amp;"*")</f>
        <v>1</v>
      </c>
      <c r="C89" s="32">
        <f>Table2[[#This Row],[Count]]/SUM(Table2[Count])</f>
        <v>3.6900369003690036E-3</v>
      </c>
      <c r="E89" t="s">
        <v>406</v>
      </c>
      <c r="F89">
        <f>COUNTIF(Possible_Solutions, "*"&amp;Table3[[#This Row],[Table 3: Possible Solutions Values Unique]]&amp;"*")</f>
        <v>1</v>
      </c>
      <c r="G89" s="32">
        <f>Table3[[#This Row],[Count]]/SUM(Table3[Count])</f>
        <v>4.0816326530612249E-3</v>
      </c>
    </row>
    <row r="90" spans="1:7" x14ac:dyDescent="0.25">
      <c r="A90" t="s">
        <v>211</v>
      </c>
      <c r="B90">
        <f>COUNTIF(Concerns, "*"&amp;Table2[[#This Row],[Table 2: Concerns Values Unique]]&amp;"*")</f>
        <v>1</v>
      </c>
      <c r="C90" s="32">
        <f>Table2[[#This Row],[Count]]/SUM(Table2[Count])</f>
        <v>3.6900369003690036E-3</v>
      </c>
      <c r="E90" t="s">
        <v>441</v>
      </c>
      <c r="F90">
        <f>COUNTIF(Possible_Solutions, "*"&amp;Table3[[#This Row],[Table 3: Possible Solutions Values Unique]]&amp;"*")</f>
        <v>1</v>
      </c>
      <c r="G90" s="32">
        <f>Table3[[#This Row],[Count]]/SUM(Table3[Count])</f>
        <v>4.0816326530612249E-3</v>
      </c>
    </row>
    <row r="91" spans="1:7" x14ac:dyDescent="0.25">
      <c r="A91" t="s">
        <v>212</v>
      </c>
      <c r="B91">
        <f>COUNTIF(Concerns, "*"&amp;Table2[[#This Row],[Table 2: Concerns Values Unique]]&amp;"*")</f>
        <v>1</v>
      </c>
      <c r="C91" s="32">
        <f>Table2[[#This Row],[Count]]/SUM(Table2[Count])</f>
        <v>3.6900369003690036E-3</v>
      </c>
      <c r="E91" t="s">
        <v>435</v>
      </c>
      <c r="F91">
        <f>COUNTIF(Possible_Solutions, "*"&amp;Table3[[#This Row],[Table 3: Possible Solutions Values Unique]]&amp;"*")</f>
        <v>1</v>
      </c>
      <c r="G91" s="32">
        <f>Table3[[#This Row],[Count]]/SUM(Table3[Count])</f>
        <v>4.0816326530612249E-3</v>
      </c>
    </row>
    <row r="92" spans="1:7" x14ac:dyDescent="0.25">
      <c r="A92" t="s">
        <v>355</v>
      </c>
      <c r="B92">
        <f>COUNTIF(Concerns, "*"&amp;Table2[[#This Row],[Table 2: Concerns Values Unique]]&amp;"*")</f>
        <v>1</v>
      </c>
      <c r="C92" s="32">
        <f>Table2[[#This Row],[Count]]/SUM(Table2[Count])</f>
        <v>3.6900369003690036E-3</v>
      </c>
      <c r="E92" t="s">
        <v>569</v>
      </c>
      <c r="F92">
        <f>COUNTIF(Possible_Solutions, "*"&amp;Table3[[#This Row],[Table 3: Possible Solutions Values Unique]]&amp;"*")</f>
        <v>1</v>
      </c>
      <c r="G92" s="32">
        <f>Table3[[#This Row],[Count]]/SUM(Table3[Count])</f>
        <v>4.0816326530612249E-3</v>
      </c>
    </row>
    <row r="93" spans="1:7" x14ac:dyDescent="0.25">
      <c r="A93" t="s">
        <v>356</v>
      </c>
      <c r="B93">
        <f>COUNTIF(Concerns, "*"&amp;Table2[[#This Row],[Table 2: Concerns Values Unique]]&amp;"*")</f>
        <v>1</v>
      </c>
      <c r="C93" s="32">
        <f>Table2[[#This Row],[Count]]/SUM(Table2[Count])</f>
        <v>3.6900369003690036E-3</v>
      </c>
      <c r="E93" t="s">
        <v>443</v>
      </c>
      <c r="F93">
        <f>COUNTIF(Possible_Solutions, "*"&amp;Table3[[#This Row],[Table 3: Possible Solutions Values Unique]]&amp;"*")</f>
        <v>1</v>
      </c>
      <c r="G93" s="32">
        <f>Table3[[#This Row],[Count]]/SUM(Table3[Count])</f>
        <v>4.0816326530612249E-3</v>
      </c>
    </row>
    <row r="94" spans="1:7" x14ac:dyDescent="0.25">
      <c r="A94" t="s">
        <v>357</v>
      </c>
      <c r="B94">
        <f>COUNTIF(Concerns, "*"&amp;Table2[[#This Row],[Table 2: Concerns Values Unique]]&amp;"*")</f>
        <v>1</v>
      </c>
      <c r="C94" s="32">
        <f>Table2[[#This Row],[Count]]/SUM(Table2[Count])</f>
        <v>3.6900369003690036E-3</v>
      </c>
      <c r="E94" t="s">
        <v>545</v>
      </c>
      <c r="F94">
        <f>COUNTIF(Possible_Solutions, "*"&amp;Table3[[#This Row],[Table 3: Possible Solutions Values Unique]]&amp;"*")</f>
        <v>1</v>
      </c>
      <c r="G94" s="32">
        <f>Table3[[#This Row],[Count]]/SUM(Table3[Count])</f>
        <v>4.0816326530612249E-3</v>
      </c>
    </row>
    <row r="95" spans="1:7" x14ac:dyDescent="0.25">
      <c r="A95" t="s">
        <v>213</v>
      </c>
      <c r="B95">
        <f>COUNTIF(Concerns, "*"&amp;Table2[[#This Row],[Table 2: Concerns Values Unique]]&amp;"*")</f>
        <v>1</v>
      </c>
      <c r="C95" s="32">
        <f>Table2[[#This Row],[Count]]/SUM(Table2[Count])</f>
        <v>3.6900369003690036E-3</v>
      </c>
      <c r="E95" t="s">
        <v>412</v>
      </c>
      <c r="F95">
        <f>COUNTIF(Possible_Solutions, "*"&amp;Table3[[#This Row],[Table 3: Possible Solutions Values Unique]]&amp;"*")</f>
        <v>1</v>
      </c>
      <c r="G95" s="32">
        <f>Table3[[#This Row],[Count]]/SUM(Table3[Count])</f>
        <v>4.0816326530612249E-3</v>
      </c>
    </row>
    <row r="96" spans="1:7" x14ac:dyDescent="0.25">
      <c r="A96" t="s">
        <v>214</v>
      </c>
      <c r="B96">
        <f>COUNTIF(Concerns, "*"&amp;Table2[[#This Row],[Table 2: Concerns Values Unique]]&amp;"*")</f>
        <v>1</v>
      </c>
      <c r="C96" s="32">
        <f>Table2[[#This Row],[Count]]/SUM(Table2[Count])</f>
        <v>3.6900369003690036E-3</v>
      </c>
      <c r="E96" t="s">
        <v>501</v>
      </c>
      <c r="F96">
        <f>COUNTIF(Possible_Solutions, "*"&amp;Table3[[#This Row],[Table 3: Possible Solutions Values Unique]]&amp;"*")</f>
        <v>1</v>
      </c>
      <c r="G96" s="32">
        <f>Table3[[#This Row],[Count]]/SUM(Table3[Count])</f>
        <v>4.0816326530612249E-3</v>
      </c>
    </row>
    <row r="97" spans="1:7" x14ac:dyDescent="0.25">
      <c r="A97" t="s">
        <v>215</v>
      </c>
      <c r="B97">
        <f>COUNTIF(Concerns, "*"&amp;Table2[[#This Row],[Table 2: Concerns Values Unique]]&amp;"*")</f>
        <v>1</v>
      </c>
      <c r="C97" s="32">
        <f>Table2[[#This Row],[Count]]/SUM(Table2[Count])</f>
        <v>3.6900369003690036E-3</v>
      </c>
      <c r="E97" t="s">
        <v>370</v>
      </c>
      <c r="F97">
        <f>COUNTIF(Possible_Solutions, "*"&amp;Table3[[#This Row],[Table 3: Possible Solutions Values Unique]]&amp;"*")</f>
        <v>1</v>
      </c>
      <c r="G97" s="32">
        <f>Table3[[#This Row],[Count]]/SUM(Table3[Count])</f>
        <v>4.0816326530612249E-3</v>
      </c>
    </row>
    <row r="98" spans="1:7" x14ac:dyDescent="0.25">
      <c r="A98" t="s">
        <v>216</v>
      </c>
      <c r="B98">
        <f>COUNTIF(Concerns, "*"&amp;Table2[[#This Row],[Table 2: Concerns Values Unique]]&amp;"*")</f>
        <v>1</v>
      </c>
      <c r="C98" s="32">
        <f>Table2[[#This Row],[Count]]/SUM(Table2[Count])</f>
        <v>3.6900369003690036E-3</v>
      </c>
      <c r="E98" t="s">
        <v>521</v>
      </c>
      <c r="F98">
        <f>COUNTIF(Possible_Solutions, "*"&amp;Table3[[#This Row],[Table 3: Possible Solutions Values Unique]]&amp;"*")</f>
        <v>1</v>
      </c>
      <c r="G98" s="32">
        <f>Table3[[#This Row],[Count]]/SUM(Table3[Count])</f>
        <v>4.0816326530612249E-3</v>
      </c>
    </row>
    <row r="99" spans="1:7" x14ac:dyDescent="0.25">
      <c r="A99" t="s">
        <v>217</v>
      </c>
      <c r="B99">
        <f>COUNTIF(Concerns, "*"&amp;Table2[[#This Row],[Table 2: Concerns Values Unique]]&amp;"*")</f>
        <v>1</v>
      </c>
      <c r="C99" s="32">
        <f>Table2[[#This Row],[Count]]/SUM(Table2[Count])</f>
        <v>3.6900369003690036E-3</v>
      </c>
      <c r="E99" t="s">
        <v>432</v>
      </c>
      <c r="F99">
        <f>COUNTIF(Possible_Solutions, "*"&amp;Table3[[#This Row],[Table 3: Possible Solutions Values Unique]]&amp;"*")</f>
        <v>1</v>
      </c>
      <c r="G99" s="32">
        <f>Table3[[#This Row],[Count]]/SUM(Table3[Count])</f>
        <v>4.0816326530612249E-3</v>
      </c>
    </row>
    <row r="100" spans="1:7" x14ac:dyDescent="0.25">
      <c r="A100" t="s">
        <v>218</v>
      </c>
      <c r="B100">
        <f>COUNTIF(Concerns, "*"&amp;Table2[[#This Row],[Table 2: Concerns Values Unique]]&amp;"*")</f>
        <v>1</v>
      </c>
      <c r="C100" s="32">
        <f>Table2[[#This Row],[Count]]/SUM(Table2[Count])</f>
        <v>3.6900369003690036E-3</v>
      </c>
      <c r="E100" t="s">
        <v>562</v>
      </c>
      <c r="F100">
        <f>COUNTIF(Possible_Solutions, "*"&amp;Table3[[#This Row],[Table 3: Possible Solutions Values Unique]]&amp;"*")</f>
        <v>1</v>
      </c>
      <c r="G100" s="32">
        <f>Table3[[#This Row],[Count]]/SUM(Table3[Count])</f>
        <v>4.0816326530612249E-3</v>
      </c>
    </row>
    <row r="101" spans="1:7" x14ac:dyDescent="0.25">
      <c r="A101" t="s">
        <v>219</v>
      </c>
      <c r="B101">
        <f>COUNTIF(Concerns, "*"&amp;Table2[[#This Row],[Table 2: Concerns Values Unique]]&amp;"*")</f>
        <v>1</v>
      </c>
      <c r="C101" s="32">
        <f>Table2[[#This Row],[Count]]/SUM(Table2[Count])</f>
        <v>3.6900369003690036E-3</v>
      </c>
      <c r="E101" t="s">
        <v>563</v>
      </c>
      <c r="F101">
        <f>COUNTIF(Possible_Solutions, "*"&amp;Table3[[#This Row],[Table 3: Possible Solutions Values Unique]]&amp;"*")</f>
        <v>1</v>
      </c>
      <c r="G101" s="32">
        <f>Table3[[#This Row],[Count]]/SUM(Table3[Count])</f>
        <v>4.0816326530612249E-3</v>
      </c>
    </row>
    <row r="102" spans="1:7" x14ac:dyDescent="0.25">
      <c r="A102" t="s">
        <v>220</v>
      </c>
      <c r="B102">
        <f>COUNTIF(Concerns, "*"&amp;Table2[[#This Row],[Table 2: Concerns Values Unique]]&amp;"*")</f>
        <v>1</v>
      </c>
      <c r="C102" s="32">
        <f>Table2[[#This Row],[Count]]/SUM(Table2[Count])</f>
        <v>3.6900369003690036E-3</v>
      </c>
      <c r="E102" t="s">
        <v>511</v>
      </c>
      <c r="F102">
        <f>COUNTIF(Possible_Solutions, "*"&amp;Table3[[#This Row],[Table 3: Possible Solutions Values Unique]]&amp;"*")</f>
        <v>1</v>
      </c>
      <c r="G102" s="32">
        <f>Table3[[#This Row],[Count]]/SUM(Table3[Count])</f>
        <v>4.0816326530612249E-3</v>
      </c>
    </row>
    <row r="103" spans="1:7" x14ac:dyDescent="0.25">
      <c r="A103" t="s">
        <v>221</v>
      </c>
      <c r="B103">
        <f>COUNTIF(Concerns, "*"&amp;Table2[[#This Row],[Table 2: Concerns Values Unique]]&amp;"*")</f>
        <v>1</v>
      </c>
      <c r="C103" s="32">
        <f>Table2[[#This Row],[Count]]/SUM(Table2[Count])</f>
        <v>3.6900369003690036E-3</v>
      </c>
      <c r="E103" t="s">
        <v>508</v>
      </c>
      <c r="F103">
        <f>COUNTIF(Possible_Solutions, "*"&amp;Table3[[#This Row],[Table 3: Possible Solutions Values Unique]]&amp;"*")</f>
        <v>1</v>
      </c>
      <c r="G103" s="32">
        <f>Table3[[#This Row],[Count]]/SUM(Table3[Count])</f>
        <v>4.0816326530612249E-3</v>
      </c>
    </row>
    <row r="104" spans="1:7" x14ac:dyDescent="0.25">
      <c r="A104" t="s">
        <v>222</v>
      </c>
      <c r="B104">
        <f>COUNTIF(Concerns, "*"&amp;Table2[[#This Row],[Table 2: Concerns Values Unique]]&amp;"*")</f>
        <v>1</v>
      </c>
      <c r="C104" s="32">
        <f>Table2[[#This Row],[Count]]/SUM(Table2[Count])</f>
        <v>3.6900369003690036E-3</v>
      </c>
      <c r="E104" t="s">
        <v>505</v>
      </c>
      <c r="F104">
        <f>COUNTIF(Possible_Solutions, "*"&amp;Table3[[#This Row],[Table 3: Possible Solutions Values Unique]]&amp;"*")</f>
        <v>1</v>
      </c>
      <c r="G104" s="32">
        <f>Table3[[#This Row],[Count]]/SUM(Table3[Count])</f>
        <v>4.0816326530612249E-3</v>
      </c>
    </row>
    <row r="105" spans="1:7" x14ac:dyDescent="0.25">
      <c r="A105" t="s">
        <v>223</v>
      </c>
      <c r="B105">
        <f>COUNTIF(Concerns, "*"&amp;Table2[[#This Row],[Table 2: Concerns Values Unique]]&amp;"*")</f>
        <v>1</v>
      </c>
      <c r="C105" s="32">
        <f>Table2[[#This Row],[Count]]/SUM(Table2[Count])</f>
        <v>3.6900369003690036E-3</v>
      </c>
      <c r="E105" t="s">
        <v>547</v>
      </c>
      <c r="F105">
        <f>COUNTIF(Possible_Solutions, "*"&amp;Table3[[#This Row],[Table 3: Possible Solutions Values Unique]]&amp;"*")</f>
        <v>1</v>
      </c>
      <c r="G105" s="32">
        <f>Table3[[#This Row],[Count]]/SUM(Table3[Count])</f>
        <v>4.0816326530612249E-3</v>
      </c>
    </row>
    <row r="106" spans="1:7" x14ac:dyDescent="0.25">
      <c r="A106" t="s">
        <v>224</v>
      </c>
      <c r="B106">
        <f>COUNTIF(Concerns, "*"&amp;Table2[[#This Row],[Table 2: Concerns Values Unique]]&amp;"*")</f>
        <v>1</v>
      </c>
      <c r="C106" s="32">
        <f>Table2[[#This Row],[Count]]/SUM(Table2[Count])</f>
        <v>3.6900369003690036E-3</v>
      </c>
      <c r="E106" t="s">
        <v>454</v>
      </c>
      <c r="F106">
        <f>COUNTIF(Possible_Solutions, "*"&amp;Table3[[#This Row],[Table 3: Possible Solutions Values Unique]]&amp;"*")</f>
        <v>1</v>
      </c>
      <c r="G106" s="32">
        <f>Table3[[#This Row],[Count]]/SUM(Table3[Count])</f>
        <v>4.0816326530612249E-3</v>
      </c>
    </row>
    <row r="107" spans="1:7" x14ac:dyDescent="0.25">
      <c r="A107" t="s">
        <v>225</v>
      </c>
      <c r="B107">
        <f>COUNTIF(Concerns, "*"&amp;Table2[[#This Row],[Table 2: Concerns Values Unique]]&amp;"*")</f>
        <v>1</v>
      </c>
      <c r="C107" s="32">
        <f>Table2[[#This Row],[Count]]/SUM(Table2[Count])</f>
        <v>3.6900369003690036E-3</v>
      </c>
      <c r="E107" t="s">
        <v>525</v>
      </c>
      <c r="F107">
        <f>COUNTIF(Possible_Solutions, "*"&amp;Table3[[#This Row],[Table 3: Possible Solutions Values Unique]]&amp;"*")</f>
        <v>1</v>
      </c>
      <c r="G107" s="32">
        <f>Table3[[#This Row],[Count]]/SUM(Table3[Count])</f>
        <v>4.0816326530612249E-3</v>
      </c>
    </row>
    <row r="108" spans="1:7" x14ac:dyDescent="0.25">
      <c r="A108" t="s">
        <v>227</v>
      </c>
      <c r="B108">
        <f>COUNTIF(Concerns, "*"&amp;Table2[[#This Row],[Table 2: Concerns Values Unique]]&amp;"*")</f>
        <v>1</v>
      </c>
      <c r="C108" s="32">
        <f>Table2[[#This Row],[Count]]/SUM(Table2[Count])</f>
        <v>3.6900369003690036E-3</v>
      </c>
      <c r="E108" t="s">
        <v>395</v>
      </c>
      <c r="F108">
        <f>COUNTIF(Possible_Solutions, "*"&amp;Table3[[#This Row],[Table 3: Possible Solutions Values Unique]]&amp;"*")</f>
        <v>1</v>
      </c>
      <c r="G108" s="32">
        <f>Table3[[#This Row],[Count]]/SUM(Table3[Count])</f>
        <v>4.0816326530612249E-3</v>
      </c>
    </row>
    <row r="109" spans="1:7" x14ac:dyDescent="0.25">
      <c r="A109" t="s">
        <v>228</v>
      </c>
      <c r="B109">
        <f>COUNTIF(Concerns, "*"&amp;Table2[[#This Row],[Table 2: Concerns Values Unique]]&amp;"*")</f>
        <v>1</v>
      </c>
      <c r="C109" s="32">
        <f>Table2[[#This Row],[Count]]/SUM(Table2[Count])</f>
        <v>3.6900369003690036E-3</v>
      </c>
      <c r="E109" t="s">
        <v>556</v>
      </c>
      <c r="F109">
        <f>COUNTIF(Possible_Solutions, "*"&amp;Table3[[#This Row],[Table 3: Possible Solutions Values Unique]]&amp;"*")</f>
        <v>1</v>
      </c>
      <c r="G109" s="32">
        <f>Table3[[#This Row],[Count]]/SUM(Table3[Count])</f>
        <v>4.0816326530612249E-3</v>
      </c>
    </row>
    <row r="110" spans="1:7" x14ac:dyDescent="0.25">
      <c r="A110" t="s">
        <v>229</v>
      </c>
      <c r="B110">
        <f>COUNTIF(Concerns, "*"&amp;Table2[[#This Row],[Table 2: Concerns Values Unique]]&amp;"*")</f>
        <v>1</v>
      </c>
      <c r="C110" s="32">
        <f>Table2[[#This Row],[Count]]/SUM(Table2[Count])</f>
        <v>3.6900369003690036E-3</v>
      </c>
      <c r="E110" t="s">
        <v>491</v>
      </c>
      <c r="F110">
        <f>COUNTIF(Possible_Solutions, "*"&amp;Table3[[#This Row],[Table 3: Possible Solutions Values Unique]]&amp;"*")</f>
        <v>1</v>
      </c>
      <c r="G110" s="32">
        <f>Table3[[#This Row],[Count]]/SUM(Table3[Count])</f>
        <v>4.0816326530612249E-3</v>
      </c>
    </row>
    <row r="111" spans="1:7" x14ac:dyDescent="0.25">
      <c r="A111" t="s">
        <v>230</v>
      </c>
      <c r="B111">
        <f>COUNTIF(Concerns, "*"&amp;Table2[[#This Row],[Table 2: Concerns Values Unique]]&amp;"*")</f>
        <v>1</v>
      </c>
      <c r="C111" s="32">
        <f>Table2[[#This Row],[Count]]/SUM(Table2[Count])</f>
        <v>3.6900369003690036E-3</v>
      </c>
      <c r="E111" t="s">
        <v>510</v>
      </c>
      <c r="F111">
        <f>COUNTIF(Possible_Solutions, "*"&amp;Table3[[#This Row],[Table 3: Possible Solutions Values Unique]]&amp;"*")</f>
        <v>1</v>
      </c>
      <c r="G111" s="32">
        <f>Table3[[#This Row],[Count]]/SUM(Table3[Count])</f>
        <v>4.0816326530612249E-3</v>
      </c>
    </row>
    <row r="112" spans="1:7" x14ac:dyDescent="0.25">
      <c r="A112" t="s">
        <v>231</v>
      </c>
      <c r="B112">
        <f>COUNTIF(Concerns, "*"&amp;Table2[[#This Row],[Table 2: Concerns Values Unique]]&amp;"*")</f>
        <v>1</v>
      </c>
      <c r="C112" s="32">
        <f>Table2[[#This Row],[Count]]/SUM(Table2[Count])</f>
        <v>3.6900369003690036E-3</v>
      </c>
      <c r="E112" t="s">
        <v>398</v>
      </c>
      <c r="F112">
        <f>COUNTIF(Possible_Solutions, "*"&amp;Table3[[#This Row],[Table 3: Possible Solutions Values Unique]]&amp;"*")</f>
        <v>1</v>
      </c>
      <c r="G112" s="32">
        <f>Table3[[#This Row],[Count]]/SUM(Table3[Count])</f>
        <v>4.0816326530612249E-3</v>
      </c>
    </row>
    <row r="113" spans="1:7" x14ac:dyDescent="0.25">
      <c r="A113" t="s">
        <v>358</v>
      </c>
      <c r="B113">
        <f>COUNTIF(Concerns, "*"&amp;Table2[[#This Row],[Table 2: Concerns Values Unique]]&amp;"*")</f>
        <v>1</v>
      </c>
      <c r="C113" s="32">
        <f>Table2[[#This Row],[Count]]/SUM(Table2[Count])</f>
        <v>3.6900369003690036E-3</v>
      </c>
      <c r="E113" t="s">
        <v>446</v>
      </c>
      <c r="F113">
        <f>COUNTIF(Possible_Solutions, "*"&amp;Table3[[#This Row],[Table 3: Possible Solutions Values Unique]]&amp;"*")</f>
        <v>1</v>
      </c>
      <c r="G113" s="32">
        <f>Table3[[#This Row],[Count]]/SUM(Table3[Count])</f>
        <v>4.0816326530612249E-3</v>
      </c>
    </row>
    <row r="114" spans="1:7" x14ac:dyDescent="0.25">
      <c r="A114" t="s">
        <v>359</v>
      </c>
      <c r="B114">
        <f>COUNTIF(Concerns, "*"&amp;Table2[[#This Row],[Table 2: Concerns Values Unique]]&amp;"*")</f>
        <v>1</v>
      </c>
      <c r="C114" s="32">
        <f>Table2[[#This Row],[Count]]/SUM(Table2[Count])</f>
        <v>3.6900369003690036E-3</v>
      </c>
      <c r="E114" t="s">
        <v>414</v>
      </c>
      <c r="F114">
        <f>COUNTIF(Possible_Solutions, "*"&amp;Table3[[#This Row],[Table 3: Possible Solutions Values Unique]]&amp;"*")</f>
        <v>1</v>
      </c>
      <c r="G114" s="32">
        <f>Table3[[#This Row],[Count]]/SUM(Table3[Count])</f>
        <v>4.0816326530612249E-3</v>
      </c>
    </row>
    <row r="115" spans="1:7" x14ac:dyDescent="0.25">
      <c r="A115" t="s">
        <v>360</v>
      </c>
      <c r="B115">
        <f>COUNTIF(Concerns, "*"&amp;Table2[[#This Row],[Table 2: Concerns Values Unique]]&amp;"*")</f>
        <v>1</v>
      </c>
      <c r="C115" s="32">
        <f>Table2[[#This Row],[Count]]/SUM(Table2[Count])</f>
        <v>3.6900369003690036E-3</v>
      </c>
      <c r="E115" t="s">
        <v>488</v>
      </c>
      <c r="F115">
        <f>COUNTIF(Possible_Solutions, "*"&amp;Table3[[#This Row],[Table 3: Possible Solutions Values Unique]]&amp;"*")</f>
        <v>1</v>
      </c>
      <c r="G115" s="32">
        <f>Table3[[#This Row],[Count]]/SUM(Table3[Count])</f>
        <v>4.0816326530612249E-3</v>
      </c>
    </row>
    <row r="116" spans="1:7" x14ac:dyDescent="0.25">
      <c r="A116" t="s">
        <v>361</v>
      </c>
      <c r="B116">
        <f>COUNTIF(Concerns, "*"&amp;Table2[[#This Row],[Table 2: Concerns Values Unique]]&amp;"*")</f>
        <v>1</v>
      </c>
      <c r="C116" s="32">
        <f>Table2[[#This Row],[Count]]/SUM(Table2[Count])</f>
        <v>3.6900369003690036E-3</v>
      </c>
      <c r="E116" t="s">
        <v>401</v>
      </c>
      <c r="F116">
        <f>COUNTIF(Possible_Solutions, "*"&amp;Table3[[#This Row],[Table 3: Possible Solutions Values Unique]]&amp;"*")</f>
        <v>1</v>
      </c>
      <c r="G116" s="32">
        <f>Table3[[#This Row],[Count]]/SUM(Table3[Count])</f>
        <v>4.0816326530612249E-3</v>
      </c>
    </row>
    <row r="117" spans="1:7" x14ac:dyDescent="0.25">
      <c r="A117" t="s">
        <v>362</v>
      </c>
      <c r="B117">
        <f>COUNTIF(Concerns, "*"&amp;Table2[[#This Row],[Table 2: Concerns Values Unique]]&amp;"*")</f>
        <v>1</v>
      </c>
      <c r="C117" s="32">
        <f>Table2[[#This Row],[Count]]/SUM(Table2[Count])</f>
        <v>3.6900369003690036E-3</v>
      </c>
      <c r="E117" t="s">
        <v>514</v>
      </c>
      <c r="F117">
        <f>COUNTIF(Possible_Solutions, "*"&amp;Table3[[#This Row],[Table 3: Possible Solutions Values Unique]]&amp;"*")</f>
        <v>1</v>
      </c>
      <c r="G117" s="32">
        <f>Table3[[#This Row],[Count]]/SUM(Table3[Count])</f>
        <v>4.0816326530612249E-3</v>
      </c>
    </row>
    <row r="118" spans="1:7" x14ac:dyDescent="0.25">
      <c r="A118" t="s">
        <v>363</v>
      </c>
      <c r="B118">
        <f>COUNTIF(Concerns, "*"&amp;Table2[[#This Row],[Table 2: Concerns Values Unique]]&amp;"*")</f>
        <v>1</v>
      </c>
      <c r="C118" s="32">
        <f>Table2[[#This Row],[Count]]/SUM(Table2[Count])</f>
        <v>3.6900369003690036E-3</v>
      </c>
      <c r="E118" t="s">
        <v>375</v>
      </c>
      <c r="F118">
        <f>COUNTIF(Possible_Solutions, "*"&amp;Table3[[#This Row],[Table 3: Possible Solutions Values Unique]]&amp;"*")</f>
        <v>1</v>
      </c>
      <c r="G118" s="32">
        <f>Table3[[#This Row],[Count]]/SUM(Table3[Count])</f>
        <v>4.0816326530612249E-3</v>
      </c>
    </row>
    <row r="119" spans="1:7" x14ac:dyDescent="0.25">
      <c r="A119" t="s">
        <v>364</v>
      </c>
      <c r="B119">
        <f>COUNTIF(Concerns, "*"&amp;Table2[[#This Row],[Table 2: Concerns Values Unique]]&amp;"*")</f>
        <v>1</v>
      </c>
      <c r="C119" s="32">
        <f>Table2[[#This Row],[Count]]/SUM(Table2[Count])</f>
        <v>3.6900369003690036E-3</v>
      </c>
      <c r="E119" t="s">
        <v>470</v>
      </c>
      <c r="F119">
        <f>COUNTIF(Possible_Solutions, "*"&amp;Table3[[#This Row],[Table 3: Possible Solutions Values Unique]]&amp;"*")</f>
        <v>1</v>
      </c>
      <c r="G119" s="32">
        <f>Table3[[#This Row],[Count]]/SUM(Table3[Count])</f>
        <v>4.0816326530612249E-3</v>
      </c>
    </row>
    <row r="120" spans="1:7" x14ac:dyDescent="0.25">
      <c r="A120" t="s">
        <v>232</v>
      </c>
      <c r="B120">
        <f>COUNTIF(Concerns, "*"&amp;Table2[[#This Row],[Table 2: Concerns Values Unique]]&amp;"*")</f>
        <v>1</v>
      </c>
      <c r="C120" s="32">
        <f>Table2[[#This Row],[Count]]/SUM(Table2[Count])</f>
        <v>3.6900369003690036E-3</v>
      </c>
      <c r="E120" t="s">
        <v>528</v>
      </c>
      <c r="F120">
        <f>COUNTIF(Possible_Solutions, "*"&amp;Table3[[#This Row],[Table 3: Possible Solutions Values Unique]]&amp;"*")</f>
        <v>1</v>
      </c>
      <c r="G120" s="32">
        <f>Table3[[#This Row],[Count]]/SUM(Table3[Count])</f>
        <v>4.0816326530612249E-3</v>
      </c>
    </row>
    <row r="121" spans="1:7" x14ac:dyDescent="0.25">
      <c r="A121" t="s">
        <v>233</v>
      </c>
      <c r="B121">
        <f>COUNTIF(Concerns, "*"&amp;Table2[[#This Row],[Table 2: Concerns Values Unique]]&amp;"*")</f>
        <v>1</v>
      </c>
      <c r="C121" s="32">
        <f>Table2[[#This Row],[Count]]/SUM(Table2[Count])</f>
        <v>3.6900369003690036E-3</v>
      </c>
      <c r="E121" t="s">
        <v>445</v>
      </c>
      <c r="F121">
        <f>COUNTIF(Possible_Solutions, "*"&amp;Table3[[#This Row],[Table 3: Possible Solutions Values Unique]]&amp;"*")</f>
        <v>1</v>
      </c>
      <c r="G121" s="32">
        <f>Table3[[#This Row],[Count]]/SUM(Table3[Count])</f>
        <v>4.0816326530612249E-3</v>
      </c>
    </row>
    <row r="122" spans="1:7" x14ac:dyDescent="0.25">
      <c r="A122" t="s">
        <v>234</v>
      </c>
      <c r="B122">
        <f>COUNTIF(Concerns, "*"&amp;Table2[[#This Row],[Table 2: Concerns Values Unique]]&amp;"*")</f>
        <v>1</v>
      </c>
      <c r="C122" s="32">
        <f>Table2[[#This Row],[Count]]/SUM(Table2[Count])</f>
        <v>3.6900369003690036E-3</v>
      </c>
      <c r="E122" t="s">
        <v>423</v>
      </c>
      <c r="F122">
        <f>COUNTIF(Possible_Solutions, "*"&amp;Table3[[#This Row],[Table 3: Possible Solutions Values Unique]]&amp;"*")</f>
        <v>1</v>
      </c>
      <c r="G122" s="32">
        <f>Table3[[#This Row],[Count]]/SUM(Table3[Count])</f>
        <v>4.0816326530612249E-3</v>
      </c>
    </row>
    <row r="123" spans="1:7" x14ac:dyDescent="0.25">
      <c r="A123" t="s">
        <v>235</v>
      </c>
      <c r="B123">
        <f>COUNTIF(Concerns, "*"&amp;Table2[[#This Row],[Table 2: Concerns Values Unique]]&amp;"*")</f>
        <v>1</v>
      </c>
      <c r="C123" s="32">
        <f>Table2[[#This Row],[Count]]/SUM(Table2[Count])</f>
        <v>3.6900369003690036E-3</v>
      </c>
      <c r="E123" t="s">
        <v>409</v>
      </c>
      <c r="F123">
        <f>COUNTIF(Possible_Solutions, "*"&amp;Table3[[#This Row],[Table 3: Possible Solutions Values Unique]]&amp;"*")</f>
        <v>1</v>
      </c>
      <c r="G123" s="32">
        <f>Table3[[#This Row],[Count]]/SUM(Table3[Count])</f>
        <v>4.0816326530612249E-3</v>
      </c>
    </row>
    <row r="124" spans="1:7" x14ac:dyDescent="0.25">
      <c r="A124" t="s">
        <v>236</v>
      </c>
      <c r="B124">
        <f>COUNTIF(Concerns, "*"&amp;Table2[[#This Row],[Table 2: Concerns Values Unique]]&amp;"*")</f>
        <v>1</v>
      </c>
      <c r="C124" s="32">
        <f>Table2[[#This Row],[Count]]/SUM(Table2[Count])</f>
        <v>3.6900369003690036E-3</v>
      </c>
      <c r="E124" t="s">
        <v>437</v>
      </c>
      <c r="F124">
        <f>COUNTIF(Possible_Solutions, "*"&amp;Table3[[#This Row],[Table 3: Possible Solutions Values Unique]]&amp;"*")</f>
        <v>1</v>
      </c>
      <c r="G124" s="32">
        <f>Table3[[#This Row],[Count]]/SUM(Table3[Count])</f>
        <v>4.0816326530612249E-3</v>
      </c>
    </row>
    <row r="125" spans="1:7" x14ac:dyDescent="0.25">
      <c r="A125" t="s">
        <v>237</v>
      </c>
      <c r="B125">
        <f>COUNTIF(Concerns, "*"&amp;Table2[[#This Row],[Table 2: Concerns Values Unique]]&amp;"*")</f>
        <v>1</v>
      </c>
      <c r="C125" s="32">
        <f>Table2[[#This Row],[Count]]/SUM(Table2[Count])</f>
        <v>3.6900369003690036E-3</v>
      </c>
      <c r="E125" t="s">
        <v>503</v>
      </c>
      <c r="F125">
        <f>COUNTIF(Possible_Solutions, "*"&amp;Table3[[#This Row],[Table 3: Possible Solutions Values Unique]]&amp;"*")</f>
        <v>1</v>
      </c>
      <c r="G125" s="32">
        <f>Table3[[#This Row],[Count]]/SUM(Table3[Count])</f>
        <v>4.0816326530612249E-3</v>
      </c>
    </row>
    <row r="126" spans="1:7" x14ac:dyDescent="0.25">
      <c r="A126" t="s">
        <v>238</v>
      </c>
      <c r="B126">
        <f>COUNTIF(Concerns, "*"&amp;Table2[[#This Row],[Table 2: Concerns Values Unique]]&amp;"*")</f>
        <v>1</v>
      </c>
      <c r="C126" s="32">
        <f>Table2[[#This Row],[Count]]/SUM(Table2[Count])</f>
        <v>3.6900369003690036E-3</v>
      </c>
      <c r="E126" t="s">
        <v>504</v>
      </c>
      <c r="F126">
        <f>COUNTIF(Possible_Solutions, "*"&amp;Table3[[#This Row],[Table 3: Possible Solutions Values Unique]]&amp;"*")</f>
        <v>1</v>
      </c>
      <c r="G126" s="32">
        <f>Table3[[#This Row],[Count]]/SUM(Table3[Count])</f>
        <v>4.0816326530612249E-3</v>
      </c>
    </row>
    <row r="127" spans="1:7" x14ac:dyDescent="0.25">
      <c r="A127" t="s">
        <v>239</v>
      </c>
      <c r="B127">
        <f>COUNTIF(Concerns, "*"&amp;Table2[[#This Row],[Table 2: Concerns Values Unique]]&amp;"*")</f>
        <v>1</v>
      </c>
      <c r="C127" s="32">
        <f>Table2[[#This Row],[Count]]/SUM(Table2[Count])</f>
        <v>3.6900369003690036E-3</v>
      </c>
      <c r="E127" t="s">
        <v>466</v>
      </c>
      <c r="F127">
        <f>COUNTIF(Possible_Solutions, "*"&amp;Table3[[#This Row],[Table 3: Possible Solutions Values Unique]]&amp;"*")</f>
        <v>1</v>
      </c>
      <c r="G127" s="32">
        <f>Table3[[#This Row],[Count]]/SUM(Table3[Count])</f>
        <v>4.0816326530612249E-3</v>
      </c>
    </row>
    <row r="128" spans="1:7" x14ac:dyDescent="0.25">
      <c r="A128" t="s">
        <v>240</v>
      </c>
      <c r="B128">
        <f>COUNTIF(Concerns, "*"&amp;Table2[[#This Row],[Table 2: Concerns Values Unique]]&amp;"*")</f>
        <v>1</v>
      </c>
      <c r="C128" s="32">
        <f>Table2[[#This Row],[Count]]/SUM(Table2[Count])</f>
        <v>3.6900369003690036E-3</v>
      </c>
      <c r="E128" t="s">
        <v>507</v>
      </c>
      <c r="F128">
        <f>COUNTIF(Possible_Solutions, "*"&amp;Table3[[#This Row],[Table 3: Possible Solutions Values Unique]]&amp;"*")</f>
        <v>1</v>
      </c>
      <c r="G128" s="32">
        <f>Table3[[#This Row],[Count]]/SUM(Table3[Count])</f>
        <v>4.0816326530612249E-3</v>
      </c>
    </row>
    <row r="129" spans="1:7" x14ac:dyDescent="0.25">
      <c r="A129" t="s">
        <v>241</v>
      </c>
      <c r="B129">
        <f>COUNTIF(Concerns, "*"&amp;Table2[[#This Row],[Table 2: Concerns Values Unique]]&amp;"*")</f>
        <v>1</v>
      </c>
      <c r="C129" s="32">
        <f>Table2[[#This Row],[Count]]/SUM(Table2[Count])</f>
        <v>3.6900369003690036E-3</v>
      </c>
      <c r="E129" t="s">
        <v>442</v>
      </c>
      <c r="F129">
        <f>COUNTIF(Possible_Solutions, "*"&amp;Table3[[#This Row],[Table 3: Possible Solutions Values Unique]]&amp;"*")</f>
        <v>1</v>
      </c>
      <c r="G129" s="32">
        <f>Table3[[#This Row],[Count]]/SUM(Table3[Count])</f>
        <v>4.0816326530612249E-3</v>
      </c>
    </row>
    <row r="130" spans="1:7" x14ac:dyDescent="0.25">
      <c r="A130" t="s">
        <v>242</v>
      </c>
      <c r="B130">
        <f>COUNTIF(Concerns, "*"&amp;Table2[[#This Row],[Table 2: Concerns Values Unique]]&amp;"*")</f>
        <v>1</v>
      </c>
      <c r="C130" s="32">
        <f>Table2[[#This Row],[Count]]/SUM(Table2[Count])</f>
        <v>3.6900369003690036E-3</v>
      </c>
      <c r="E130" t="s">
        <v>391</v>
      </c>
      <c r="F130">
        <f>COUNTIF(Possible_Solutions, "*"&amp;Table3[[#This Row],[Table 3: Possible Solutions Values Unique]]&amp;"*")</f>
        <v>1</v>
      </c>
      <c r="G130" s="32">
        <f>Table3[[#This Row],[Count]]/SUM(Table3[Count])</f>
        <v>4.0816326530612249E-3</v>
      </c>
    </row>
    <row r="131" spans="1:7" x14ac:dyDescent="0.25">
      <c r="A131" t="s">
        <v>243</v>
      </c>
      <c r="B131">
        <f>COUNTIF(Concerns, "*"&amp;Table2[[#This Row],[Table 2: Concerns Values Unique]]&amp;"*")</f>
        <v>1</v>
      </c>
      <c r="C131" s="32">
        <f>Table2[[#This Row],[Count]]/SUM(Table2[Count])</f>
        <v>3.6900369003690036E-3</v>
      </c>
      <c r="E131" t="s">
        <v>483</v>
      </c>
      <c r="F131">
        <f>COUNTIF(Possible_Solutions, "*"&amp;Table3[[#This Row],[Table 3: Possible Solutions Values Unique]]&amp;"*")</f>
        <v>1</v>
      </c>
      <c r="G131" s="32">
        <f>Table3[[#This Row],[Count]]/SUM(Table3[Count])</f>
        <v>4.0816326530612249E-3</v>
      </c>
    </row>
    <row r="132" spans="1:7" x14ac:dyDescent="0.25">
      <c r="A132" t="s">
        <v>244</v>
      </c>
      <c r="B132">
        <f>COUNTIF(Concerns, "*"&amp;Table2[[#This Row],[Table 2: Concerns Values Unique]]&amp;"*")</f>
        <v>1</v>
      </c>
      <c r="C132" s="32">
        <f>Table2[[#This Row],[Count]]/SUM(Table2[Count])</f>
        <v>3.6900369003690036E-3</v>
      </c>
      <c r="E132" t="s">
        <v>372</v>
      </c>
      <c r="F132">
        <f>COUNTIF(Possible_Solutions, "*"&amp;Table3[[#This Row],[Table 3: Possible Solutions Values Unique]]&amp;"*")</f>
        <v>1</v>
      </c>
      <c r="G132" s="32">
        <f>Table3[[#This Row],[Count]]/SUM(Table3[Count])</f>
        <v>4.0816326530612249E-3</v>
      </c>
    </row>
    <row r="133" spans="1:7" x14ac:dyDescent="0.25">
      <c r="A133" t="s">
        <v>245</v>
      </c>
      <c r="B133">
        <f>COUNTIF(Concerns, "*"&amp;Table2[[#This Row],[Table 2: Concerns Values Unique]]&amp;"*")</f>
        <v>1</v>
      </c>
      <c r="C133" s="32">
        <f>Table2[[#This Row],[Count]]/SUM(Table2[Count])</f>
        <v>3.6900369003690036E-3</v>
      </c>
      <c r="E133" t="s">
        <v>539</v>
      </c>
      <c r="F133">
        <f>COUNTIF(Possible_Solutions, "*"&amp;Table3[[#This Row],[Table 3: Possible Solutions Values Unique]]&amp;"*")</f>
        <v>1</v>
      </c>
      <c r="G133" s="32">
        <f>Table3[[#This Row],[Count]]/SUM(Table3[Count])</f>
        <v>4.0816326530612249E-3</v>
      </c>
    </row>
    <row r="134" spans="1:7" x14ac:dyDescent="0.25">
      <c r="A134" t="s">
        <v>246</v>
      </c>
      <c r="B134">
        <f>COUNTIF(Concerns, "*"&amp;Table2[[#This Row],[Table 2: Concerns Values Unique]]&amp;"*")</f>
        <v>1</v>
      </c>
      <c r="C134" s="32">
        <f>Table2[[#This Row],[Count]]/SUM(Table2[Count])</f>
        <v>3.6900369003690036E-3</v>
      </c>
      <c r="E134" t="s">
        <v>449</v>
      </c>
      <c r="F134">
        <f>COUNTIF(Possible_Solutions, "*"&amp;Table3[[#This Row],[Table 3: Possible Solutions Values Unique]]&amp;"*")</f>
        <v>1</v>
      </c>
      <c r="G134" s="32">
        <f>Table3[[#This Row],[Count]]/SUM(Table3[Count])</f>
        <v>4.0816326530612249E-3</v>
      </c>
    </row>
    <row r="135" spans="1:7" x14ac:dyDescent="0.25">
      <c r="A135" t="s">
        <v>247</v>
      </c>
      <c r="B135">
        <f>COUNTIF(Concerns, "*"&amp;Table2[[#This Row],[Table 2: Concerns Values Unique]]&amp;"*")</f>
        <v>1</v>
      </c>
      <c r="C135" s="32">
        <f>Table2[[#This Row],[Count]]/SUM(Table2[Count])</f>
        <v>3.6900369003690036E-3</v>
      </c>
      <c r="E135" t="s">
        <v>321</v>
      </c>
      <c r="F135">
        <f>COUNTIF(Possible_Solutions, "*"&amp;Table3[[#This Row],[Table 3: Possible Solutions Values Unique]]&amp;"*")</f>
        <v>1</v>
      </c>
      <c r="G135" s="32">
        <f>Table3[[#This Row],[Count]]/SUM(Table3[Count])</f>
        <v>4.0816326530612249E-3</v>
      </c>
    </row>
    <row r="136" spans="1:7" x14ac:dyDescent="0.25">
      <c r="A136" t="s">
        <v>248</v>
      </c>
      <c r="B136">
        <f>COUNTIF(Concerns, "*"&amp;Table2[[#This Row],[Table 2: Concerns Values Unique]]&amp;"*")</f>
        <v>1</v>
      </c>
      <c r="C136" s="32">
        <f>Table2[[#This Row],[Count]]/SUM(Table2[Count])</f>
        <v>3.6900369003690036E-3</v>
      </c>
      <c r="E136" t="s">
        <v>394</v>
      </c>
      <c r="F136">
        <f>COUNTIF(Possible_Solutions, "*"&amp;Table3[[#This Row],[Table 3: Possible Solutions Values Unique]]&amp;"*")</f>
        <v>1</v>
      </c>
      <c r="G136" s="32">
        <f>Table3[[#This Row],[Count]]/SUM(Table3[Count])</f>
        <v>4.0816326530612249E-3</v>
      </c>
    </row>
    <row r="137" spans="1:7" x14ac:dyDescent="0.25">
      <c r="A137" t="s">
        <v>249</v>
      </c>
      <c r="B137">
        <f>COUNTIF(Concerns, "*"&amp;Table2[[#This Row],[Table 2: Concerns Values Unique]]&amp;"*")</f>
        <v>1</v>
      </c>
      <c r="C137" s="32">
        <f>Table2[[#This Row],[Count]]/SUM(Table2[Count])</f>
        <v>3.6900369003690036E-3</v>
      </c>
      <c r="E137" t="s">
        <v>477</v>
      </c>
      <c r="F137">
        <f>COUNTIF(Possible_Solutions, "*"&amp;Table3[[#This Row],[Table 3: Possible Solutions Values Unique]]&amp;"*")</f>
        <v>1</v>
      </c>
      <c r="G137" s="32">
        <f>Table3[[#This Row],[Count]]/SUM(Table3[Count])</f>
        <v>4.0816326530612249E-3</v>
      </c>
    </row>
    <row r="138" spans="1:7" x14ac:dyDescent="0.25">
      <c r="A138" t="s">
        <v>250</v>
      </c>
      <c r="B138">
        <f>COUNTIF(Concerns, "*"&amp;Table2[[#This Row],[Table 2: Concerns Values Unique]]&amp;"*")</f>
        <v>1</v>
      </c>
      <c r="C138" s="32">
        <f>Table2[[#This Row],[Count]]/SUM(Table2[Count])</f>
        <v>3.6900369003690036E-3</v>
      </c>
      <c r="E138" t="s">
        <v>494</v>
      </c>
      <c r="F138">
        <f>COUNTIF(Possible_Solutions, "*"&amp;Table3[[#This Row],[Table 3: Possible Solutions Values Unique]]&amp;"*")</f>
        <v>1</v>
      </c>
      <c r="G138" s="32">
        <f>Table3[[#This Row],[Count]]/SUM(Table3[Count])</f>
        <v>4.0816326530612249E-3</v>
      </c>
    </row>
    <row r="139" spans="1:7" x14ac:dyDescent="0.25">
      <c r="A139" t="s">
        <v>251</v>
      </c>
      <c r="B139">
        <f>COUNTIF(Concerns, "*"&amp;Table2[[#This Row],[Table 2: Concerns Values Unique]]&amp;"*")</f>
        <v>1</v>
      </c>
      <c r="C139" s="32">
        <f>Table2[[#This Row],[Count]]/SUM(Table2[Count])</f>
        <v>3.6900369003690036E-3</v>
      </c>
      <c r="E139" t="s">
        <v>377</v>
      </c>
      <c r="F139">
        <f>COUNTIF(Possible_Solutions, "*"&amp;Table3[[#This Row],[Table 3: Possible Solutions Values Unique]]&amp;"*")</f>
        <v>1</v>
      </c>
      <c r="G139" s="32">
        <f>Table3[[#This Row],[Count]]/SUM(Table3[Count])</f>
        <v>4.0816326530612249E-3</v>
      </c>
    </row>
    <row r="140" spans="1:7" x14ac:dyDescent="0.25">
      <c r="A140" s="1" t="s">
        <v>252</v>
      </c>
      <c r="B140">
        <f>COUNTIF(Concerns, "*"&amp;Table2[[#This Row],[Table 2: Concerns Values Unique]]&amp;"*")</f>
        <v>1</v>
      </c>
      <c r="C140" s="32">
        <f>Table2[[#This Row],[Count]]/SUM(Table2[Count])</f>
        <v>3.6900369003690036E-3</v>
      </c>
      <c r="E140" t="s">
        <v>461</v>
      </c>
      <c r="F140">
        <f>COUNTIF(Possible_Solutions, "*"&amp;Table3[[#This Row],[Table 3: Possible Solutions Values Unique]]&amp;"*")</f>
        <v>1</v>
      </c>
      <c r="G140" s="32">
        <f>Table3[[#This Row],[Count]]/SUM(Table3[Count])</f>
        <v>4.0816326530612249E-3</v>
      </c>
    </row>
    <row r="141" spans="1:7" x14ac:dyDescent="0.25">
      <c r="A141" s="1" t="s">
        <v>253</v>
      </c>
      <c r="B141">
        <f>COUNTIF(Concerns, "*"&amp;Table2[[#This Row],[Table 2: Concerns Values Unique]]&amp;"*")</f>
        <v>1</v>
      </c>
      <c r="C141" s="32">
        <f>Table2[[#This Row],[Count]]/SUM(Table2[Count])</f>
        <v>3.6900369003690036E-3</v>
      </c>
      <c r="E141" t="s">
        <v>450</v>
      </c>
      <c r="F141">
        <f>COUNTIF(Possible_Solutions, "*"&amp;Table3[[#This Row],[Table 3: Possible Solutions Values Unique]]&amp;"*")</f>
        <v>1</v>
      </c>
      <c r="G141" s="32">
        <f>Table3[[#This Row],[Count]]/SUM(Table3[Count])</f>
        <v>4.0816326530612249E-3</v>
      </c>
    </row>
    <row r="142" spans="1:7" x14ac:dyDescent="0.25">
      <c r="A142" s="1" t="s">
        <v>254</v>
      </c>
      <c r="B142">
        <f>COUNTIF(Concerns, "*"&amp;Table2[[#This Row],[Table 2: Concerns Values Unique]]&amp;"*")</f>
        <v>1</v>
      </c>
      <c r="C142" s="32">
        <f>Table2[[#This Row],[Count]]/SUM(Table2[Count])</f>
        <v>3.6900369003690036E-3</v>
      </c>
      <c r="E142" t="s">
        <v>489</v>
      </c>
      <c r="F142">
        <f>COUNTIF(Possible_Solutions, "*"&amp;Table3[[#This Row],[Table 3: Possible Solutions Values Unique]]&amp;"*")</f>
        <v>1</v>
      </c>
      <c r="G142" s="32">
        <f>Table3[[#This Row],[Count]]/SUM(Table3[Count])</f>
        <v>4.0816326530612249E-3</v>
      </c>
    </row>
    <row r="143" spans="1:7" x14ac:dyDescent="0.25">
      <c r="A143" s="1" t="s">
        <v>255</v>
      </c>
      <c r="B143">
        <f>COUNTIF(Concerns, "*"&amp;Table2[[#This Row],[Table 2: Concerns Values Unique]]&amp;"*")</f>
        <v>1</v>
      </c>
      <c r="C143" s="32">
        <f>Table2[[#This Row],[Count]]/SUM(Table2[Count])</f>
        <v>3.6900369003690036E-3</v>
      </c>
      <c r="E143" t="s">
        <v>417</v>
      </c>
      <c r="F143">
        <f>COUNTIF(Possible_Solutions, "*"&amp;Table3[[#This Row],[Table 3: Possible Solutions Values Unique]]&amp;"*")</f>
        <v>1</v>
      </c>
      <c r="G143" s="32">
        <f>Table3[[#This Row],[Count]]/SUM(Table3[Count])</f>
        <v>4.0816326530612249E-3</v>
      </c>
    </row>
    <row r="144" spans="1:7" x14ac:dyDescent="0.25">
      <c r="A144" s="1" t="s">
        <v>256</v>
      </c>
      <c r="B144">
        <f>COUNTIF(Concerns, "*"&amp;Table2[[#This Row],[Table 2: Concerns Values Unique]]&amp;"*")</f>
        <v>1</v>
      </c>
      <c r="C144" s="32">
        <f>Table2[[#This Row],[Count]]/SUM(Table2[Count])</f>
        <v>3.6900369003690036E-3</v>
      </c>
      <c r="E144" t="s">
        <v>561</v>
      </c>
      <c r="F144">
        <f>COUNTIF(Possible_Solutions, "*"&amp;Table3[[#This Row],[Table 3: Possible Solutions Values Unique]]&amp;"*")</f>
        <v>1</v>
      </c>
      <c r="G144" s="32">
        <f>Table3[[#This Row],[Count]]/SUM(Table3[Count])</f>
        <v>4.0816326530612249E-3</v>
      </c>
    </row>
    <row r="145" spans="1:7" x14ac:dyDescent="0.25">
      <c r="A145" s="1" t="s">
        <v>257</v>
      </c>
      <c r="B145">
        <f>COUNTIF(Concerns, "*"&amp;Table2[[#This Row],[Table 2: Concerns Values Unique]]&amp;"*")</f>
        <v>1</v>
      </c>
      <c r="C145" s="32">
        <f>Table2[[#This Row],[Count]]/SUM(Table2[Count])</f>
        <v>3.6900369003690036E-3</v>
      </c>
      <c r="E145" t="s">
        <v>427</v>
      </c>
      <c r="F145">
        <f>COUNTIF(Possible_Solutions, "*"&amp;Table3[[#This Row],[Table 3: Possible Solutions Values Unique]]&amp;"*")</f>
        <v>1</v>
      </c>
      <c r="G145" s="32">
        <f>Table3[[#This Row],[Count]]/SUM(Table3[Count])</f>
        <v>4.0816326530612249E-3</v>
      </c>
    </row>
    <row r="146" spans="1:7" x14ac:dyDescent="0.25">
      <c r="A146" s="1" t="s">
        <v>258</v>
      </c>
      <c r="B146">
        <f>COUNTIF(Concerns, "*"&amp;Table2[[#This Row],[Table 2: Concerns Values Unique]]&amp;"*")</f>
        <v>1</v>
      </c>
      <c r="C146" s="32">
        <f>Table2[[#This Row],[Count]]/SUM(Table2[Count])</f>
        <v>3.6900369003690036E-3</v>
      </c>
      <c r="E146" t="s">
        <v>408</v>
      </c>
      <c r="F146">
        <f>COUNTIF(Possible_Solutions, "*"&amp;Table3[[#This Row],[Table 3: Possible Solutions Values Unique]]&amp;"*")</f>
        <v>1</v>
      </c>
      <c r="G146" s="32">
        <f>Table3[[#This Row],[Count]]/SUM(Table3[Count])</f>
        <v>4.0816326530612249E-3</v>
      </c>
    </row>
    <row r="147" spans="1:7" x14ac:dyDescent="0.25">
      <c r="A147" s="1" t="s">
        <v>259</v>
      </c>
      <c r="B147">
        <f>COUNTIF(Concerns, "*"&amp;Table2[[#This Row],[Table 2: Concerns Values Unique]]&amp;"*")</f>
        <v>1</v>
      </c>
      <c r="C147" s="32">
        <f>Table2[[#This Row],[Count]]/SUM(Table2[Count])</f>
        <v>3.6900369003690036E-3</v>
      </c>
      <c r="E147" t="s">
        <v>495</v>
      </c>
      <c r="F147">
        <f>COUNTIF(Possible_Solutions, "*"&amp;Table3[[#This Row],[Table 3: Possible Solutions Values Unique]]&amp;"*")</f>
        <v>1</v>
      </c>
      <c r="G147" s="32">
        <f>Table3[[#This Row],[Count]]/SUM(Table3[Count])</f>
        <v>4.0816326530612249E-3</v>
      </c>
    </row>
    <row r="148" spans="1:7" x14ac:dyDescent="0.25">
      <c r="A148" s="1" t="s">
        <v>260</v>
      </c>
      <c r="B148">
        <f>COUNTIF(Concerns, "*"&amp;Table2[[#This Row],[Table 2: Concerns Values Unique]]&amp;"*")</f>
        <v>1</v>
      </c>
      <c r="C148" s="32">
        <f>Table2[[#This Row],[Count]]/SUM(Table2[Count])</f>
        <v>3.6900369003690036E-3</v>
      </c>
      <c r="E148" t="s">
        <v>522</v>
      </c>
      <c r="F148">
        <f>COUNTIF(Possible_Solutions, "*"&amp;Table3[[#This Row],[Table 3: Possible Solutions Values Unique]]&amp;"*")</f>
        <v>1</v>
      </c>
      <c r="G148" s="32">
        <f>Table3[[#This Row],[Count]]/SUM(Table3[Count])</f>
        <v>4.0816326530612249E-3</v>
      </c>
    </row>
    <row r="149" spans="1:7" x14ac:dyDescent="0.25">
      <c r="A149" s="1" t="s">
        <v>261</v>
      </c>
      <c r="B149">
        <f>COUNTIF(Concerns, "*"&amp;Table2[[#This Row],[Table 2: Concerns Values Unique]]&amp;"*")</f>
        <v>1</v>
      </c>
      <c r="C149" s="32">
        <f>Table2[[#This Row],[Count]]/SUM(Table2[Count])</f>
        <v>3.6900369003690036E-3</v>
      </c>
      <c r="E149" t="s">
        <v>517</v>
      </c>
      <c r="F149">
        <f>COUNTIF(Possible_Solutions, "*"&amp;Table3[[#This Row],[Table 3: Possible Solutions Values Unique]]&amp;"*")</f>
        <v>1</v>
      </c>
      <c r="G149" s="32">
        <f>Table3[[#This Row],[Count]]/SUM(Table3[Count])</f>
        <v>4.0816326530612249E-3</v>
      </c>
    </row>
    <row r="150" spans="1:7" x14ac:dyDescent="0.25">
      <c r="A150" s="1" t="s">
        <v>262</v>
      </c>
      <c r="B150">
        <f>COUNTIF(Concerns, "*"&amp;Table2[[#This Row],[Table 2: Concerns Values Unique]]&amp;"*")</f>
        <v>1</v>
      </c>
      <c r="C150" s="32">
        <f>Table2[[#This Row],[Count]]/SUM(Table2[Count])</f>
        <v>3.6900369003690036E-3</v>
      </c>
      <c r="E150" t="s">
        <v>467</v>
      </c>
      <c r="F150">
        <f>COUNTIF(Possible_Solutions, "*"&amp;Table3[[#This Row],[Table 3: Possible Solutions Values Unique]]&amp;"*")</f>
        <v>1</v>
      </c>
      <c r="G150" s="32">
        <f>Table3[[#This Row],[Count]]/SUM(Table3[Count])</f>
        <v>4.0816326530612249E-3</v>
      </c>
    </row>
    <row r="151" spans="1:7" x14ac:dyDescent="0.25">
      <c r="A151" s="1" t="s">
        <v>263</v>
      </c>
      <c r="B151">
        <f>COUNTIF(Concerns, "*"&amp;Table2[[#This Row],[Table 2: Concerns Values Unique]]&amp;"*")</f>
        <v>1</v>
      </c>
      <c r="C151" s="32">
        <f>Table2[[#This Row],[Count]]/SUM(Table2[Count])</f>
        <v>3.6900369003690036E-3</v>
      </c>
      <c r="E151" t="s">
        <v>482</v>
      </c>
      <c r="F151">
        <f>COUNTIF(Possible_Solutions, "*"&amp;Table3[[#This Row],[Table 3: Possible Solutions Values Unique]]&amp;"*")</f>
        <v>1</v>
      </c>
      <c r="G151" s="32">
        <f>Table3[[#This Row],[Count]]/SUM(Table3[Count])</f>
        <v>4.0816326530612249E-3</v>
      </c>
    </row>
    <row r="152" spans="1:7" x14ac:dyDescent="0.25">
      <c r="A152" s="1" t="s">
        <v>264</v>
      </c>
      <c r="B152">
        <f>COUNTIF(Concerns, "*"&amp;Table2[[#This Row],[Table 2: Concerns Values Unique]]&amp;"*")</f>
        <v>1</v>
      </c>
      <c r="C152" s="32">
        <f>Table2[[#This Row],[Count]]/SUM(Table2[Count])</f>
        <v>3.6900369003690036E-3</v>
      </c>
      <c r="E152" t="s">
        <v>457</v>
      </c>
      <c r="F152">
        <f>COUNTIF(Possible_Solutions, "*"&amp;Table3[[#This Row],[Table 3: Possible Solutions Values Unique]]&amp;"*")</f>
        <v>1</v>
      </c>
      <c r="G152" s="32">
        <f>Table3[[#This Row],[Count]]/SUM(Table3[Count])</f>
        <v>4.0816326530612249E-3</v>
      </c>
    </row>
    <row r="153" spans="1:7" x14ac:dyDescent="0.25">
      <c r="A153" s="1" t="s">
        <v>265</v>
      </c>
      <c r="B153">
        <f>COUNTIF(Concerns, "*"&amp;Table2[[#This Row],[Table 2: Concerns Values Unique]]&amp;"*")</f>
        <v>1</v>
      </c>
      <c r="C153" s="32">
        <f>Table2[[#This Row],[Count]]/SUM(Table2[Count])</f>
        <v>3.6900369003690036E-3</v>
      </c>
      <c r="E153" t="s">
        <v>392</v>
      </c>
      <c r="F153">
        <f>COUNTIF(Possible_Solutions, "*"&amp;Table3[[#This Row],[Table 3: Possible Solutions Values Unique]]&amp;"*")</f>
        <v>1</v>
      </c>
      <c r="G153" s="32">
        <f>Table3[[#This Row],[Count]]/SUM(Table3[Count])</f>
        <v>4.0816326530612249E-3</v>
      </c>
    </row>
    <row r="154" spans="1:7" x14ac:dyDescent="0.25">
      <c r="A154" s="1" t="s">
        <v>266</v>
      </c>
      <c r="B154">
        <f>COUNTIF(Concerns, "*"&amp;Table2[[#This Row],[Table 2: Concerns Values Unique]]&amp;"*")</f>
        <v>1</v>
      </c>
      <c r="C154" s="32">
        <f>Table2[[#This Row],[Count]]/SUM(Table2[Count])</f>
        <v>3.6900369003690036E-3</v>
      </c>
      <c r="E154" t="s">
        <v>554</v>
      </c>
      <c r="F154">
        <f>COUNTIF(Possible_Solutions, "*"&amp;Table3[[#This Row],[Table 3: Possible Solutions Values Unique]]&amp;"*")</f>
        <v>1</v>
      </c>
      <c r="G154" s="32">
        <f>Table3[[#This Row],[Count]]/SUM(Table3[Count])</f>
        <v>4.0816326530612249E-3</v>
      </c>
    </row>
    <row r="155" spans="1:7" x14ac:dyDescent="0.25">
      <c r="A155" s="1" t="s">
        <v>267</v>
      </c>
      <c r="B155">
        <f>COUNTIF(Concerns, "*"&amp;Table2[[#This Row],[Table 2: Concerns Values Unique]]&amp;"*")</f>
        <v>1</v>
      </c>
      <c r="C155" s="32">
        <f>Table2[[#This Row],[Count]]/SUM(Table2[Count])</f>
        <v>3.6900369003690036E-3</v>
      </c>
      <c r="E155" t="s">
        <v>548</v>
      </c>
      <c r="F155">
        <f>COUNTIF(Possible_Solutions, "*"&amp;Table3[[#This Row],[Table 3: Possible Solutions Values Unique]]&amp;"*")</f>
        <v>1</v>
      </c>
      <c r="G155" s="32">
        <f>Table3[[#This Row],[Count]]/SUM(Table3[Count])</f>
        <v>4.0816326530612249E-3</v>
      </c>
    </row>
    <row r="156" spans="1:7" x14ac:dyDescent="0.25">
      <c r="A156" s="1" t="s">
        <v>268</v>
      </c>
      <c r="B156">
        <f>COUNTIF(Concerns, "*"&amp;Table2[[#This Row],[Table 2: Concerns Values Unique]]&amp;"*")</f>
        <v>1</v>
      </c>
      <c r="C156" s="32">
        <f>Table2[[#This Row],[Count]]/SUM(Table2[Count])</f>
        <v>3.6900369003690036E-3</v>
      </c>
      <c r="E156" t="s">
        <v>279</v>
      </c>
      <c r="F156">
        <f>COUNTIF(Possible_Solutions, "*"&amp;Table3[[#This Row],[Table 3: Possible Solutions Values Unique]]&amp;"*")</f>
        <v>1</v>
      </c>
      <c r="G156" s="32">
        <f>Table3[[#This Row],[Count]]/SUM(Table3[Count])</f>
        <v>4.0816326530612249E-3</v>
      </c>
    </row>
    <row r="157" spans="1:7" x14ac:dyDescent="0.25">
      <c r="A157" s="1" t="s">
        <v>269</v>
      </c>
      <c r="B157">
        <f>COUNTIF(Concerns, "*"&amp;Table2[[#This Row],[Table 2: Concerns Values Unique]]&amp;"*")</f>
        <v>1</v>
      </c>
      <c r="C157" s="32">
        <f>Table2[[#This Row],[Count]]/SUM(Table2[Count])</f>
        <v>3.6900369003690036E-3</v>
      </c>
      <c r="E157" t="s">
        <v>455</v>
      </c>
      <c r="F157">
        <f>COUNTIF(Possible_Solutions, "*"&amp;Table3[[#This Row],[Table 3: Possible Solutions Values Unique]]&amp;"*")</f>
        <v>1</v>
      </c>
      <c r="G157" s="32">
        <f>Table3[[#This Row],[Count]]/SUM(Table3[Count])</f>
        <v>4.0816326530612249E-3</v>
      </c>
    </row>
    <row r="158" spans="1:7" x14ac:dyDescent="0.25">
      <c r="A158" s="1" t="s">
        <v>270</v>
      </c>
      <c r="B158">
        <f>COUNTIF(Concerns, "*"&amp;Table2[[#This Row],[Table 2: Concerns Values Unique]]&amp;"*")</f>
        <v>1</v>
      </c>
      <c r="C158" s="32">
        <f>Table2[[#This Row],[Count]]/SUM(Table2[Count])</f>
        <v>3.6900369003690036E-3</v>
      </c>
      <c r="E158" t="s">
        <v>485</v>
      </c>
      <c r="F158">
        <f>COUNTIF(Possible_Solutions, "*"&amp;Table3[[#This Row],[Table 3: Possible Solutions Values Unique]]&amp;"*")</f>
        <v>1</v>
      </c>
      <c r="G158" s="32">
        <f>Table3[[#This Row],[Count]]/SUM(Table3[Count])</f>
        <v>4.0816326530612249E-3</v>
      </c>
    </row>
    <row r="159" spans="1:7" x14ac:dyDescent="0.25">
      <c r="A159" s="1" t="s">
        <v>271</v>
      </c>
      <c r="B159">
        <f>COUNTIF(Concerns, "*"&amp;Table2[[#This Row],[Table 2: Concerns Values Unique]]&amp;"*")</f>
        <v>1</v>
      </c>
      <c r="C159" s="32">
        <f>Table2[[#This Row],[Count]]/SUM(Table2[Count])</f>
        <v>3.6900369003690036E-3</v>
      </c>
      <c r="E159" t="s">
        <v>526</v>
      </c>
      <c r="F159">
        <f>COUNTIF(Possible_Solutions, "*"&amp;Table3[[#This Row],[Table 3: Possible Solutions Values Unique]]&amp;"*")</f>
        <v>1</v>
      </c>
      <c r="G159" s="32">
        <f>Table3[[#This Row],[Count]]/SUM(Table3[Count])</f>
        <v>4.0816326530612249E-3</v>
      </c>
    </row>
    <row r="160" spans="1:7" x14ac:dyDescent="0.25">
      <c r="A160" s="1" t="s">
        <v>272</v>
      </c>
      <c r="B160">
        <f>COUNTIF(Concerns, "*"&amp;Table2[[#This Row],[Table 2: Concerns Values Unique]]&amp;"*")</f>
        <v>1</v>
      </c>
      <c r="C160" s="32">
        <f>Table2[[#This Row],[Count]]/SUM(Table2[Count])</f>
        <v>3.6900369003690036E-3</v>
      </c>
      <c r="E160" t="s">
        <v>323</v>
      </c>
      <c r="F160">
        <f>COUNTIF(Possible_Solutions, "*"&amp;Table3[[#This Row],[Table 3: Possible Solutions Values Unique]]&amp;"*")</f>
        <v>1</v>
      </c>
      <c r="G160" s="32">
        <f>Table3[[#This Row],[Count]]/SUM(Table3[Count])</f>
        <v>4.0816326530612249E-3</v>
      </c>
    </row>
    <row r="161" spans="1:7" x14ac:dyDescent="0.25">
      <c r="A161" s="1" t="s">
        <v>273</v>
      </c>
      <c r="B161">
        <f>COUNTIF(Concerns, "*"&amp;Table2[[#This Row],[Table 2: Concerns Values Unique]]&amp;"*")</f>
        <v>1</v>
      </c>
      <c r="C161" s="32">
        <f>Table2[[#This Row],[Count]]/SUM(Table2[Count])</f>
        <v>3.6900369003690036E-3</v>
      </c>
      <c r="E161" t="s">
        <v>428</v>
      </c>
      <c r="F161">
        <f>COUNTIF(Possible_Solutions, "*"&amp;Table3[[#This Row],[Table 3: Possible Solutions Values Unique]]&amp;"*")</f>
        <v>1</v>
      </c>
      <c r="G161" s="32">
        <f>Table3[[#This Row],[Count]]/SUM(Table3[Count])</f>
        <v>4.0816326530612249E-3</v>
      </c>
    </row>
    <row r="162" spans="1:7" x14ac:dyDescent="0.25">
      <c r="A162" s="1" t="s">
        <v>274</v>
      </c>
      <c r="B162">
        <f>COUNTIF(Concerns, "*"&amp;Table2[[#This Row],[Table 2: Concerns Values Unique]]&amp;"*")</f>
        <v>1</v>
      </c>
      <c r="C162" s="32">
        <f>Table2[[#This Row],[Count]]/SUM(Table2[Count])</f>
        <v>3.6900369003690036E-3</v>
      </c>
      <c r="E162" t="s">
        <v>558</v>
      </c>
      <c r="F162">
        <f>COUNTIF(Possible_Solutions, "*"&amp;Table3[[#This Row],[Table 3: Possible Solutions Values Unique]]&amp;"*")</f>
        <v>1</v>
      </c>
      <c r="G162" s="32">
        <f>Table3[[#This Row],[Count]]/SUM(Table3[Count])</f>
        <v>4.0816326530612249E-3</v>
      </c>
    </row>
    <row r="163" spans="1:7" x14ac:dyDescent="0.25">
      <c r="A163" s="1" t="s">
        <v>275</v>
      </c>
      <c r="B163">
        <f>COUNTIF(Concerns, "*"&amp;Table2[[#This Row],[Table 2: Concerns Values Unique]]&amp;"*")</f>
        <v>1</v>
      </c>
      <c r="C163" s="32">
        <f>Table2[[#This Row],[Count]]/SUM(Table2[Count])</f>
        <v>3.6900369003690036E-3</v>
      </c>
      <c r="E163" t="s">
        <v>407</v>
      </c>
      <c r="F163">
        <f>COUNTIF(Possible_Solutions, "*"&amp;Table3[[#This Row],[Table 3: Possible Solutions Values Unique]]&amp;"*")</f>
        <v>1</v>
      </c>
      <c r="G163" s="32">
        <f>Table3[[#This Row],[Count]]/SUM(Table3[Count])</f>
        <v>4.0816326530612249E-3</v>
      </c>
    </row>
    <row r="164" spans="1:7" x14ac:dyDescent="0.25">
      <c r="A164" s="1" t="s">
        <v>365</v>
      </c>
      <c r="B164">
        <f>COUNTIF(Concerns, "*"&amp;Table2[[#This Row],[Table 2: Concerns Values Unique]]&amp;"*")</f>
        <v>1</v>
      </c>
      <c r="C164" s="32">
        <f>Table2[[#This Row],[Count]]/SUM(Table2[Count])</f>
        <v>3.6900369003690036E-3</v>
      </c>
      <c r="E164" t="s">
        <v>422</v>
      </c>
      <c r="F164">
        <f>COUNTIF(Possible_Solutions, "*"&amp;Table3[[#This Row],[Table 3: Possible Solutions Values Unique]]&amp;"*")</f>
        <v>1</v>
      </c>
      <c r="G164" s="32">
        <f>Table3[[#This Row],[Count]]/SUM(Table3[Count])</f>
        <v>4.0816326530612249E-3</v>
      </c>
    </row>
    <row r="165" spans="1:7" x14ac:dyDescent="0.25">
      <c r="A165" s="1" t="s">
        <v>276</v>
      </c>
      <c r="B165">
        <f>COUNTIF(Concerns, "*"&amp;Table2[[#This Row],[Table 2: Concerns Values Unique]]&amp;"*")</f>
        <v>1</v>
      </c>
      <c r="C165" s="32">
        <f>Table2[[#This Row],[Count]]/SUM(Table2[Count])</f>
        <v>3.6900369003690036E-3</v>
      </c>
      <c r="E165" t="s">
        <v>546</v>
      </c>
      <c r="F165">
        <f>COUNTIF(Possible_Solutions, "*"&amp;Table3[[#This Row],[Table 3: Possible Solutions Values Unique]]&amp;"*")</f>
        <v>1</v>
      </c>
      <c r="G165" s="32">
        <f>Table3[[#This Row],[Count]]/SUM(Table3[Count])</f>
        <v>4.0816326530612249E-3</v>
      </c>
    </row>
    <row r="166" spans="1:7" x14ac:dyDescent="0.25">
      <c r="A166" s="1" t="s">
        <v>277</v>
      </c>
      <c r="B166">
        <f>COUNTIF(Concerns, "*"&amp;Table2[[#This Row],[Table 2: Concerns Values Unique]]&amp;"*")</f>
        <v>1</v>
      </c>
      <c r="C166" s="32">
        <f>Table2[[#This Row],[Count]]/SUM(Table2[Count])</f>
        <v>3.6900369003690036E-3</v>
      </c>
      <c r="E166" t="s">
        <v>570</v>
      </c>
      <c r="F166">
        <f>COUNTIF(Possible_Solutions, "*"&amp;Table3[[#This Row],[Table 3: Possible Solutions Values Unique]]&amp;"*")</f>
        <v>1</v>
      </c>
      <c r="G166" s="32">
        <f>Table3[[#This Row],[Count]]/SUM(Table3[Count])</f>
        <v>4.0816326530612249E-3</v>
      </c>
    </row>
    <row r="167" spans="1:7" x14ac:dyDescent="0.25">
      <c r="A167" s="1" t="s">
        <v>366</v>
      </c>
      <c r="B167">
        <f>COUNTIF(Concerns, "*"&amp;Table2[[#This Row],[Table 2: Concerns Values Unique]]&amp;"*")</f>
        <v>1</v>
      </c>
      <c r="C167" s="32">
        <f>Table2[[#This Row],[Count]]/SUM(Table2[Count])</f>
        <v>3.6900369003690036E-3</v>
      </c>
      <c r="E167" t="s">
        <v>433</v>
      </c>
      <c r="F167">
        <f>COUNTIF(Possible_Solutions, "*"&amp;Table3[[#This Row],[Table 3: Possible Solutions Values Unique]]&amp;"*")</f>
        <v>1</v>
      </c>
      <c r="G167" s="32">
        <f>Table3[[#This Row],[Count]]/SUM(Table3[Count])</f>
        <v>4.0816326530612249E-3</v>
      </c>
    </row>
    <row r="168" spans="1:7" x14ac:dyDescent="0.25">
      <c r="A168" s="1" t="s">
        <v>278</v>
      </c>
      <c r="B168">
        <f>COUNTIF(Concerns, "*"&amp;Table2[[#This Row],[Table 2: Concerns Values Unique]]&amp;"*")</f>
        <v>1</v>
      </c>
      <c r="C168" s="32">
        <f>Table2[[#This Row],[Count]]/SUM(Table2[Count])</f>
        <v>3.6900369003690036E-3</v>
      </c>
      <c r="E168" t="s">
        <v>509</v>
      </c>
      <c r="F168">
        <f>COUNTIF(Possible_Solutions, "*"&amp;Table3[[#This Row],[Table 3: Possible Solutions Values Unique]]&amp;"*")</f>
        <v>1</v>
      </c>
      <c r="G168" s="32">
        <f>Table3[[#This Row],[Count]]/SUM(Table3[Count])</f>
        <v>4.0816326530612249E-3</v>
      </c>
    </row>
    <row r="169" spans="1:7" x14ac:dyDescent="0.25">
      <c r="A169" s="1" t="s">
        <v>279</v>
      </c>
      <c r="B169">
        <f>COUNTIF(Concerns, "*"&amp;Table2[[#This Row],[Table 2: Concerns Values Unique]]&amp;"*")</f>
        <v>1</v>
      </c>
      <c r="C169" s="32">
        <f>Table2[[#This Row],[Count]]/SUM(Table2[Count])</f>
        <v>3.6900369003690036E-3</v>
      </c>
      <c r="E169" t="s">
        <v>475</v>
      </c>
      <c r="F169">
        <f>COUNTIF(Possible_Solutions, "*"&amp;Table3[[#This Row],[Table 3: Possible Solutions Values Unique]]&amp;"*")</f>
        <v>1</v>
      </c>
      <c r="G169" s="32">
        <f>Table3[[#This Row],[Count]]/SUM(Table3[Count])</f>
        <v>4.0816326530612249E-3</v>
      </c>
    </row>
    <row r="170" spans="1:7" x14ac:dyDescent="0.25">
      <c r="A170" s="1" t="s">
        <v>280</v>
      </c>
      <c r="B170">
        <f>COUNTIF(Concerns, "*"&amp;Table2[[#This Row],[Table 2: Concerns Values Unique]]&amp;"*")</f>
        <v>1</v>
      </c>
      <c r="C170" s="32">
        <f>Table2[[#This Row],[Count]]/SUM(Table2[Count])</f>
        <v>3.6900369003690036E-3</v>
      </c>
      <c r="E170" t="s">
        <v>527</v>
      </c>
      <c r="F170">
        <f>COUNTIF(Possible_Solutions, "*"&amp;Table3[[#This Row],[Table 3: Possible Solutions Values Unique]]&amp;"*")</f>
        <v>1</v>
      </c>
      <c r="G170" s="32">
        <f>Table3[[#This Row],[Count]]/SUM(Table3[Count])</f>
        <v>4.0816326530612249E-3</v>
      </c>
    </row>
    <row r="171" spans="1:7" x14ac:dyDescent="0.25">
      <c r="A171" s="1" t="s">
        <v>281</v>
      </c>
      <c r="B171">
        <f>COUNTIF(Concerns, "*"&amp;Table2[[#This Row],[Table 2: Concerns Values Unique]]&amp;"*")</f>
        <v>1</v>
      </c>
      <c r="C171" s="32">
        <f>Table2[[#This Row],[Count]]/SUM(Table2[Count])</f>
        <v>3.6900369003690036E-3</v>
      </c>
      <c r="E171" t="s">
        <v>424</v>
      </c>
      <c r="F171">
        <f>COUNTIF(Possible_Solutions, "*"&amp;Table3[[#This Row],[Table 3: Possible Solutions Values Unique]]&amp;"*")</f>
        <v>1</v>
      </c>
      <c r="G171" s="32">
        <f>Table3[[#This Row],[Count]]/SUM(Table3[Count])</f>
        <v>4.0816326530612249E-3</v>
      </c>
    </row>
    <row r="172" spans="1:7" x14ac:dyDescent="0.25">
      <c r="A172" s="1" t="s">
        <v>282</v>
      </c>
      <c r="B172">
        <f>COUNTIF(Concerns, "*"&amp;Table2[[#This Row],[Table 2: Concerns Values Unique]]&amp;"*")</f>
        <v>1</v>
      </c>
      <c r="C172" s="32">
        <f>Table2[[#This Row],[Count]]/SUM(Table2[Count])</f>
        <v>3.6900369003690036E-3</v>
      </c>
      <c r="E172" t="s">
        <v>460</v>
      </c>
      <c r="F172">
        <f>COUNTIF(Possible_Solutions, "*"&amp;Table3[[#This Row],[Table 3: Possible Solutions Values Unique]]&amp;"*")</f>
        <v>1</v>
      </c>
      <c r="G172" s="32">
        <f>Table3[[#This Row],[Count]]/SUM(Table3[Count])</f>
        <v>4.0816326530612249E-3</v>
      </c>
    </row>
    <row r="173" spans="1:7" x14ac:dyDescent="0.25">
      <c r="A173" s="1" t="s">
        <v>283</v>
      </c>
      <c r="B173">
        <f>COUNTIF(Concerns, "*"&amp;Table2[[#This Row],[Table 2: Concerns Values Unique]]&amp;"*")</f>
        <v>1</v>
      </c>
      <c r="C173" s="32">
        <f>Table2[[#This Row],[Count]]/SUM(Table2[Count])</f>
        <v>3.6900369003690036E-3</v>
      </c>
      <c r="E173" t="s">
        <v>476</v>
      </c>
      <c r="F173">
        <f>COUNTIF(Possible_Solutions, "*"&amp;Table3[[#This Row],[Table 3: Possible Solutions Values Unique]]&amp;"*")</f>
        <v>1</v>
      </c>
      <c r="G173" s="32">
        <f>Table3[[#This Row],[Count]]/SUM(Table3[Count])</f>
        <v>4.0816326530612249E-3</v>
      </c>
    </row>
    <row r="174" spans="1:7" x14ac:dyDescent="0.25">
      <c r="A174" s="1" t="s">
        <v>284</v>
      </c>
      <c r="B174">
        <f>COUNTIF(Concerns, "*"&amp;Table2[[#This Row],[Table 2: Concerns Values Unique]]&amp;"*")</f>
        <v>1</v>
      </c>
      <c r="C174" s="32">
        <f>Table2[[#This Row],[Count]]/SUM(Table2[Count])</f>
        <v>3.6900369003690036E-3</v>
      </c>
      <c r="E174" t="s">
        <v>534</v>
      </c>
      <c r="F174">
        <f>COUNTIF(Possible_Solutions, "*"&amp;Table3[[#This Row],[Table 3: Possible Solutions Values Unique]]&amp;"*")</f>
        <v>1</v>
      </c>
      <c r="G174" s="32">
        <f>Table3[[#This Row],[Count]]/SUM(Table3[Count])</f>
        <v>4.0816326530612249E-3</v>
      </c>
    </row>
    <row r="175" spans="1:7" x14ac:dyDescent="0.25">
      <c r="A175" s="1" t="s">
        <v>285</v>
      </c>
      <c r="B175">
        <f>COUNTIF(Concerns, "*"&amp;Table2[[#This Row],[Table 2: Concerns Values Unique]]&amp;"*")</f>
        <v>1</v>
      </c>
      <c r="C175" s="32">
        <f>Table2[[#This Row],[Count]]/SUM(Table2[Count])</f>
        <v>3.6900369003690036E-3</v>
      </c>
      <c r="E175" t="s">
        <v>431</v>
      </c>
      <c r="F175">
        <f>COUNTIF(Possible_Solutions, "*"&amp;Table3[[#This Row],[Table 3: Possible Solutions Values Unique]]&amp;"*")</f>
        <v>1</v>
      </c>
      <c r="G175" s="32">
        <f>Table3[[#This Row],[Count]]/SUM(Table3[Count])</f>
        <v>4.0816326530612249E-3</v>
      </c>
    </row>
    <row r="176" spans="1:7" x14ac:dyDescent="0.25">
      <c r="A176" s="1" t="s">
        <v>286</v>
      </c>
      <c r="B176">
        <f>COUNTIF(Concerns, "*"&amp;Table2[[#This Row],[Table 2: Concerns Values Unique]]&amp;"*")</f>
        <v>1</v>
      </c>
      <c r="C176" s="32">
        <f>Table2[[#This Row],[Count]]/SUM(Table2[Count])</f>
        <v>3.6900369003690036E-3</v>
      </c>
      <c r="E176" t="s">
        <v>381</v>
      </c>
      <c r="F176">
        <f>COUNTIF(Possible_Solutions, "*"&amp;Table3[[#This Row],[Table 3: Possible Solutions Values Unique]]&amp;"*")</f>
        <v>1</v>
      </c>
      <c r="G176" s="32">
        <f>Table3[[#This Row],[Count]]/SUM(Table3[Count])</f>
        <v>4.0816326530612249E-3</v>
      </c>
    </row>
    <row r="177" spans="1:7" x14ac:dyDescent="0.25">
      <c r="A177" s="1" t="s">
        <v>287</v>
      </c>
      <c r="B177">
        <f>COUNTIF(Concerns, "*"&amp;Table2[[#This Row],[Table 2: Concerns Values Unique]]&amp;"*")</f>
        <v>1</v>
      </c>
      <c r="C177" s="32">
        <f>Table2[[#This Row],[Count]]/SUM(Table2[Count])</f>
        <v>3.6900369003690036E-3</v>
      </c>
      <c r="E177" t="s">
        <v>469</v>
      </c>
      <c r="F177">
        <f>COUNTIF(Possible_Solutions, "*"&amp;Table3[[#This Row],[Table 3: Possible Solutions Values Unique]]&amp;"*")</f>
        <v>1</v>
      </c>
      <c r="G177" s="32">
        <f>Table3[[#This Row],[Count]]/SUM(Table3[Count])</f>
        <v>4.0816326530612249E-3</v>
      </c>
    </row>
    <row r="178" spans="1:7" x14ac:dyDescent="0.25">
      <c r="A178" s="1" t="s">
        <v>288</v>
      </c>
      <c r="B178">
        <f>COUNTIF(Concerns, "*"&amp;Table2[[#This Row],[Table 2: Concerns Values Unique]]&amp;"*")</f>
        <v>1</v>
      </c>
      <c r="C178" s="32">
        <f>Table2[[#This Row],[Count]]/SUM(Table2[Count])</f>
        <v>3.6900369003690036E-3</v>
      </c>
      <c r="E178" t="s">
        <v>387</v>
      </c>
      <c r="F178">
        <f>COUNTIF(Possible_Solutions, "*"&amp;Table3[[#This Row],[Table 3: Possible Solutions Values Unique]]&amp;"*")</f>
        <v>1</v>
      </c>
      <c r="G178" s="32">
        <f>Table3[[#This Row],[Count]]/SUM(Table3[Count])</f>
        <v>4.0816326530612249E-3</v>
      </c>
    </row>
    <row r="179" spans="1:7" x14ac:dyDescent="0.25">
      <c r="A179" s="1" t="s">
        <v>289</v>
      </c>
      <c r="B179">
        <f>COUNTIF(Concerns, "*"&amp;Table2[[#This Row],[Table 2: Concerns Values Unique]]&amp;"*")</f>
        <v>1</v>
      </c>
      <c r="C179" s="32">
        <f>Table2[[#This Row],[Count]]/SUM(Table2[Count])</f>
        <v>3.6900369003690036E-3</v>
      </c>
      <c r="E179" t="s">
        <v>536</v>
      </c>
      <c r="F179">
        <f>COUNTIF(Possible_Solutions, "*"&amp;Table3[[#This Row],[Table 3: Possible Solutions Values Unique]]&amp;"*")</f>
        <v>1</v>
      </c>
      <c r="G179" s="32">
        <f>Table3[[#This Row],[Count]]/SUM(Table3[Count])</f>
        <v>4.0816326530612249E-3</v>
      </c>
    </row>
    <row r="180" spans="1:7" x14ac:dyDescent="0.25">
      <c r="A180" s="1" t="s">
        <v>290</v>
      </c>
      <c r="B180">
        <f>COUNTIF(Concerns, "*"&amp;Table2[[#This Row],[Table 2: Concerns Values Unique]]&amp;"*")</f>
        <v>1</v>
      </c>
      <c r="C180" s="32">
        <f>Table2[[#This Row],[Count]]/SUM(Table2[Count])</f>
        <v>3.6900369003690036E-3</v>
      </c>
      <c r="E180" t="s">
        <v>549</v>
      </c>
      <c r="F180">
        <f>COUNTIF(Possible_Solutions, "*"&amp;Table3[[#This Row],[Table 3: Possible Solutions Values Unique]]&amp;"*")</f>
        <v>1</v>
      </c>
      <c r="G180" s="32">
        <f>Table3[[#This Row],[Count]]/SUM(Table3[Count])</f>
        <v>4.0816326530612249E-3</v>
      </c>
    </row>
    <row r="181" spans="1:7" x14ac:dyDescent="0.25">
      <c r="A181" s="1" t="s">
        <v>291</v>
      </c>
      <c r="B181">
        <f>COUNTIF(Concerns, "*"&amp;Table2[[#This Row],[Table 2: Concerns Values Unique]]&amp;"*")</f>
        <v>1</v>
      </c>
      <c r="C181" s="32">
        <f>Table2[[#This Row],[Count]]/SUM(Table2[Count])</f>
        <v>3.6900369003690036E-3</v>
      </c>
      <c r="E181" t="s">
        <v>420</v>
      </c>
      <c r="F181">
        <f>COUNTIF(Possible_Solutions, "*"&amp;Table3[[#This Row],[Table 3: Possible Solutions Values Unique]]&amp;"*")</f>
        <v>1</v>
      </c>
      <c r="G181" s="32">
        <f>Table3[[#This Row],[Count]]/SUM(Table3[Count])</f>
        <v>4.0816326530612249E-3</v>
      </c>
    </row>
    <row r="182" spans="1:7" x14ac:dyDescent="0.25">
      <c r="A182" s="1" t="s">
        <v>292</v>
      </c>
      <c r="B182">
        <f>COUNTIF(Concerns, "*"&amp;Table2[[#This Row],[Table 2: Concerns Values Unique]]&amp;"*")</f>
        <v>1</v>
      </c>
      <c r="C182" s="32">
        <f>Table2[[#This Row],[Count]]/SUM(Table2[Count])</f>
        <v>3.6900369003690036E-3</v>
      </c>
      <c r="E182" t="s">
        <v>453</v>
      </c>
      <c r="F182">
        <f>COUNTIF(Possible_Solutions, "*"&amp;Table3[[#This Row],[Table 3: Possible Solutions Values Unique]]&amp;"*")</f>
        <v>1</v>
      </c>
      <c r="G182" s="32">
        <f>Table3[[#This Row],[Count]]/SUM(Table3[Count])</f>
        <v>4.0816326530612249E-3</v>
      </c>
    </row>
    <row r="183" spans="1:7" x14ac:dyDescent="0.25">
      <c r="A183" s="1" t="s">
        <v>293</v>
      </c>
      <c r="B183">
        <f>COUNTIF(Concerns, "*"&amp;Table2[[#This Row],[Table 2: Concerns Values Unique]]&amp;"*")</f>
        <v>1</v>
      </c>
      <c r="C183" s="32">
        <f>Table2[[#This Row],[Count]]/SUM(Table2[Count])</f>
        <v>3.6900369003690036E-3</v>
      </c>
      <c r="E183" t="s">
        <v>388</v>
      </c>
      <c r="F183">
        <f>COUNTIF(Possible_Solutions, "*"&amp;Table3[[#This Row],[Table 3: Possible Solutions Values Unique]]&amp;"*")</f>
        <v>1</v>
      </c>
      <c r="G183" s="32">
        <f>Table3[[#This Row],[Count]]/SUM(Table3[Count])</f>
        <v>4.0816326530612249E-3</v>
      </c>
    </row>
    <row r="184" spans="1:7" x14ac:dyDescent="0.25">
      <c r="A184" s="1" t="s">
        <v>294</v>
      </c>
      <c r="B184">
        <f>COUNTIF(Concerns, "*"&amp;Table2[[#This Row],[Table 2: Concerns Values Unique]]&amp;"*")</f>
        <v>1</v>
      </c>
      <c r="C184" s="32">
        <f>Table2[[#This Row],[Count]]/SUM(Table2[Count])</f>
        <v>3.6900369003690036E-3</v>
      </c>
      <c r="E184" t="s">
        <v>498</v>
      </c>
      <c r="F184">
        <f>COUNTIF(Possible_Solutions, "*"&amp;Table3[[#This Row],[Table 3: Possible Solutions Values Unique]]&amp;"*")</f>
        <v>1</v>
      </c>
      <c r="G184" s="32">
        <f>Table3[[#This Row],[Count]]/SUM(Table3[Count])</f>
        <v>4.0816326530612249E-3</v>
      </c>
    </row>
    <row r="185" spans="1:7" x14ac:dyDescent="0.25">
      <c r="A185" s="1" t="s">
        <v>295</v>
      </c>
      <c r="B185">
        <f>COUNTIF(Concerns, "*"&amp;Table2[[#This Row],[Table 2: Concerns Values Unique]]&amp;"*")</f>
        <v>1</v>
      </c>
      <c r="C185" s="32">
        <f>Table2[[#This Row],[Count]]/SUM(Table2[Count])</f>
        <v>3.6900369003690036E-3</v>
      </c>
      <c r="E185" t="s">
        <v>444</v>
      </c>
      <c r="F185">
        <f>COUNTIF(Possible_Solutions, "*"&amp;Table3[[#This Row],[Table 3: Possible Solutions Values Unique]]&amp;"*")</f>
        <v>1</v>
      </c>
      <c r="G185" s="32">
        <f>Table3[[#This Row],[Count]]/SUM(Table3[Count])</f>
        <v>4.0816326530612249E-3</v>
      </c>
    </row>
    <row r="186" spans="1:7" x14ac:dyDescent="0.25">
      <c r="A186" s="1" t="s">
        <v>296</v>
      </c>
      <c r="B186">
        <f>COUNTIF(Concerns, "*"&amp;Table2[[#This Row],[Table 2: Concerns Values Unique]]&amp;"*")</f>
        <v>1</v>
      </c>
      <c r="C186" s="32">
        <f>Table2[[#This Row],[Count]]/SUM(Table2[Count])</f>
        <v>3.6900369003690036E-3</v>
      </c>
      <c r="E186" t="s">
        <v>493</v>
      </c>
      <c r="F186">
        <f>COUNTIF(Possible_Solutions, "*"&amp;Table3[[#This Row],[Table 3: Possible Solutions Values Unique]]&amp;"*")</f>
        <v>1</v>
      </c>
      <c r="G186" s="32">
        <f>Table3[[#This Row],[Count]]/SUM(Table3[Count])</f>
        <v>4.0816326530612249E-3</v>
      </c>
    </row>
    <row r="187" spans="1:7" x14ac:dyDescent="0.25">
      <c r="A187" s="1" t="s">
        <v>297</v>
      </c>
      <c r="B187">
        <f>COUNTIF(Concerns, "*"&amp;Table2[[#This Row],[Table 2: Concerns Values Unique]]&amp;"*")</f>
        <v>1</v>
      </c>
      <c r="C187" s="32">
        <f>Table2[[#This Row],[Count]]/SUM(Table2[Count])</f>
        <v>3.6900369003690036E-3</v>
      </c>
      <c r="E187" t="s">
        <v>380</v>
      </c>
      <c r="F187">
        <f>COUNTIF(Possible_Solutions, "*"&amp;Table3[[#This Row],[Table 3: Possible Solutions Values Unique]]&amp;"*")</f>
        <v>1</v>
      </c>
      <c r="G187" s="32">
        <f>Table3[[#This Row],[Count]]/SUM(Table3[Count])</f>
        <v>4.0816326530612249E-3</v>
      </c>
    </row>
    <row r="188" spans="1:7" x14ac:dyDescent="0.25">
      <c r="A188" s="1" t="s">
        <v>298</v>
      </c>
      <c r="B188">
        <f>COUNTIF(Concerns, "*"&amp;Table2[[#This Row],[Table 2: Concerns Values Unique]]&amp;"*")</f>
        <v>1</v>
      </c>
      <c r="C188" s="32">
        <f>Table2[[#This Row],[Count]]/SUM(Table2[Count])</f>
        <v>3.6900369003690036E-3</v>
      </c>
      <c r="E188" t="s">
        <v>452</v>
      </c>
      <c r="F188">
        <f>COUNTIF(Possible_Solutions, "*"&amp;Table3[[#This Row],[Table 3: Possible Solutions Values Unique]]&amp;"*")</f>
        <v>1</v>
      </c>
      <c r="G188" s="32">
        <f>Table3[[#This Row],[Count]]/SUM(Table3[Count])</f>
        <v>4.0816326530612249E-3</v>
      </c>
    </row>
    <row r="189" spans="1:7" x14ac:dyDescent="0.25">
      <c r="A189" s="1" t="s">
        <v>299</v>
      </c>
      <c r="B189">
        <f>COUNTIF(Concerns, "*"&amp;Table2[[#This Row],[Table 2: Concerns Values Unique]]&amp;"*")</f>
        <v>1</v>
      </c>
      <c r="C189" s="32">
        <f>Table2[[#This Row],[Count]]/SUM(Table2[Count])</f>
        <v>3.6900369003690036E-3</v>
      </c>
      <c r="E189" t="s">
        <v>378</v>
      </c>
      <c r="F189">
        <f>COUNTIF(Possible_Solutions, "*"&amp;Table3[[#This Row],[Table 3: Possible Solutions Values Unique]]&amp;"*")</f>
        <v>1</v>
      </c>
      <c r="G189" s="32">
        <f>Table3[[#This Row],[Count]]/SUM(Table3[Count])</f>
        <v>4.0816326530612249E-3</v>
      </c>
    </row>
    <row r="190" spans="1:7" x14ac:dyDescent="0.25">
      <c r="A190" s="1" t="s">
        <v>300</v>
      </c>
      <c r="B190">
        <f>COUNTIF(Concerns, "*"&amp;Table2[[#This Row],[Table 2: Concerns Values Unique]]&amp;"*")</f>
        <v>1</v>
      </c>
      <c r="C190" s="32">
        <f>Table2[[#This Row],[Count]]/SUM(Table2[Count])</f>
        <v>3.6900369003690036E-3</v>
      </c>
      <c r="E190" t="s">
        <v>440</v>
      </c>
      <c r="F190">
        <f>COUNTIF(Possible_Solutions, "*"&amp;Table3[[#This Row],[Table 3: Possible Solutions Values Unique]]&amp;"*")</f>
        <v>1</v>
      </c>
      <c r="G190" s="32">
        <f>Table3[[#This Row],[Count]]/SUM(Table3[Count])</f>
        <v>4.0816326530612249E-3</v>
      </c>
    </row>
    <row r="191" spans="1:7" x14ac:dyDescent="0.25">
      <c r="A191" s="1" t="s">
        <v>301</v>
      </c>
      <c r="B191">
        <f>COUNTIF(Concerns, "*"&amp;Table2[[#This Row],[Table 2: Concerns Values Unique]]&amp;"*")</f>
        <v>1</v>
      </c>
      <c r="C191" s="32">
        <f>Table2[[#This Row],[Count]]/SUM(Table2[Count])</f>
        <v>3.6900369003690036E-3</v>
      </c>
      <c r="E191" t="s">
        <v>404</v>
      </c>
      <c r="F191">
        <f>COUNTIF(Possible_Solutions, "*"&amp;Table3[[#This Row],[Table 3: Possible Solutions Values Unique]]&amp;"*")</f>
        <v>1</v>
      </c>
      <c r="G191" s="32">
        <f>Table3[[#This Row],[Count]]/SUM(Table3[Count])</f>
        <v>4.0816326530612249E-3</v>
      </c>
    </row>
    <row r="192" spans="1:7" x14ac:dyDescent="0.25">
      <c r="A192" s="1" t="s">
        <v>302</v>
      </c>
      <c r="B192">
        <f>COUNTIF(Concerns, "*"&amp;Table2[[#This Row],[Table 2: Concerns Values Unique]]&amp;"*")</f>
        <v>1</v>
      </c>
      <c r="C192" s="32">
        <f>Table2[[#This Row],[Count]]/SUM(Table2[Count])</f>
        <v>3.6900369003690036E-3</v>
      </c>
      <c r="E192" t="s">
        <v>542</v>
      </c>
      <c r="F192">
        <f>COUNTIF(Possible_Solutions, "*"&amp;Table3[[#This Row],[Table 3: Possible Solutions Values Unique]]&amp;"*")</f>
        <v>1</v>
      </c>
      <c r="G192" s="32">
        <f>Table3[[#This Row],[Count]]/SUM(Table3[Count])</f>
        <v>4.0816326530612249E-3</v>
      </c>
    </row>
    <row r="193" spans="1:7" x14ac:dyDescent="0.25">
      <c r="A193" s="1" t="s">
        <v>303</v>
      </c>
      <c r="B193">
        <f>COUNTIF(Concerns, "*"&amp;Table2[[#This Row],[Table 2: Concerns Values Unique]]&amp;"*")</f>
        <v>1</v>
      </c>
      <c r="C193" s="32">
        <f>Table2[[#This Row],[Count]]/SUM(Table2[Count])</f>
        <v>3.6900369003690036E-3</v>
      </c>
      <c r="E193" t="s">
        <v>447</v>
      </c>
      <c r="F193">
        <f>COUNTIF(Possible_Solutions, "*"&amp;Table3[[#This Row],[Table 3: Possible Solutions Values Unique]]&amp;"*")</f>
        <v>1</v>
      </c>
      <c r="G193" s="32">
        <f>Table3[[#This Row],[Count]]/SUM(Table3[Count])</f>
        <v>4.0816326530612249E-3</v>
      </c>
    </row>
    <row r="194" spans="1:7" x14ac:dyDescent="0.25">
      <c r="A194" s="1" t="s">
        <v>304</v>
      </c>
      <c r="B194">
        <f>COUNTIF(Concerns, "*"&amp;Table2[[#This Row],[Table 2: Concerns Values Unique]]&amp;"*")</f>
        <v>1</v>
      </c>
      <c r="C194" s="32">
        <f>Table2[[#This Row],[Count]]/SUM(Table2[Count])</f>
        <v>3.6900369003690036E-3</v>
      </c>
      <c r="E194" t="s">
        <v>544</v>
      </c>
      <c r="F194">
        <f>COUNTIF(Possible_Solutions, "*"&amp;Table3[[#This Row],[Table 3: Possible Solutions Values Unique]]&amp;"*")</f>
        <v>1</v>
      </c>
      <c r="G194" s="32">
        <f>Table3[[#This Row],[Count]]/SUM(Table3[Count])</f>
        <v>4.0816326530612249E-3</v>
      </c>
    </row>
    <row r="195" spans="1:7" x14ac:dyDescent="0.25">
      <c r="A195" s="1" t="s">
        <v>305</v>
      </c>
      <c r="B195">
        <f>COUNTIF(Concerns, "*"&amp;Table2[[#This Row],[Table 2: Concerns Values Unique]]&amp;"*")</f>
        <v>1</v>
      </c>
      <c r="C195" s="32">
        <f>Table2[[#This Row],[Count]]/SUM(Table2[Count])</f>
        <v>3.6900369003690036E-3</v>
      </c>
      <c r="E195" t="s">
        <v>571</v>
      </c>
      <c r="F195">
        <f>COUNTIF(Possible_Solutions, "*"&amp;Table3[[#This Row],[Table 3: Possible Solutions Values Unique]]&amp;"*")</f>
        <v>1</v>
      </c>
      <c r="G195" s="32">
        <f>Table3[[#This Row],[Count]]/SUM(Table3[Count])</f>
        <v>4.0816326530612249E-3</v>
      </c>
    </row>
    <row r="196" spans="1:7" x14ac:dyDescent="0.25">
      <c r="A196" s="1" t="s">
        <v>306</v>
      </c>
      <c r="B196">
        <f>COUNTIF(Concerns, "*"&amp;Table2[[#This Row],[Table 2: Concerns Values Unique]]&amp;"*")</f>
        <v>1</v>
      </c>
      <c r="C196" s="32">
        <f>Table2[[#This Row],[Count]]/SUM(Table2[Count])</f>
        <v>3.6900369003690036E-3</v>
      </c>
      <c r="E196" t="s">
        <v>384</v>
      </c>
      <c r="F196">
        <f>COUNTIF(Possible_Solutions, "*"&amp;Table3[[#This Row],[Table 3: Possible Solutions Values Unique]]&amp;"*")</f>
        <v>1</v>
      </c>
      <c r="G196" s="32">
        <f>Table3[[#This Row],[Count]]/SUM(Table3[Count])</f>
        <v>4.0816326530612249E-3</v>
      </c>
    </row>
    <row r="197" spans="1:7" x14ac:dyDescent="0.25">
      <c r="A197" s="1" t="s">
        <v>307</v>
      </c>
      <c r="B197">
        <f>COUNTIF(Concerns, "*"&amp;Table2[[#This Row],[Table 2: Concerns Values Unique]]&amp;"*")</f>
        <v>1</v>
      </c>
      <c r="C197" s="32">
        <f>Table2[[#This Row],[Count]]/SUM(Table2[Count])</f>
        <v>3.6900369003690036E-3</v>
      </c>
      <c r="E197" t="s">
        <v>429</v>
      </c>
      <c r="F197">
        <f>COUNTIF(Possible_Solutions, "*"&amp;Table3[[#This Row],[Table 3: Possible Solutions Values Unique]]&amp;"*")</f>
        <v>1</v>
      </c>
      <c r="G197" s="32">
        <f>Table3[[#This Row],[Count]]/SUM(Table3[Count])</f>
        <v>4.0816326530612249E-3</v>
      </c>
    </row>
    <row r="198" spans="1:7" x14ac:dyDescent="0.25">
      <c r="A198" s="1" t="s">
        <v>308</v>
      </c>
      <c r="B198">
        <f>COUNTIF(Concerns, "*"&amp;Table2[[#This Row],[Table 2: Concerns Values Unique]]&amp;"*")</f>
        <v>1</v>
      </c>
      <c r="C198" s="32">
        <f>Table2[[#This Row],[Count]]/SUM(Table2[Count])</f>
        <v>3.6900369003690036E-3</v>
      </c>
      <c r="E198" t="s">
        <v>564</v>
      </c>
      <c r="F198">
        <f>COUNTIF(Possible_Solutions, "*"&amp;Table3[[#This Row],[Table 3: Possible Solutions Values Unique]]&amp;"*")</f>
        <v>1</v>
      </c>
      <c r="G198" s="32">
        <f>Table3[[#This Row],[Count]]/SUM(Table3[Count])</f>
        <v>4.0816326530612249E-3</v>
      </c>
    </row>
    <row r="199" spans="1:7" x14ac:dyDescent="0.25">
      <c r="A199" s="1" t="s">
        <v>309</v>
      </c>
      <c r="B199">
        <f>COUNTIF(Concerns, "*"&amp;Table2[[#This Row],[Table 2: Concerns Values Unique]]&amp;"*")</f>
        <v>1</v>
      </c>
      <c r="C199" s="32">
        <f>Table2[[#This Row],[Count]]/SUM(Table2[Count])</f>
        <v>3.6900369003690036E-3</v>
      </c>
      <c r="E199" t="s">
        <v>557</v>
      </c>
      <c r="F199">
        <f>COUNTIF(Possible_Solutions, "*"&amp;Table3[[#This Row],[Table 3: Possible Solutions Values Unique]]&amp;"*")</f>
        <v>1</v>
      </c>
      <c r="G199" s="32">
        <f>Table3[[#This Row],[Count]]/SUM(Table3[Count])</f>
        <v>4.0816326530612249E-3</v>
      </c>
    </row>
    <row r="200" spans="1:7" x14ac:dyDescent="0.25">
      <c r="A200" s="1" t="s">
        <v>310</v>
      </c>
      <c r="B200">
        <f>COUNTIF(Concerns, "*"&amp;Table2[[#This Row],[Table 2: Concerns Values Unique]]&amp;"*")</f>
        <v>1</v>
      </c>
      <c r="C200" s="32">
        <f>Table2[[#This Row],[Count]]/SUM(Table2[Count])</f>
        <v>3.6900369003690036E-3</v>
      </c>
      <c r="E200" t="s">
        <v>543</v>
      </c>
      <c r="F200">
        <f>COUNTIF(Possible_Solutions, "*"&amp;Table3[[#This Row],[Table 3: Possible Solutions Values Unique]]&amp;"*")</f>
        <v>1</v>
      </c>
      <c r="G200" s="32">
        <f>Table3[[#This Row],[Count]]/SUM(Table3[Count])</f>
        <v>4.0816326530612249E-3</v>
      </c>
    </row>
    <row r="201" spans="1:7" x14ac:dyDescent="0.25">
      <c r="A201" s="1" t="s">
        <v>312</v>
      </c>
      <c r="B201">
        <f>COUNTIF(Concerns, "*"&amp;Table2[[#This Row],[Table 2: Concerns Values Unique]]&amp;"*")</f>
        <v>1</v>
      </c>
      <c r="C201" s="32">
        <f>Table2[[#This Row],[Count]]/SUM(Table2[Count])</f>
        <v>3.6900369003690036E-3</v>
      </c>
      <c r="E201" t="s">
        <v>523</v>
      </c>
      <c r="F201">
        <f>COUNTIF(Possible_Solutions, "*"&amp;Table3[[#This Row],[Table 3: Possible Solutions Values Unique]]&amp;"*")</f>
        <v>1</v>
      </c>
      <c r="G201" s="32">
        <f>Table3[[#This Row],[Count]]/SUM(Table3[Count])</f>
        <v>4.0816326530612249E-3</v>
      </c>
    </row>
    <row r="202" spans="1:7" x14ac:dyDescent="0.25">
      <c r="A202" s="1" t="s">
        <v>313</v>
      </c>
      <c r="B202">
        <f>COUNTIF(Concerns, "*"&amp;Table2[[#This Row],[Table 2: Concerns Values Unique]]&amp;"*")</f>
        <v>1</v>
      </c>
      <c r="C202" s="32">
        <f>Table2[[#This Row],[Count]]/SUM(Table2[Count])</f>
        <v>3.6900369003690036E-3</v>
      </c>
      <c r="E202" t="s">
        <v>393</v>
      </c>
      <c r="F202">
        <f>COUNTIF(Possible_Solutions, "*"&amp;Table3[[#This Row],[Table 3: Possible Solutions Values Unique]]&amp;"*")</f>
        <v>1</v>
      </c>
      <c r="G202" s="32">
        <f>Table3[[#This Row],[Count]]/SUM(Table3[Count])</f>
        <v>4.0816326530612249E-3</v>
      </c>
    </row>
    <row r="203" spans="1:7" x14ac:dyDescent="0.25">
      <c r="A203" s="1" t="s">
        <v>314</v>
      </c>
      <c r="B203">
        <f>COUNTIF(Concerns, "*"&amp;Table2[[#This Row],[Table 2: Concerns Values Unique]]&amp;"*")</f>
        <v>1</v>
      </c>
      <c r="C203" s="32">
        <f>Table2[[#This Row],[Count]]/SUM(Table2[Count])</f>
        <v>3.6900369003690036E-3</v>
      </c>
      <c r="E203" t="s">
        <v>565</v>
      </c>
      <c r="F203">
        <f>COUNTIF(Possible_Solutions, "*"&amp;Table3[[#This Row],[Table 3: Possible Solutions Values Unique]]&amp;"*")</f>
        <v>1</v>
      </c>
      <c r="G203" s="32">
        <f>Table3[[#This Row],[Count]]/SUM(Table3[Count])</f>
        <v>4.0816326530612249E-3</v>
      </c>
    </row>
    <row r="204" spans="1:7" x14ac:dyDescent="0.25">
      <c r="A204" s="1" t="s">
        <v>315</v>
      </c>
      <c r="B204">
        <f>COUNTIF(Concerns, "*"&amp;Table2[[#This Row],[Table 2: Concerns Values Unique]]&amp;"*")</f>
        <v>1</v>
      </c>
      <c r="C204" s="32">
        <f>Table2[[#This Row],[Count]]/SUM(Table2[Count])</f>
        <v>3.6900369003690036E-3</v>
      </c>
      <c r="E204" t="s">
        <v>519</v>
      </c>
      <c r="F204" s="65">
        <f>COUNTIF(Possible_Solutions, "*"&amp;Table3[[#This Row],[Table 3: Possible Solutions Values Unique]]&amp;"*")</f>
        <v>1</v>
      </c>
      <c r="G204" s="66">
        <f>Table3[[#This Row],[Count]]/SUM(Table3[Count])</f>
        <v>4.0816326530612249E-3</v>
      </c>
    </row>
    <row r="205" spans="1:7" x14ac:dyDescent="0.25">
      <c r="A205" s="1" t="s">
        <v>317</v>
      </c>
      <c r="B205">
        <f>COUNTIF(Concerns, "*"&amp;Table2[[#This Row],[Table 2: Concerns Values Unique]]&amp;"*")</f>
        <v>1</v>
      </c>
      <c r="C205" s="32">
        <f>Table2[[#This Row],[Count]]/SUM(Table2[Count])</f>
        <v>3.6900369003690036E-3</v>
      </c>
      <c r="E205" t="s">
        <v>538</v>
      </c>
      <c r="F205" s="65">
        <f>COUNTIF(Possible_Solutions, "*"&amp;Table3[[#This Row],[Table 3: Possible Solutions Values Unique]]&amp;"*")</f>
        <v>1</v>
      </c>
      <c r="G205" s="66">
        <f>Table3[[#This Row],[Count]]/SUM(Table3[Count])</f>
        <v>4.0816326530612249E-3</v>
      </c>
    </row>
    <row r="206" spans="1:7" x14ac:dyDescent="0.25">
      <c r="A206" s="1" t="s">
        <v>318</v>
      </c>
      <c r="B206">
        <f>COUNTIF(Concerns, "*"&amp;Table2[[#This Row],[Table 2: Concerns Values Unique]]&amp;"*")</f>
        <v>1</v>
      </c>
      <c r="C206" s="32">
        <f>Table2[[#This Row],[Count]]/SUM(Table2[Count])</f>
        <v>3.6900369003690036E-3</v>
      </c>
      <c r="E206" t="s">
        <v>374</v>
      </c>
      <c r="F206" s="65">
        <f>COUNTIF(Possible_Solutions, "*"&amp;Table3[[#This Row],[Table 3: Possible Solutions Values Unique]]&amp;"*")</f>
        <v>1</v>
      </c>
      <c r="G206" s="66">
        <f>Table3[[#This Row],[Count]]/SUM(Table3[Count])</f>
        <v>4.0816326530612249E-3</v>
      </c>
    </row>
    <row r="207" spans="1:7" x14ac:dyDescent="0.25">
      <c r="A207" s="1" t="s">
        <v>319</v>
      </c>
      <c r="B207">
        <f>COUNTIF(Concerns, "*"&amp;Table2[[#This Row],[Table 2: Concerns Values Unique]]&amp;"*")</f>
        <v>1</v>
      </c>
      <c r="C207" s="32">
        <f>Table2[[#This Row],[Count]]/SUM(Table2[Count])</f>
        <v>3.6900369003690036E-3</v>
      </c>
      <c r="E207" t="s">
        <v>438</v>
      </c>
      <c r="F207" s="65">
        <f>COUNTIF(Possible_Solutions, "*"&amp;Table3[[#This Row],[Table 3: Possible Solutions Values Unique]]&amp;"*")</f>
        <v>1</v>
      </c>
      <c r="G207" s="66">
        <f>Table3[[#This Row],[Count]]/SUM(Table3[Count])</f>
        <v>4.0816326530612249E-3</v>
      </c>
    </row>
    <row r="208" spans="1:7" x14ac:dyDescent="0.25">
      <c r="A208" s="1" t="s">
        <v>320</v>
      </c>
      <c r="B208">
        <f>COUNTIF(Concerns, "*"&amp;Table2[[#This Row],[Table 2: Concerns Values Unique]]&amp;"*")</f>
        <v>1</v>
      </c>
      <c r="C208" s="32">
        <f>Table2[[#This Row],[Count]]/SUM(Table2[Count])</f>
        <v>3.6900369003690036E-3</v>
      </c>
      <c r="E208" t="s">
        <v>474</v>
      </c>
      <c r="F208" s="65">
        <f>COUNTIF(Possible_Solutions, "*"&amp;Table3[[#This Row],[Table 3: Possible Solutions Values Unique]]&amp;"*")</f>
        <v>1</v>
      </c>
      <c r="G208" s="66">
        <f>Table3[[#This Row],[Count]]/SUM(Table3[Count])</f>
        <v>4.0816326530612249E-3</v>
      </c>
    </row>
    <row r="209" spans="1:8" x14ac:dyDescent="0.25">
      <c r="A209" s="1" t="s">
        <v>321</v>
      </c>
      <c r="B209">
        <f>COUNTIF(Concerns, "*"&amp;Table2[[#This Row],[Table 2: Concerns Values Unique]]&amp;"*")</f>
        <v>1</v>
      </c>
      <c r="C209" s="32">
        <f>Table2[[#This Row],[Count]]/SUM(Table2[Count])</f>
        <v>3.6900369003690036E-3</v>
      </c>
    </row>
    <row r="210" spans="1:8" x14ac:dyDescent="0.25">
      <c r="A210" s="1" t="s">
        <v>322</v>
      </c>
      <c r="B210">
        <f>COUNTIF(Concerns, "*"&amp;Table2[[#This Row],[Table 2: Concerns Values Unique]]&amp;"*")</f>
        <v>1</v>
      </c>
      <c r="C210" s="32">
        <f>Table2[[#This Row],[Count]]/SUM(Table2[Count])</f>
        <v>3.6900369003690036E-3</v>
      </c>
    </row>
    <row r="211" spans="1:8" x14ac:dyDescent="0.25">
      <c r="A211" s="1" t="s">
        <v>325</v>
      </c>
      <c r="B211">
        <f>COUNTIF(Concerns, "*"&amp;Table2[[#This Row],[Table 2: Concerns Values Unique]]&amp;"*")</f>
        <v>1</v>
      </c>
      <c r="C211" s="32">
        <f>Table2[[#This Row],[Count]]/SUM(Table2[Count])</f>
        <v>3.6900369003690036E-3</v>
      </c>
    </row>
    <row r="212" spans="1:8" x14ac:dyDescent="0.25">
      <c r="A212" s="1" t="s">
        <v>326</v>
      </c>
      <c r="B212">
        <f>COUNTIF(Concerns, "*"&amp;Table2[[#This Row],[Table 2: Concerns Values Unique]]&amp;"*")</f>
        <v>1</v>
      </c>
      <c r="C212" s="32">
        <f>Table2[[#This Row],[Count]]/SUM(Table2[Count])</f>
        <v>3.6900369003690036E-3</v>
      </c>
    </row>
    <row r="213" spans="1:8" x14ac:dyDescent="0.25">
      <c r="A213" s="1" t="s">
        <v>327</v>
      </c>
      <c r="B213">
        <f>COUNTIF(Concerns, "*"&amp;Table2[[#This Row],[Table 2: Concerns Values Unique]]&amp;"*")</f>
        <v>1</v>
      </c>
      <c r="C213" s="32">
        <f>Table2[[#This Row],[Count]]/SUM(Table2[Count])</f>
        <v>3.6900369003690036E-3</v>
      </c>
    </row>
    <row r="214" spans="1:8" x14ac:dyDescent="0.25">
      <c r="A214" s="1" t="s">
        <v>328</v>
      </c>
      <c r="B214">
        <f>COUNTIF(Concerns, "*"&amp;Table2[[#This Row],[Table 2: Concerns Values Unique]]&amp;"*")</f>
        <v>1</v>
      </c>
      <c r="C214" s="32">
        <f>Table2[[#This Row],[Count]]/SUM(Table2[Count])</f>
        <v>3.6900369003690036E-3</v>
      </c>
    </row>
    <row r="215" spans="1:8" x14ac:dyDescent="0.25">
      <c r="A215" s="1" t="s">
        <v>329</v>
      </c>
      <c r="B215">
        <f>COUNTIF(Concerns, "*"&amp;Table2[[#This Row],[Table 2: Concerns Values Unique]]&amp;"*")</f>
        <v>1</v>
      </c>
      <c r="C215" s="32">
        <f>Table2[[#This Row],[Count]]/SUM(Table2[Count])</f>
        <v>3.6900369003690036E-3</v>
      </c>
    </row>
    <row r="220" spans="1:8" x14ac:dyDescent="0.25">
      <c r="H220" s="4"/>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sheetData>
  <conditionalFormatting sqref="J3:J23">
    <cfRule type="colorScale" priority="6">
      <colorScale>
        <cfvo type="min"/>
        <cfvo type="max"/>
        <color rgb="FFFCFCFF"/>
        <color rgb="FFF8696B"/>
      </colorScale>
    </cfRule>
    <cfRule type="colorScale" priority="10">
      <colorScale>
        <cfvo type="min"/>
        <cfvo type="percentile" val="50"/>
        <cfvo type="max"/>
        <color rgb="FF63BE7B"/>
        <color rgb="FFFFEB84"/>
        <color rgb="FFF8696B"/>
      </colorScale>
    </cfRule>
  </conditionalFormatting>
  <conditionalFormatting sqref="F3:G208">
    <cfRule type="colorScale" priority="7">
      <colorScale>
        <cfvo type="min"/>
        <cfvo type="max"/>
        <color rgb="FFFCFCFF"/>
        <color rgb="FFF8696B"/>
      </colorScale>
    </cfRule>
    <cfRule type="colorScale" priority="8">
      <colorScale>
        <cfvo type="min"/>
        <cfvo type="percentile" val="50"/>
        <cfvo type="max"/>
        <color rgb="FFF8696B"/>
        <color rgb="FFFFEB84"/>
        <color rgb="FF63BE7B"/>
      </colorScale>
    </cfRule>
  </conditionalFormatting>
  <conditionalFormatting sqref="G3:G208">
    <cfRule type="colorScale" priority="4">
      <colorScale>
        <cfvo type="min"/>
        <cfvo type="max"/>
        <color rgb="FFFCFCFF"/>
        <color rgb="FFF8696B"/>
      </colorScale>
    </cfRule>
  </conditionalFormatting>
  <conditionalFormatting sqref="K3:K23">
    <cfRule type="colorScale" priority="2">
      <colorScale>
        <cfvo type="min"/>
        <cfvo type="max"/>
        <color rgb="FFFCFCFF"/>
        <color rgb="FFF8696B"/>
      </colorScale>
    </cfRule>
  </conditionalFormatting>
  <conditionalFormatting sqref="C3:C215">
    <cfRule type="colorScale" priority="1">
      <colorScale>
        <cfvo type="min"/>
        <cfvo type="max"/>
        <color rgb="FFFCFCFF"/>
        <color rgb="FFF8696B"/>
      </colorScale>
    </cfRule>
    <cfRule type="colorScale" priority="23">
      <colorScale>
        <cfvo type="min"/>
        <cfvo type="percentile" val="50"/>
        <cfvo type="max"/>
        <color rgb="FF63BE7B"/>
        <color rgb="FFFFEB84"/>
        <color rgb="FFF8696B"/>
      </colorScale>
    </cfRule>
  </conditionalFormatting>
  <conditionalFormatting sqref="B3:C215">
    <cfRule type="colorScale" priority="26">
      <colorScale>
        <cfvo type="min"/>
        <cfvo type="percentile" val="50"/>
        <cfvo type="max"/>
        <color rgb="FF63BE7B"/>
        <color rgb="FFFCFCFF"/>
        <color rgb="FFF8696B"/>
      </colorScale>
    </cfRule>
    <cfRule type="colorScale" priority="27">
      <colorScale>
        <cfvo type="min"/>
        <cfvo type="max"/>
        <color rgb="FFF8696B"/>
        <color rgb="FFFCFCFF"/>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opyPossibleSolutionsUniqueValues">
                <anchor moveWithCells="1" sizeWithCells="1">
                  <from>
                    <xdr:col>4</xdr:col>
                    <xdr:colOff>28575</xdr:colOff>
                    <xdr:row>0</xdr:row>
                    <xdr:rowOff>47625</xdr:rowOff>
                  </from>
                  <to>
                    <xdr:col>6</xdr:col>
                    <xdr:colOff>723900</xdr:colOff>
                    <xdr:row>0</xdr:row>
                    <xdr:rowOff>314325</xdr:rowOff>
                  </to>
                </anchor>
              </controlPr>
            </control>
          </mc:Choice>
        </mc:AlternateContent>
        <mc:AlternateContent xmlns:mc="http://schemas.openxmlformats.org/markup-compatibility/2006">
          <mc:Choice Requires="x14">
            <control shapeId="3074" r:id="rId4" name="Button 2">
              <controlPr defaultSize="0" print="0" autoFill="0" autoPict="0" macro="[0]!CopyOraganizationalValuesUniqueValues">
                <anchor moveWithCells="1" sizeWithCells="1">
                  <from>
                    <xdr:col>8</xdr:col>
                    <xdr:colOff>28575</xdr:colOff>
                    <xdr:row>0</xdr:row>
                    <xdr:rowOff>47625</xdr:rowOff>
                  </from>
                  <to>
                    <xdr:col>11</xdr:col>
                    <xdr:colOff>9525</xdr:colOff>
                    <xdr:row>0</xdr:row>
                    <xdr:rowOff>314325</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FEA-55D4-48C7-8102-B4EE83A8F6B1}">
  <sheetPr codeName="Sheet3"/>
  <dimension ref="A1:F216"/>
  <sheetViews>
    <sheetView workbookViewId="0">
      <selection activeCell="D2" sqref="D2:F24"/>
    </sheetView>
  </sheetViews>
  <sheetFormatPr defaultRowHeight="15" x14ac:dyDescent="0.25"/>
  <cols>
    <col min="1" max="1" width="46.28515625" bestFit="1" customWidth="1"/>
    <col min="2" max="2" width="46" bestFit="1" customWidth="1"/>
    <col min="4" max="4" width="46" bestFit="1" customWidth="1"/>
    <col min="5" max="5" width="12" customWidth="1"/>
    <col min="6" max="6" width="13.28515625" customWidth="1"/>
  </cols>
  <sheetData>
    <row r="1" spans="1:6" ht="45.75" customHeight="1" x14ac:dyDescent="0.25"/>
    <row r="2" spans="1:6" x14ac:dyDescent="0.25">
      <c r="A2" s="61" t="s">
        <v>745</v>
      </c>
      <c r="B2" s="61"/>
      <c r="D2" s="61" t="s">
        <v>746</v>
      </c>
      <c r="E2" s="61"/>
      <c r="F2" s="61"/>
    </row>
    <row r="3" spans="1:6" x14ac:dyDescent="0.25">
      <c r="A3" s="35" t="s">
        <v>839</v>
      </c>
      <c r="B3" s="35" t="s">
        <v>8</v>
      </c>
      <c r="D3" t="s">
        <v>747</v>
      </c>
      <c r="E3" s="35" t="s">
        <v>4</v>
      </c>
      <c r="F3" s="35" t="s">
        <v>723</v>
      </c>
    </row>
    <row r="4" spans="1:6" x14ac:dyDescent="0.25">
      <c r="A4" t="str">
        <f>VLOOKUP(Table5[[#This Row],[Concerns]],Table1[],2,FALSE)</f>
        <v>Business Alignment</v>
      </c>
      <c r="B4" t="s">
        <v>151</v>
      </c>
      <c r="D4" t="s">
        <v>727</v>
      </c>
      <c r="E4" s="65">
        <f>COUNTIF(Table5[Themes (Organizational Values)], "*"&amp;Table6[[#This Row],[Themes Unique]]&amp;"*")</f>
        <v>20</v>
      </c>
      <c r="F4" s="32">
        <f>Table6[[#This Row],[Count]]/SUM(Table6[Count])</f>
        <v>9.3896713615023469E-2</v>
      </c>
    </row>
    <row r="5" spans="1:6" x14ac:dyDescent="0.25">
      <c r="A5" t="str">
        <f>VLOOKUP(Table5[[#This Row],[Concerns]],Table1[],2,FALSE)</f>
        <v>Business Alignment</v>
      </c>
      <c r="B5" t="s">
        <v>168</v>
      </c>
      <c r="D5" t="s">
        <v>729</v>
      </c>
      <c r="E5" s="65">
        <f>COUNTIF(Table5[Themes (Organizational Values)], "*"&amp;Table6[[#This Row],[Themes Unique]]&amp;"*")</f>
        <v>19</v>
      </c>
      <c r="F5" s="32">
        <f>Table6[[#This Row],[Count]]/SUM(Table6[Count])</f>
        <v>8.9201877934272297E-2</v>
      </c>
    </row>
    <row r="6" spans="1:6" x14ac:dyDescent="0.25">
      <c r="A6" t="str">
        <f>VLOOKUP(Table5[[#This Row],[Concerns]],Table1[],2,FALSE)</f>
        <v>Business Alignment</v>
      </c>
      <c r="B6" t="s">
        <v>166</v>
      </c>
      <c r="D6" t="s">
        <v>738</v>
      </c>
      <c r="E6" s="65">
        <f>COUNTIF(Table5[Themes (Organizational Values)], "*"&amp;Table6[[#This Row],[Themes Unique]]&amp;"*")</f>
        <v>17</v>
      </c>
      <c r="F6" s="32">
        <f>Table6[[#This Row],[Count]]/SUM(Table6[Count])</f>
        <v>7.9812206572769953E-2</v>
      </c>
    </row>
    <row r="7" spans="1:6" x14ac:dyDescent="0.25">
      <c r="A7" t="str">
        <f>VLOOKUP(Table5[[#This Row],[Concerns]],Table1[],2,FALSE)</f>
        <v>Business Alignment</v>
      </c>
      <c r="B7" t="s">
        <v>209</v>
      </c>
      <c r="D7" t="s">
        <v>732</v>
      </c>
      <c r="E7" s="65">
        <f>COUNTIF(Table5[Themes (Organizational Values)], "*"&amp;Table6[[#This Row],[Themes Unique]]&amp;"*")</f>
        <v>16</v>
      </c>
      <c r="F7" s="32">
        <f>Table6[[#This Row],[Count]]/SUM(Table6[Count])</f>
        <v>7.5117370892018781E-2</v>
      </c>
    </row>
    <row r="8" spans="1:6" x14ac:dyDescent="0.25">
      <c r="A8" t="str">
        <f>VLOOKUP(Table5[[#This Row],[Concerns]],Table1[],2,FALSE)</f>
        <v>Business Alignment</v>
      </c>
      <c r="B8" t="s">
        <v>211</v>
      </c>
      <c r="D8" t="s">
        <v>728</v>
      </c>
      <c r="E8">
        <f>COUNTIF(Table5[Themes (Organizational Values)], "*"&amp;Table6[[#This Row],[Themes Unique]]&amp;"*")</f>
        <v>15</v>
      </c>
      <c r="F8" s="32">
        <f>Table6[[#This Row],[Count]]/SUM(Table6[Count])</f>
        <v>7.0422535211267609E-2</v>
      </c>
    </row>
    <row r="9" spans="1:6" x14ac:dyDescent="0.25">
      <c r="A9" t="str">
        <f>VLOOKUP(Table5[[#This Row],[Concerns]],Table1[],2,FALSE)</f>
        <v>Business Alignment</v>
      </c>
      <c r="B9" t="s">
        <v>230</v>
      </c>
      <c r="D9" t="s">
        <v>733</v>
      </c>
      <c r="E9" s="65">
        <f>COUNTIF(Table5[Themes (Organizational Values)], "*"&amp;Table6[[#This Row],[Themes Unique]]&amp;"*")</f>
        <v>15</v>
      </c>
      <c r="F9" s="32">
        <f>Table6[[#This Row],[Count]]/SUM(Table6[Count])</f>
        <v>7.0422535211267609E-2</v>
      </c>
    </row>
    <row r="10" spans="1:6" x14ac:dyDescent="0.25">
      <c r="A10" t="str">
        <f>VLOOKUP(Table5[[#This Row],[Concerns]],Table1[],2,FALSE)</f>
        <v>Business Alignment</v>
      </c>
      <c r="B10" t="s">
        <v>235</v>
      </c>
      <c r="D10" t="s">
        <v>726</v>
      </c>
      <c r="E10">
        <f>COUNTIF(Table5[Themes (Organizational Values)], "*"&amp;Table6[[#This Row],[Themes Unique]]&amp;"*")</f>
        <v>14</v>
      </c>
      <c r="F10" s="32">
        <f>Table6[[#This Row],[Count]]/SUM(Table6[Count])</f>
        <v>6.5727699530516437E-2</v>
      </c>
    </row>
    <row r="11" spans="1:6" x14ac:dyDescent="0.25">
      <c r="A11" t="str">
        <f>VLOOKUP(Table5[[#This Row],[Concerns]],Table1[],2,FALSE)</f>
        <v>Business Alignment</v>
      </c>
      <c r="B11" t="s">
        <v>249</v>
      </c>
      <c r="D11" t="s">
        <v>731</v>
      </c>
      <c r="E11" s="65">
        <f>COUNTIF(Table5[Themes (Organizational Values)], "*"&amp;Table6[[#This Row],[Themes Unique]]&amp;"*")</f>
        <v>13</v>
      </c>
      <c r="F11" s="32">
        <f>Table6[[#This Row],[Count]]/SUM(Table6[Count])</f>
        <v>6.1032863849765258E-2</v>
      </c>
    </row>
    <row r="12" spans="1:6" x14ac:dyDescent="0.25">
      <c r="A12" t="str">
        <f>VLOOKUP(Table5[[#This Row],[Concerns]],Table1[],2,FALSE)</f>
        <v>Business Alignment</v>
      </c>
      <c r="B12" t="s">
        <v>253</v>
      </c>
      <c r="D12" t="s">
        <v>725</v>
      </c>
      <c r="E12" s="65">
        <f>COUNTIF(Table5[Themes (Organizational Values)], "*"&amp;Table6[[#This Row],[Themes Unique]]&amp;"*")</f>
        <v>13</v>
      </c>
      <c r="F12" s="32">
        <f>Table6[[#This Row],[Count]]/SUM(Table6[Count])</f>
        <v>6.1032863849765258E-2</v>
      </c>
    </row>
    <row r="13" spans="1:6" x14ac:dyDescent="0.25">
      <c r="A13" t="str">
        <f>VLOOKUP(Table5[[#This Row],[Concerns]],Table1[],2,FALSE)</f>
        <v>Business Alignment</v>
      </c>
      <c r="B13" t="s">
        <v>272</v>
      </c>
      <c r="D13" t="s">
        <v>730</v>
      </c>
      <c r="E13" s="65">
        <f>COUNTIF(Table5[Themes (Organizational Values)], "*"&amp;Table6[[#This Row],[Themes Unique]]&amp;"*")</f>
        <v>9</v>
      </c>
      <c r="F13" s="32">
        <f>Table6[[#This Row],[Count]]/SUM(Table6[Count])</f>
        <v>4.2253521126760563E-2</v>
      </c>
    </row>
    <row r="14" spans="1:6" x14ac:dyDescent="0.25">
      <c r="A14" t="str">
        <f>VLOOKUP(Table5[[#This Row],[Concerns]],Table1[],2,FALSE)</f>
        <v>Business Alignment</v>
      </c>
      <c r="B14" t="s">
        <v>276</v>
      </c>
      <c r="D14" t="s">
        <v>743</v>
      </c>
      <c r="E14" s="65">
        <f>COUNTIF(Table5[Themes (Organizational Values)], "*"&amp;Table6[[#This Row],[Themes Unique]]&amp;"*")</f>
        <v>8</v>
      </c>
      <c r="F14" s="32">
        <f>Table6[[#This Row],[Count]]/SUM(Table6[Count])</f>
        <v>3.7558685446009391E-2</v>
      </c>
    </row>
    <row r="15" spans="1:6" x14ac:dyDescent="0.25">
      <c r="A15" t="str">
        <f>VLOOKUP(Table5[[#This Row],[Concerns]],Table1[],2,FALSE)</f>
        <v>Business Alignment</v>
      </c>
      <c r="B15" t="s">
        <v>284</v>
      </c>
      <c r="D15" t="s">
        <v>741</v>
      </c>
      <c r="E15" s="65">
        <f>COUNTIF(Table5[Themes (Organizational Values)], "*"&amp;Table6[[#This Row],[Themes Unique]]&amp;"*")</f>
        <v>7</v>
      </c>
      <c r="F15" s="32">
        <f>Table6[[#This Row],[Count]]/SUM(Table6[Count])</f>
        <v>3.2863849765258218E-2</v>
      </c>
    </row>
    <row r="16" spans="1:6" x14ac:dyDescent="0.25">
      <c r="A16" t="str">
        <f>VLOOKUP(Table5[[#This Row],[Concerns]],Table1[],2,FALSE)</f>
        <v>Business Alignment</v>
      </c>
      <c r="B16" t="s">
        <v>287</v>
      </c>
      <c r="D16" t="s">
        <v>737</v>
      </c>
      <c r="E16" s="65">
        <f>COUNTIF(Table5[Themes (Organizational Values)], "*"&amp;Table6[[#This Row],[Themes Unique]]&amp;"*")</f>
        <v>7</v>
      </c>
      <c r="F16" s="32">
        <f>Table6[[#This Row],[Count]]/SUM(Table6[Count])</f>
        <v>3.2863849765258218E-2</v>
      </c>
    </row>
    <row r="17" spans="1:6" x14ac:dyDescent="0.25">
      <c r="A17" t="str">
        <f>VLOOKUP(Table5[[#This Row],[Concerns]],Table1[],2,FALSE)</f>
        <v>Business Alignment</v>
      </c>
      <c r="B17" t="s">
        <v>289</v>
      </c>
      <c r="D17" t="s">
        <v>739</v>
      </c>
      <c r="E17" s="65">
        <f>COUNTIF(Table5[Themes (Organizational Values)], "*"&amp;Table6[[#This Row],[Themes Unique]]&amp;"*")</f>
        <v>7</v>
      </c>
      <c r="F17" s="32">
        <f>Table6[[#This Row],[Count]]/SUM(Table6[Count])</f>
        <v>3.2863849765258218E-2</v>
      </c>
    </row>
    <row r="18" spans="1:6" x14ac:dyDescent="0.25">
      <c r="A18" t="str">
        <f>VLOOKUP(Table5[[#This Row],[Concerns]],Table1[],2,FALSE)</f>
        <v>Business Alignment</v>
      </c>
      <c r="B18" t="s">
        <v>296</v>
      </c>
      <c r="D18" t="s">
        <v>753</v>
      </c>
      <c r="E18" s="65">
        <f>COUNTIF(Table5[Themes (Organizational Values)], "*"&amp;Table6[[#This Row],[Themes Unique]]&amp;"*")</f>
        <v>6</v>
      </c>
      <c r="F18" s="32">
        <f>Table6[[#This Row],[Count]]/SUM(Table6[Count])</f>
        <v>2.8169014084507043E-2</v>
      </c>
    </row>
    <row r="19" spans="1:6" x14ac:dyDescent="0.25">
      <c r="A19" t="str">
        <f>VLOOKUP(Table5[[#This Row],[Concerns]],Table1[],2,FALSE)</f>
        <v>Collaboration and Communication</v>
      </c>
      <c r="B19" t="s">
        <v>158</v>
      </c>
      <c r="D19" t="s">
        <v>740</v>
      </c>
      <c r="E19" s="65">
        <f>COUNTIF(Table5[Themes (Organizational Values)], "*"&amp;Table6[[#This Row],[Themes Unique]]&amp;"*")</f>
        <v>6</v>
      </c>
      <c r="F19" s="32">
        <f>Table6[[#This Row],[Count]]/SUM(Table6[Count])</f>
        <v>2.8169014084507043E-2</v>
      </c>
    </row>
    <row r="20" spans="1:6" x14ac:dyDescent="0.25">
      <c r="A20" t="str">
        <f>VLOOKUP(Table5[[#This Row],[Concerns]],Table1[],2,FALSE)</f>
        <v>Collaboration and Communication</v>
      </c>
      <c r="B20" t="s">
        <v>142</v>
      </c>
      <c r="D20" t="s">
        <v>734</v>
      </c>
      <c r="E20" s="65">
        <f>COUNTIF(Table5[Themes (Organizational Values)], "*"&amp;Table6[[#This Row],[Themes Unique]]&amp;"*")</f>
        <v>5</v>
      </c>
      <c r="F20" s="32">
        <f>Table6[[#This Row],[Count]]/SUM(Table6[Count])</f>
        <v>2.3474178403755867E-2</v>
      </c>
    </row>
    <row r="21" spans="1:6" x14ac:dyDescent="0.25">
      <c r="A21" t="str">
        <f>VLOOKUP(Table5[[#This Row],[Concerns]],Table1[],2,FALSE)</f>
        <v>Collaboration and Communication</v>
      </c>
      <c r="B21" t="s">
        <v>180</v>
      </c>
      <c r="D21" t="s">
        <v>744</v>
      </c>
      <c r="E21" s="65">
        <f>COUNTIF(Table5[Themes (Organizational Values)], "*"&amp;Table6[[#This Row],[Themes Unique]]&amp;"*")</f>
        <v>4</v>
      </c>
      <c r="F21" s="32">
        <f>Table6[[#This Row],[Count]]/SUM(Table6[Count])</f>
        <v>1.8779342723004695E-2</v>
      </c>
    </row>
    <row r="22" spans="1:6" x14ac:dyDescent="0.25">
      <c r="A22" t="str">
        <f>VLOOKUP(Table5[[#This Row],[Concerns]],Table1[],2,FALSE)</f>
        <v>Collaboration and Communication</v>
      </c>
      <c r="B22" t="s">
        <v>351</v>
      </c>
      <c r="D22" t="s">
        <v>736</v>
      </c>
      <c r="E22" s="65">
        <f>COUNTIF(Table5[Themes (Organizational Values)], "*"&amp;Table6[[#This Row],[Themes Unique]]&amp;"*")</f>
        <v>4</v>
      </c>
      <c r="F22" s="32">
        <f>Table6[[#This Row],[Count]]/SUM(Table6[Count])</f>
        <v>1.8779342723004695E-2</v>
      </c>
    </row>
    <row r="23" spans="1:6" x14ac:dyDescent="0.25">
      <c r="A23" t="str">
        <f>VLOOKUP(Table5[[#This Row],[Concerns]],Table1[],2,FALSE)</f>
        <v>Collaboration and Communication</v>
      </c>
      <c r="B23" t="s">
        <v>361</v>
      </c>
      <c r="D23" t="s">
        <v>735</v>
      </c>
      <c r="E23" s="65">
        <f>COUNTIF(Table5[Themes (Organizational Values)], "*"&amp;Table6[[#This Row],[Themes Unique]]&amp;"*")</f>
        <v>4</v>
      </c>
      <c r="F23" s="32">
        <f>Table6[[#This Row],[Count]]/SUM(Table6[Count])</f>
        <v>1.8779342723004695E-2</v>
      </c>
    </row>
    <row r="24" spans="1:6" x14ac:dyDescent="0.25">
      <c r="A24" t="str">
        <f>VLOOKUP(Table5[[#This Row],[Concerns]],Table1[],2,FALSE)</f>
        <v>Collaboration and Communication</v>
      </c>
      <c r="B24" t="s">
        <v>362</v>
      </c>
      <c r="D24" t="s">
        <v>742</v>
      </c>
      <c r="E24" s="65">
        <f>COUNTIF(Table5[Themes (Organizational Values)], "*"&amp;Table6[[#This Row],[Themes Unique]]&amp;"*")</f>
        <v>4</v>
      </c>
      <c r="F24" s="32">
        <f>Table6[[#This Row],[Count]]/SUM(Table6[Count])</f>
        <v>1.8779342723004695E-2</v>
      </c>
    </row>
    <row r="25" spans="1:6" x14ac:dyDescent="0.25">
      <c r="A25" t="str">
        <f>VLOOKUP(Table5[[#This Row],[Concerns]],Table1[],2,FALSE)</f>
        <v>Collaboration and Communication</v>
      </c>
      <c r="B25" t="s">
        <v>237</v>
      </c>
    </row>
    <row r="26" spans="1:6" x14ac:dyDescent="0.25">
      <c r="A26" t="str">
        <f>VLOOKUP(Table5[[#This Row],[Concerns]],Table1[],2,FALSE)</f>
        <v>Collaboration and Communication</v>
      </c>
      <c r="B26" t="s">
        <v>244</v>
      </c>
    </row>
    <row r="27" spans="1:6" x14ac:dyDescent="0.25">
      <c r="A27" t="str">
        <f>VLOOKUP(Table5[[#This Row],[Concerns]],Table1[],2,FALSE)</f>
        <v>Collaboration and Communication</v>
      </c>
      <c r="B27" t="s">
        <v>256</v>
      </c>
    </row>
    <row r="28" spans="1:6" x14ac:dyDescent="0.25">
      <c r="A28" t="str">
        <f>VLOOKUP(Table5[[#This Row],[Concerns]],Table1[],2,FALSE)</f>
        <v>Collaboration and Communication</v>
      </c>
      <c r="B28" t="s">
        <v>270</v>
      </c>
    </row>
    <row r="29" spans="1:6" x14ac:dyDescent="0.25">
      <c r="A29" t="str">
        <f>VLOOKUP(Table5[[#This Row],[Concerns]],Table1[],2,FALSE)</f>
        <v>Collaboration and Communication</v>
      </c>
      <c r="B29" t="s">
        <v>279</v>
      </c>
    </row>
    <row r="30" spans="1:6" x14ac:dyDescent="0.25">
      <c r="A30" t="str">
        <f>VLOOKUP(Table5[[#This Row],[Concerns]],Table1[],2,FALSE)</f>
        <v>Collaboration and Communication</v>
      </c>
      <c r="B30" t="s">
        <v>285</v>
      </c>
    </row>
    <row r="31" spans="1:6" x14ac:dyDescent="0.25">
      <c r="A31" t="str">
        <f>VLOOKUP(Table5[[#This Row],[Concerns]],Table1[],2,FALSE)</f>
        <v>Collaboration and Communication</v>
      </c>
      <c r="B31" t="s">
        <v>286</v>
      </c>
    </row>
    <row r="32" spans="1:6" x14ac:dyDescent="0.25">
      <c r="A32" t="str">
        <f>VLOOKUP(Table5[[#This Row],[Concerns]],Table1[],2,FALSE)</f>
        <v>Collaboration and Communication</v>
      </c>
      <c r="B32" t="s">
        <v>293</v>
      </c>
    </row>
    <row r="33" spans="1:2" x14ac:dyDescent="0.25">
      <c r="A33" t="str">
        <f>VLOOKUP(Table5[[#This Row],[Concerns]],Table1[],2,FALSE)</f>
        <v>Compliance and Governance</v>
      </c>
      <c r="B33" t="s">
        <v>144</v>
      </c>
    </row>
    <row r="34" spans="1:2" x14ac:dyDescent="0.25">
      <c r="A34" t="str">
        <f>VLOOKUP(Table5[[#This Row],[Concerns]],Table1[],2,FALSE)</f>
        <v>Compliance and Governance</v>
      </c>
      <c r="B34" t="s">
        <v>149</v>
      </c>
    </row>
    <row r="35" spans="1:2" x14ac:dyDescent="0.25">
      <c r="A35" t="str">
        <f>VLOOKUP(Table5[[#This Row],[Concerns]],Table1[],2,FALSE)</f>
        <v>Compliance and Governance</v>
      </c>
      <c r="B35" t="s">
        <v>154</v>
      </c>
    </row>
    <row r="36" spans="1:2" x14ac:dyDescent="0.25">
      <c r="A36" t="str">
        <f>VLOOKUP(Table5[[#This Row],[Concerns]],Table1[],2,FALSE)</f>
        <v>Compliance and Governance</v>
      </c>
      <c r="B36" t="s">
        <v>347</v>
      </c>
    </row>
    <row r="37" spans="1:2" x14ac:dyDescent="0.25">
      <c r="A37" t="str">
        <f>VLOOKUP(Table5[[#This Row],[Concerns]],Table1[],2,FALSE)</f>
        <v>Compliance and Governance</v>
      </c>
      <c r="B37" t="s">
        <v>186</v>
      </c>
    </row>
    <row r="38" spans="1:2" x14ac:dyDescent="0.25">
      <c r="A38" t="str">
        <f>VLOOKUP(Table5[[#This Row],[Concerns]],Table1[],2,FALSE)</f>
        <v>Compliance and Governance</v>
      </c>
      <c r="B38" t="s">
        <v>349</v>
      </c>
    </row>
    <row r="39" spans="1:2" x14ac:dyDescent="0.25">
      <c r="A39" t="str">
        <f>VLOOKUP(Table5[[#This Row],[Concerns]],Table1[],2,FALSE)</f>
        <v>Compliance and Governance</v>
      </c>
      <c r="B39" t="s">
        <v>189</v>
      </c>
    </row>
    <row r="40" spans="1:2" x14ac:dyDescent="0.25">
      <c r="A40" t="str">
        <f>VLOOKUP(Table5[[#This Row],[Concerns]],Table1[],2,FALSE)</f>
        <v>Compliance and Governance</v>
      </c>
      <c r="B40" t="s">
        <v>360</v>
      </c>
    </row>
    <row r="41" spans="1:2" x14ac:dyDescent="0.25">
      <c r="A41" t="str">
        <f>VLOOKUP(Table5[[#This Row],[Concerns]],Table1[],2,FALSE)</f>
        <v>Compliance and Governance</v>
      </c>
      <c r="B41" t="s">
        <v>243</v>
      </c>
    </row>
    <row r="42" spans="1:2" x14ac:dyDescent="0.25">
      <c r="A42" t="str">
        <f>VLOOKUP(Table5[[#This Row],[Concerns]],Table1[],2,FALSE)</f>
        <v>Compliance and Governance</v>
      </c>
      <c r="B42" t="s">
        <v>259</v>
      </c>
    </row>
    <row r="43" spans="1:2" x14ac:dyDescent="0.25">
      <c r="A43" t="str">
        <f>VLOOKUP(Table5[[#This Row],[Concerns]],Table1[],2,FALSE)</f>
        <v>Compliance and Governance</v>
      </c>
      <c r="B43" t="s">
        <v>273</v>
      </c>
    </row>
    <row r="44" spans="1:2" x14ac:dyDescent="0.25">
      <c r="A44" t="str">
        <f>VLOOKUP(Table5[[#This Row],[Concerns]],Table1[],2,FALSE)</f>
        <v>Compliance and Governance</v>
      </c>
      <c r="B44" t="s">
        <v>291</v>
      </c>
    </row>
    <row r="45" spans="1:2" x14ac:dyDescent="0.25">
      <c r="A45" t="str">
        <f>VLOOKUP(Table5[[#This Row],[Concerns]],Table1[],2,FALSE)</f>
        <v>Compliance and Governance</v>
      </c>
      <c r="B45" t="s">
        <v>297</v>
      </c>
    </row>
    <row r="46" spans="1:2" x14ac:dyDescent="0.25">
      <c r="A46" t="str">
        <f>VLOOKUP(Table5[[#This Row],[Concerns]],Table1[],2,FALSE)</f>
        <v>Compliance and Governance</v>
      </c>
      <c r="B46" t="s">
        <v>306</v>
      </c>
    </row>
    <row r="47" spans="1:2" x14ac:dyDescent="0.25">
      <c r="A47" t="str">
        <f>VLOOKUP(Table5[[#This Row],[Concerns]],Table1[],2,FALSE)</f>
        <v>Compliance and Governance</v>
      </c>
      <c r="B47" t="s">
        <v>307</v>
      </c>
    </row>
    <row r="48" spans="1:2" x14ac:dyDescent="0.25">
      <c r="A48" t="str">
        <f>VLOOKUP(Table5[[#This Row],[Concerns]],Table1[],2,FALSE)</f>
        <v>Consumer Experience and Support</v>
      </c>
      <c r="B48" t="s">
        <v>152</v>
      </c>
    </row>
    <row r="49" spans="1:2" x14ac:dyDescent="0.25">
      <c r="A49" t="str">
        <f>VLOOKUP(Table5[[#This Row],[Concerns]],Table1[],2,FALSE)</f>
        <v>Consumer Experience and Support</v>
      </c>
      <c r="B49" t="s">
        <v>352</v>
      </c>
    </row>
    <row r="50" spans="1:2" x14ac:dyDescent="0.25">
      <c r="A50" t="str">
        <f>VLOOKUP(Table5[[#This Row],[Concerns]],Table1[],2,FALSE)</f>
        <v>Consumer Experience and Support</v>
      </c>
      <c r="B50" t="s">
        <v>162</v>
      </c>
    </row>
    <row r="51" spans="1:2" x14ac:dyDescent="0.25">
      <c r="A51" t="str">
        <f>VLOOKUP(Table5[[#This Row],[Concerns]],Table1[],2,FALSE)</f>
        <v>Consumer Experience and Support</v>
      </c>
      <c r="B51" t="s">
        <v>178</v>
      </c>
    </row>
    <row r="52" spans="1:2" x14ac:dyDescent="0.25">
      <c r="A52" t="str">
        <f>VLOOKUP(Table5[[#This Row],[Concerns]],Table1[],2,FALSE)</f>
        <v>Consumer Experience and Support</v>
      </c>
      <c r="B52" t="s">
        <v>226</v>
      </c>
    </row>
    <row r="53" spans="1:2" x14ac:dyDescent="0.25">
      <c r="A53" t="str">
        <f>VLOOKUP(Table5[[#This Row],[Concerns]],Table1[],2,FALSE)</f>
        <v>Consumer Experience and Support</v>
      </c>
      <c r="B53" t="s">
        <v>165</v>
      </c>
    </row>
    <row r="54" spans="1:2" x14ac:dyDescent="0.25">
      <c r="A54" t="str">
        <f>VLOOKUP(Table5[[#This Row],[Concerns]],Table1[],2,FALSE)</f>
        <v>Consumer Experience and Support</v>
      </c>
      <c r="B54" t="s">
        <v>215</v>
      </c>
    </row>
    <row r="55" spans="1:2" x14ac:dyDescent="0.25">
      <c r="A55" t="str">
        <f>VLOOKUP(Table5[[#This Row],[Concerns]],Table1[],2,FALSE)</f>
        <v>Consumer Experience and Support</v>
      </c>
      <c r="B55" t="s">
        <v>218</v>
      </c>
    </row>
    <row r="56" spans="1:2" x14ac:dyDescent="0.25">
      <c r="A56" t="str">
        <f>VLOOKUP(Table5[[#This Row],[Concerns]],Table1[],2,FALSE)</f>
        <v>Consumer Experience and Support</v>
      </c>
      <c r="B56" t="s">
        <v>221</v>
      </c>
    </row>
    <row r="57" spans="1:2" x14ac:dyDescent="0.25">
      <c r="A57" t="str">
        <f>VLOOKUP(Table5[[#This Row],[Concerns]],Table1[],2,FALSE)</f>
        <v>Consumer Experience and Support</v>
      </c>
      <c r="B57" t="s">
        <v>359</v>
      </c>
    </row>
    <row r="58" spans="1:2" x14ac:dyDescent="0.25">
      <c r="A58" t="str">
        <f>VLOOKUP(Table5[[#This Row],[Concerns]],Table1[],2,FALSE)</f>
        <v>Consumer Experience and Support</v>
      </c>
      <c r="B58" t="s">
        <v>234</v>
      </c>
    </row>
    <row r="59" spans="1:2" x14ac:dyDescent="0.25">
      <c r="A59" t="str">
        <f>VLOOKUP(Table5[[#This Row],[Concerns]],Table1[],2,FALSE)</f>
        <v>Consumer Experience and Support</v>
      </c>
      <c r="B59" t="s">
        <v>236</v>
      </c>
    </row>
    <row r="60" spans="1:2" x14ac:dyDescent="0.25">
      <c r="A60" t="str">
        <f>VLOOKUP(Table5[[#This Row],[Concerns]],Table1[],2,FALSE)</f>
        <v>Consumer Experience and Support</v>
      </c>
      <c r="B60" t="s">
        <v>238</v>
      </c>
    </row>
    <row r="61" spans="1:2" x14ac:dyDescent="0.25">
      <c r="A61" t="str">
        <f>VLOOKUP(Table5[[#This Row],[Concerns]],Table1[],2,FALSE)</f>
        <v>Consumer Experience and Support</v>
      </c>
      <c r="B61" t="s">
        <v>241</v>
      </c>
    </row>
    <row r="62" spans="1:2" x14ac:dyDescent="0.25">
      <c r="A62" t="str">
        <f>VLOOKUP(Table5[[#This Row],[Concerns]],Table1[],2,FALSE)</f>
        <v>Consumer Experience and Support</v>
      </c>
      <c r="B62" t="s">
        <v>247</v>
      </c>
    </row>
    <row r="63" spans="1:2" x14ac:dyDescent="0.25">
      <c r="A63" t="str">
        <f>VLOOKUP(Table5[[#This Row],[Concerns]],Table1[],2,FALSE)</f>
        <v>Consumer Experience and Support</v>
      </c>
      <c r="B63" t="s">
        <v>263</v>
      </c>
    </row>
    <row r="64" spans="1:2" x14ac:dyDescent="0.25">
      <c r="A64" t="str">
        <f>VLOOKUP(Table5[[#This Row],[Concerns]],Table1[],2,FALSE)</f>
        <v>Consumer Experience and Support</v>
      </c>
      <c r="B64" t="s">
        <v>269</v>
      </c>
    </row>
    <row r="65" spans="1:2" x14ac:dyDescent="0.25">
      <c r="A65" t="str">
        <f>VLOOKUP(Table5[[#This Row],[Concerns]],Table1[],2,FALSE)</f>
        <v>Consumer Experience and Support</v>
      </c>
      <c r="B65" t="s">
        <v>308</v>
      </c>
    </row>
    <row r="66" spans="1:2" x14ac:dyDescent="0.25">
      <c r="A66" t="str">
        <f>VLOOKUP(Table5[[#This Row],[Concerns]],Table1[],2,FALSE)</f>
        <v>Consumer Experience and Support</v>
      </c>
      <c r="B66" t="s">
        <v>309</v>
      </c>
    </row>
    <row r="67" spans="1:2" x14ac:dyDescent="0.25">
      <c r="A67" t="str">
        <f>VLOOKUP(Table5[[#This Row],[Concerns]],Table1[],2,FALSE)</f>
        <v>Data and Information Management</v>
      </c>
      <c r="B67" t="s">
        <v>183</v>
      </c>
    </row>
    <row r="68" spans="1:2" x14ac:dyDescent="0.25">
      <c r="A68" t="str">
        <f>VLOOKUP(Table5[[#This Row],[Concerns]],Table1[],2,FALSE)</f>
        <v>Data and Information Management</v>
      </c>
      <c r="B68" t="s">
        <v>367</v>
      </c>
    </row>
    <row r="69" spans="1:2" x14ac:dyDescent="0.25">
      <c r="A69" t="str">
        <f>VLOOKUP(Table5[[#This Row],[Concerns]],Table1[],2,FALSE)</f>
        <v>Data and Information Management</v>
      </c>
      <c r="B69" t="s">
        <v>155</v>
      </c>
    </row>
    <row r="70" spans="1:2" x14ac:dyDescent="0.25">
      <c r="A70" t="str">
        <f>VLOOKUP(Table5[[#This Row],[Concerns]],Table1[],2,FALSE)</f>
        <v>Data and Information Management</v>
      </c>
      <c r="B70" t="s">
        <v>173</v>
      </c>
    </row>
    <row r="71" spans="1:2" x14ac:dyDescent="0.25">
      <c r="A71" t="str">
        <f>VLOOKUP(Table5[[#This Row],[Concerns]],Table1[],2,FALSE)</f>
        <v>Data and Information Management</v>
      </c>
      <c r="B71" t="s">
        <v>179</v>
      </c>
    </row>
    <row r="72" spans="1:2" x14ac:dyDescent="0.25">
      <c r="A72" t="str">
        <f>VLOOKUP(Table5[[#This Row],[Concerns]],Table1[],2,FALSE)</f>
        <v>Data and Information Management</v>
      </c>
      <c r="B72" t="s">
        <v>194</v>
      </c>
    </row>
    <row r="73" spans="1:2" x14ac:dyDescent="0.25">
      <c r="A73" t="str">
        <f>VLOOKUP(Table5[[#This Row],[Concerns]],Table1[],2,FALSE)</f>
        <v>Data and Information Management</v>
      </c>
      <c r="B73" t="s">
        <v>197</v>
      </c>
    </row>
    <row r="74" spans="1:2" x14ac:dyDescent="0.25">
      <c r="A74" t="str">
        <f>VLOOKUP(Table5[[#This Row],[Concerns]],Table1[],2,FALSE)</f>
        <v>Data and Information Management</v>
      </c>
      <c r="B74" t="s">
        <v>200</v>
      </c>
    </row>
    <row r="75" spans="1:2" x14ac:dyDescent="0.25">
      <c r="A75" t="str">
        <f>VLOOKUP(Table5[[#This Row],[Concerns]],Table1[],2,FALSE)</f>
        <v>Data and Information Management</v>
      </c>
      <c r="B75" t="s">
        <v>202</v>
      </c>
    </row>
    <row r="76" spans="1:2" x14ac:dyDescent="0.25">
      <c r="A76" t="str">
        <f>VLOOKUP(Table5[[#This Row],[Concerns]],Table1[],2,FALSE)</f>
        <v>Data and Information Management</v>
      </c>
      <c r="B76" t="s">
        <v>353</v>
      </c>
    </row>
    <row r="77" spans="1:2" x14ac:dyDescent="0.25">
      <c r="A77" t="str">
        <f>VLOOKUP(Table5[[#This Row],[Concerns]],Table1[],2,FALSE)</f>
        <v>Data and Information Management</v>
      </c>
      <c r="B77" t="s">
        <v>204</v>
      </c>
    </row>
    <row r="78" spans="1:2" x14ac:dyDescent="0.25">
      <c r="A78" t="str">
        <f>VLOOKUP(Table5[[#This Row],[Concerns]],Table1[],2,FALSE)</f>
        <v>Data and Information Management</v>
      </c>
      <c r="B78" t="s">
        <v>254</v>
      </c>
    </row>
    <row r="79" spans="1:2" x14ac:dyDescent="0.25">
      <c r="A79" t="str">
        <f>VLOOKUP(Table5[[#This Row],[Concerns]],Table1[],2,FALSE)</f>
        <v>Data and Information Management</v>
      </c>
      <c r="B79" t="s">
        <v>258</v>
      </c>
    </row>
    <row r="80" spans="1:2" x14ac:dyDescent="0.25">
      <c r="A80" t="str">
        <f>VLOOKUP(Table5[[#This Row],[Concerns]],Table1[],2,FALSE)</f>
        <v>Data and Information Management</v>
      </c>
      <c r="B80" t="s">
        <v>275</v>
      </c>
    </row>
    <row r="81" spans="1:2" x14ac:dyDescent="0.25">
      <c r="A81" t="str">
        <f>VLOOKUP(Table5[[#This Row],[Concerns]],Table1[],2,FALSE)</f>
        <v>Data and Information Management</v>
      </c>
      <c r="B81" t="s">
        <v>277</v>
      </c>
    </row>
    <row r="82" spans="1:2" x14ac:dyDescent="0.25">
      <c r="A82" t="str">
        <f>VLOOKUP(Table5[[#This Row],[Concerns]],Table1[],2,FALSE)</f>
        <v>Data and Information Management</v>
      </c>
      <c r="B82" t="s">
        <v>301</v>
      </c>
    </row>
    <row r="83" spans="1:2" x14ac:dyDescent="0.25">
      <c r="A83" t="str">
        <f>VLOOKUP(Table5[[#This Row],[Concerns]],Table1[],2,FALSE)</f>
        <v>Data and Information Management</v>
      </c>
      <c r="B83" t="s">
        <v>315</v>
      </c>
    </row>
    <row r="84" spans="1:2" x14ac:dyDescent="0.25">
      <c r="A84" t="str">
        <f>VLOOKUP(Table5[[#This Row],[Concerns]],Table1[],2,FALSE)</f>
        <v>Data and Information Management</v>
      </c>
      <c r="B84" t="s">
        <v>322</v>
      </c>
    </row>
    <row r="85" spans="1:2" x14ac:dyDescent="0.25">
      <c r="A85" t="str">
        <f>VLOOKUP(Table5[[#This Row],[Concerns]],Table1[],2,FALSE)</f>
        <v>Data and Information Management</v>
      </c>
      <c r="B85" t="s">
        <v>325</v>
      </c>
    </row>
    <row r="86" spans="1:2" x14ac:dyDescent="0.25">
      <c r="A86" t="str">
        <f>VLOOKUP(Table5[[#This Row],[Concerns]],Table1[],2,FALSE)</f>
        <v>Data and Information Management</v>
      </c>
      <c r="B86" t="s">
        <v>329</v>
      </c>
    </row>
    <row r="87" spans="1:2" x14ac:dyDescent="0.25">
      <c r="A87" t="str">
        <f>VLOOKUP(Table5[[#This Row],[Concerns]],Table1[],2,FALSE)</f>
        <v>Data Security, Quality and Privacy</v>
      </c>
      <c r="B87" t="s">
        <v>316</v>
      </c>
    </row>
    <row r="88" spans="1:2" x14ac:dyDescent="0.25">
      <c r="A88" t="str">
        <f>VLOOKUP(Table5[[#This Row],[Concerns]],Table1[],2,FALSE)</f>
        <v>Data Security, Quality and Privacy</v>
      </c>
      <c r="B88" t="s">
        <v>262</v>
      </c>
    </row>
    <row r="89" spans="1:2" x14ac:dyDescent="0.25">
      <c r="A89" t="str">
        <f>VLOOKUP(Table5[[#This Row],[Concerns]],Table1[],2,FALSE)</f>
        <v>Data Security, Quality and Privacy</v>
      </c>
      <c r="B89" t="s">
        <v>265</v>
      </c>
    </row>
    <row r="90" spans="1:2" x14ac:dyDescent="0.25">
      <c r="A90" t="str">
        <f>VLOOKUP(Table5[[#This Row],[Concerns]],Table1[],2,FALSE)</f>
        <v>Data Security, Quality and Privacy</v>
      </c>
      <c r="B90" t="s">
        <v>268</v>
      </c>
    </row>
    <row r="91" spans="1:2" x14ac:dyDescent="0.25">
      <c r="A91" t="str">
        <f>VLOOKUP(Table5[[#This Row],[Concerns]],Table1[],2,FALSE)</f>
        <v>Data Security, Quality and Privacy</v>
      </c>
      <c r="B91" t="s">
        <v>318</v>
      </c>
    </row>
    <row r="92" spans="1:2" x14ac:dyDescent="0.25">
      <c r="A92" t="str">
        <f>VLOOKUP(Table5[[#This Row],[Concerns]],Table1[],2,FALSE)</f>
        <v>Data Security, Quality and Privacy</v>
      </c>
      <c r="B92" t="s">
        <v>319</v>
      </c>
    </row>
    <row r="93" spans="1:2" x14ac:dyDescent="0.25">
      <c r="A93" t="str">
        <f>VLOOKUP(Table5[[#This Row],[Concerns]],Table1[],2,FALSE)</f>
        <v>Employee Training and Development</v>
      </c>
      <c r="B93" t="s">
        <v>164</v>
      </c>
    </row>
    <row r="94" spans="1:2" x14ac:dyDescent="0.25">
      <c r="A94" t="str">
        <f>VLOOKUP(Table5[[#This Row],[Concerns]],Table1[],2,FALSE)</f>
        <v>Employee Training and Development</v>
      </c>
      <c r="B94" t="s">
        <v>356</v>
      </c>
    </row>
    <row r="95" spans="1:2" x14ac:dyDescent="0.25">
      <c r="A95" t="str">
        <f>VLOOKUP(Table5[[#This Row],[Concerns]],Table1[],2,FALSE)</f>
        <v>Employee Training and Development</v>
      </c>
      <c r="B95" t="s">
        <v>280</v>
      </c>
    </row>
    <row r="96" spans="1:2" x14ac:dyDescent="0.25">
      <c r="A96" t="str">
        <f>VLOOKUP(Table5[[#This Row],[Concerns]],Table1[],2,FALSE)</f>
        <v>Employee Training and Development</v>
      </c>
      <c r="B96" t="s">
        <v>303</v>
      </c>
    </row>
    <row r="97" spans="1:2" x14ac:dyDescent="0.25">
      <c r="A97" t="str">
        <f>VLOOKUP(Table5[[#This Row],[Concerns]],Table1[],2,FALSE)</f>
        <v>Financial Management and Budgeting</v>
      </c>
      <c r="B97" t="s">
        <v>172</v>
      </c>
    </row>
    <row r="98" spans="1:2" x14ac:dyDescent="0.25">
      <c r="A98" t="str">
        <f>VLOOKUP(Table5[[#This Row],[Concerns]],Table1[],2,FALSE)</f>
        <v>Financial Management and Budgeting</v>
      </c>
      <c r="B98" t="s">
        <v>146</v>
      </c>
    </row>
    <row r="99" spans="1:2" x14ac:dyDescent="0.25">
      <c r="A99" t="str">
        <f>VLOOKUP(Table5[[#This Row],[Concerns]],Table1[],2,FALSE)</f>
        <v>Financial Management and Budgeting</v>
      </c>
      <c r="B99" t="s">
        <v>167</v>
      </c>
    </row>
    <row r="100" spans="1:2" x14ac:dyDescent="0.25">
      <c r="A100" t="str">
        <f>VLOOKUP(Table5[[#This Row],[Concerns]],Table1[],2,FALSE)</f>
        <v>Financial Management and Budgeting</v>
      </c>
      <c r="B100" t="s">
        <v>169</v>
      </c>
    </row>
    <row r="101" spans="1:2" x14ac:dyDescent="0.25">
      <c r="A101" t="str">
        <f>VLOOKUP(Table5[[#This Row],[Concerns]],Table1[],2,FALSE)</f>
        <v>Financial Management and Budgeting</v>
      </c>
      <c r="B101" t="s">
        <v>181</v>
      </c>
    </row>
    <row r="102" spans="1:2" x14ac:dyDescent="0.25">
      <c r="A102" t="str">
        <f>VLOOKUP(Table5[[#This Row],[Concerns]],Table1[],2,FALSE)</f>
        <v>Financial Management and Budgeting</v>
      </c>
      <c r="B102" t="s">
        <v>207</v>
      </c>
    </row>
    <row r="103" spans="1:2" x14ac:dyDescent="0.25">
      <c r="A103" t="str">
        <f>VLOOKUP(Table5[[#This Row],[Concerns]],Table1[],2,FALSE)</f>
        <v>Financial Management and Budgeting</v>
      </c>
      <c r="B103" t="s">
        <v>358</v>
      </c>
    </row>
    <row r="104" spans="1:2" x14ac:dyDescent="0.25">
      <c r="A104" t="str">
        <f>VLOOKUP(Table5[[#This Row],[Concerns]],Table1[],2,FALSE)</f>
        <v>Financial Management and Budgeting</v>
      </c>
      <c r="B104" t="s">
        <v>245</v>
      </c>
    </row>
    <row r="105" spans="1:2" x14ac:dyDescent="0.25">
      <c r="A105" t="str">
        <f>VLOOKUP(Table5[[#This Row],[Concerns]],Table1[],2,FALSE)</f>
        <v>Financial Management and Budgeting</v>
      </c>
      <c r="B105" t="s">
        <v>248</v>
      </c>
    </row>
    <row r="106" spans="1:2" x14ac:dyDescent="0.25">
      <c r="A106" t="str">
        <f>VLOOKUP(Table5[[#This Row],[Concerns]],Table1[],2,FALSE)</f>
        <v>Financial Management and Budgeting</v>
      </c>
      <c r="B106" t="s">
        <v>267</v>
      </c>
    </row>
    <row r="107" spans="1:2" x14ac:dyDescent="0.25">
      <c r="A107" t="str">
        <f>VLOOKUP(Table5[[#This Row],[Concerns]],Table1[],2,FALSE)</f>
        <v>Financial Management and Budgeting</v>
      </c>
      <c r="B107" t="s">
        <v>271</v>
      </c>
    </row>
    <row r="108" spans="1:2" x14ac:dyDescent="0.25">
      <c r="A108" t="str">
        <f>VLOOKUP(Table5[[#This Row],[Concerns]],Table1[],2,FALSE)</f>
        <v>Financial Management and Budgeting</v>
      </c>
      <c r="B108" t="s">
        <v>283</v>
      </c>
    </row>
    <row r="109" spans="1:2" x14ac:dyDescent="0.25">
      <c r="A109" t="str">
        <f>VLOOKUP(Table5[[#This Row],[Concerns]],Table1[],2,FALSE)</f>
        <v>Financial Management and Budgeting</v>
      </c>
      <c r="B109" t="s">
        <v>312</v>
      </c>
    </row>
    <row r="110" spans="1:2" x14ac:dyDescent="0.25">
      <c r="A110" t="str">
        <f>VLOOKUP(Table5[[#This Row],[Concerns]],Table1[],2,FALSE)</f>
        <v>Future Planning and System Demand</v>
      </c>
      <c r="B110" t="s">
        <v>176</v>
      </c>
    </row>
    <row r="111" spans="1:2" x14ac:dyDescent="0.25">
      <c r="A111" t="str">
        <f>VLOOKUP(Table5[[#This Row],[Concerns]],Table1[],2,FALSE)</f>
        <v>Future Planning and System Demand</v>
      </c>
      <c r="B111" t="s">
        <v>188</v>
      </c>
    </row>
    <row r="112" spans="1:2" x14ac:dyDescent="0.25">
      <c r="A112" t="str">
        <f>VLOOKUP(Table5[[#This Row],[Concerns]],Table1[],2,FALSE)</f>
        <v>Future Planning and System Demand</v>
      </c>
      <c r="B112" t="s">
        <v>196</v>
      </c>
    </row>
    <row r="113" spans="1:2" x14ac:dyDescent="0.25">
      <c r="A113" t="str">
        <f>VLOOKUP(Table5[[#This Row],[Concerns]],Table1[],2,FALSE)</f>
        <v>Future Planning and System Demand</v>
      </c>
      <c r="B113" t="s">
        <v>198</v>
      </c>
    </row>
    <row r="114" spans="1:2" x14ac:dyDescent="0.25">
      <c r="A114" t="str">
        <f>VLOOKUP(Table5[[#This Row],[Concerns]],Table1[],2,FALSE)</f>
        <v>Future Planning and System Demand</v>
      </c>
      <c r="B114" t="s">
        <v>206</v>
      </c>
    </row>
    <row r="115" spans="1:2" x14ac:dyDescent="0.25">
      <c r="A115" t="str">
        <f>VLOOKUP(Table5[[#This Row],[Concerns]],Table1[],2,FALSE)</f>
        <v>Implementation Challenges and Delays</v>
      </c>
      <c r="B115" t="s">
        <v>227</v>
      </c>
    </row>
    <row r="116" spans="1:2" x14ac:dyDescent="0.25">
      <c r="A116" t="str">
        <f>VLOOKUP(Table5[[#This Row],[Concerns]],Table1[],2,FALSE)</f>
        <v>Implementation Challenges and Delays</v>
      </c>
      <c r="B116" t="s">
        <v>260</v>
      </c>
    </row>
    <row r="117" spans="1:2" x14ac:dyDescent="0.25">
      <c r="A117" t="str">
        <f>VLOOKUP(Table5[[#This Row],[Concerns]],Table1[],2,FALSE)</f>
        <v>Implementation Challenges and Delays</v>
      </c>
      <c r="B117" t="s">
        <v>261</v>
      </c>
    </row>
    <row r="118" spans="1:2" x14ac:dyDescent="0.25">
      <c r="A118" t="str">
        <f>VLOOKUP(Table5[[#This Row],[Concerns]],Table1[],2,FALSE)</f>
        <v>Implementation Challenges and Delays</v>
      </c>
      <c r="B118" t="s">
        <v>264</v>
      </c>
    </row>
    <row r="119" spans="1:2" x14ac:dyDescent="0.25">
      <c r="A119" t="str">
        <f>VLOOKUP(Table5[[#This Row],[Concerns]],Table1[],2,FALSE)</f>
        <v>Infrastructure and Hardware Management</v>
      </c>
      <c r="B119" t="s">
        <v>160</v>
      </c>
    </row>
    <row r="120" spans="1:2" x14ac:dyDescent="0.25">
      <c r="A120" t="str">
        <f>VLOOKUP(Table5[[#This Row],[Concerns]],Table1[],2,FALSE)</f>
        <v>Infrastructure and Hardware Management</v>
      </c>
      <c r="B120" t="s">
        <v>143</v>
      </c>
    </row>
    <row r="121" spans="1:2" x14ac:dyDescent="0.25">
      <c r="A121" t="str">
        <f>VLOOKUP(Table5[[#This Row],[Concerns]],Table1[],2,FALSE)</f>
        <v>Infrastructure and Hardware Management</v>
      </c>
      <c r="B121" t="s">
        <v>203</v>
      </c>
    </row>
    <row r="122" spans="1:2" x14ac:dyDescent="0.25">
      <c r="A122" t="str">
        <f>VLOOKUP(Table5[[#This Row],[Concerns]],Table1[],2,FALSE)</f>
        <v>Infrastructure and Hardware Management</v>
      </c>
      <c r="B122" t="s">
        <v>240</v>
      </c>
    </row>
    <row r="123" spans="1:2" x14ac:dyDescent="0.25">
      <c r="A123" t="str">
        <f>VLOOKUP(Table5[[#This Row],[Concerns]],Table1[],2,FALSE)</f>
        <v>Operational Effectiveness and Efficiency</v>
      </c>
      <c r="B123" t="s">
        <v>141</v>
      </c>
    </row>
    <row r="124" spans="1:2" x14ac:dyDescent="0.25">
      <c r="A124" t="str">
        <f>VLOOKUP(Table5[[#This Row],[Concerns]],Table1[],2,FALSE)</f>
        <v>Operational Effectiveness and Efficiency</v>
      </c>
      <c r="B124" t="s">
        <v>148</v>
      </c>
    </row>
    <row r="125" spans="1:2" x14ac:dyDescent="0.25">
      <c r="A125" t="str">
        <f>VLOOKUP(Table5[[#This Row],[Concerns]],Table1[],2,FALSE)</f>
        <v>Operational Effectiveness and Efficiency</v>
      </c>
      <c r="B125" t="s">
        <v>163</v>
      </c>
    </row>
    <row r="126" spans="1:2" x14ac:dyDescent="0.25">
      <c r="A126" t="str">
        <f>VLOOKUP(Table5[[#This Row],[Concerns]],Table1[],2,FALSE)</f>
        <v>Operational Effectiveness and Efficiency</v>
      </c>
      <c r="B126" t="s">
        <v>182</v>
      </c>
    </row>
    <row r="127" spans="1:2" x14ac:dyDescent="0.25">
      <c r="A127" t="str">
        <f>VLOOKUP(Table5[[#This Row],[Concerns]],Table1[],2,FALSE)</f>
        <v>Operational Effectiveness and Efficiency</v>
      </c>
      <c r="B127" t="s">
        <v>184</v>
      </c>
    </row>
    <row r="128" spans="1:2" x14ac:dyDescent="0.25">
      <c r="A128" t="str">
        <f>VLOOKUP(Table5[[#This Row],[Concerns]],Table1[],2,FALSE)</f>
        <v>Operational Effectiveness and Efficiency</v>
      </c>
      <c r="B128" t="s">
        <v>190</v>
      </c>
    </row>
    <row r="129" spans="1:2" x14ac:dyDescent="0.25">
      <c r="A129" t="str">
        <f>VLOOKUP(Table5[[#This Row],[Concerns]],Table1[],2,FALSE)</f>
        <v>Operational Effectiveness and Efficiency</v>
      </c>
      <c r="B129" t="s">
        <v>210</v>
      </c>
    </row>
    <row r="130" spans="1:2" x14ac:dyDescent="0.25">
      <c r="A130" t="str">
        <f>VLOOKUP(Table5[[#This Row],[Concerns]],Table1[],2,FALSE)</f>
        <v>Operational Effectiveness and Efficiency</v>
      </c>
      <c r="B130" t="s">
        <v>354</v>
      </c>
    </row>
    <row r="131" spans="1:2" x14ac:dyDescent="0.25">
      <c r="A131" t="str">
        <f>VLOOKUP(Table5[[#This Row],[Concerns]],Table1[],2,FALSE)</f>
        <v>Operational Effectiveness and Efficiency</v>
      </c>
      <c r="B131" t="s">
        <v>220</v>
      </c>
    </row>
    <row r="132" spans="1:2" x14ac:dyDescent="0.25">
      <c r="A132" t="str">
        <f>VLOOKUP(Table5[[#This Row],[Concerns]],Table1[],2,FALSE)</f>
        <v>Operational Effectiveness and Efficiency</v>
      </c>
      <c r="B132" t="s">
        <v>223</v>
      </c>
    </row>
    <row r="133" spans="1:2" x14ac:dyDescent="0.25">
      <c r="A133" t="str">
        <f>VLOOKUP(Table5[[#This Row],[Concerns]],Table1[],2,FALSE)</f>
        <v>Operational Effectiveness and Efficiency</v>
      </c>
      <c r="B133" t="s">
        <v>233</v>
      </c>
    </row>
    <row r="134" spans="1:2" x14ac:dyDescent="0.25">
      <c r="A134" t="str">
        <f>VLOOKUP(Table5[[#This Row],[Concerns]],Table1[],2,FALSE)</f>
        <v>Operational Effectiveness and Efficiency</v>
      </c>
      <c r="B134" t="s">
        <v>246</v>
      </c>
    </row>
    <row r="135" spans="1:2" x14ac:dyDescent="0.25">
      <c r="A135" t="str">
        <f>VLOOKUP(Table5[[#This Row],[Concerns]],Table1[],2,FALSE)</f>
        <v>Operational Effectiveness and Efficiency</v>
      </c>
      <c r="B135" t="s">
        <v>251</v>
      </c>
    </row>
    <row r="136" spans="1:2" x14ac:dyDescent="0.25">
      <c r="A136" t="str">
        <f>VLOOKUP(Table5[[#This Row],[Concerns]],Table1[],2,FALSE)</f>
        <v>Operational Effectiveness and Efficiency</v>
      </c>
      <c r="B136" t="s">
        <v>295</v>
      </c>
    </row>
    <row r="137" spans="1:2" x14ac:dyDescent="0.25">
      <c r="A137" t="str">
        <f>VLOOKUP(Table5[[#This Row],[Concerns]],Table1[],2,FALSE)</f>
        <v>Operational Effectiveness and Efficiency</v>
      </c>
      <c r="B137" t="s">
        <v>317</v>
      </c>
    </row>
    <row r="138" spans="1:2" x14ac:dyDescent="0.25">
      <c r="A138" t="str">
        <f>VLOOKUP(Table5[[#This Row],[Concerns]],Table1[],2,FALSE)</f>
        <v>Operational Effectiveness and Efficiency</v>
      </c>
      <c r="B138" t="s">
        <v>328</v>
      </c>
    </row>
    <row r="139" spans="1:2" x14ac:dyDescent="0.25">
      <c r="A139" t="str">
        <f>VLOOKUP(Table5[[#This Row],[Concerns]],Table1[],2,FALSE)</f>
        <v>Policy and Organizational Reform</v>
      </c>
      <c r="B139" t="s">
        <v>147</v>
      </c>
    </row>
    <row r="140" spans="1:2" x14ac:dyDescent="0.25">
      <c r="A140" t="str">
        <f>VLOOKUP(Table5[[#This Row],[Concerns]],Table1[],2,FALSE)</f>
        <v>Policy and Organizational Reform</v>
      </c>
      <c r="B140" t="s">
        <v>175</v>
      </c>
    </row>
    <row r="141" spans="1:2" x14ac:dyDescent="0.25">
      <c r="A141" t="str">
        <f>VLOOKUP(Table5[[#This Row],[Concerns]],Table1[],2,FALSE)</f>
        <v>Policy and Organizational Reform</v>
      </c>
      <c r="B141" t="s">
        <v>214</v>
      </c>
    </row>
    <row r="142" spans="1:2" x14ac:dyDescent="0.25">
      <c r="A142" t="str">
        <f>VLOOKUP(Table5[[#This Row],[Concerns]],Table1[],2,FALSE)</f>
        <v>Policy and Organizational Reform</v>
      </c>
      <c r="B142" t="s">
        <v>229</v>
      </c>
    </row>
    <row r="143" spans="1:2" x14ac:dyDescent="0.25">
      <c r="A143" t="str">
        <f>VLOOKUP(Table5[[#This Row],[Concerns]],Table1[],2,FALSE)</f>
        <v>Policy and Organizational Reform</v>
      </c>
      <c r="B143" t="s">
        <v>239</v>
      </c>
    </row>
    <row r="144" spans="1:2" x14ac:dyDescent="0.25">
      <c r="A144" t="str">
        <f>VLOOKUP(Table5[[#This Row],[Concerns]],Table1[],2,FALSE)</f>
        <v>Policy and Organizational Reform</v>
      </c>
      <c r="B144" t="s">
        <v>252</v>
      </c>
    </row>
    <row r="145" spans="1:2" x14ac:dyDescent="0.25">
      <c r="A145" t="str">
        <f>VLOOKUP(Table5[[#This Row],[Concerns]],Table1[],2,FALSE)</f>
        <v>Policy and Organizational Reform</v>
      </c>
      <c r="B145" t="s">
        <v>274</v>
      </c>
    </row>
    <row r="146" spans="1:2" x14ac:dyDescent="0.25">
      <c r="A146" t="str">
        <f>VLOOKUP(Table5[[#This Row],[Concerns]],Table1[],2,FALSE)</f>
        <v>Policy and Organizational Reform</v>
      </c>
      <c r="B146" t="s">
        <v>366</v>
      </c>
    </row>
    <row r="147" spans="1:2" x14ac:dyDescent="0.25">
      <c r="A147" t="str">
        <f>VLOOKUP(Table5[[#This Row],[Concerns]],Table1[],2,FALSE)</f>
        <v>Program and Project Management</v>
      </c>
      <c r="B147" t="s">
        <v>323</v>
      </c>
    </row>
    <row r="148" spans="1:2" x14ac:dyDescent="0.25">
      <c r="A148" t="str">
        <f>VLOOKUP(Table5[[#This Row],[Concerns]],Table1[],2,FALSE)</f>
        <v>Program and Project Management</v>
      </c>
      <c r="B148" t="s">
        <v>161</v>
      </c>
    </row>
    <row r="149" spans="1:2" x14ac:dyDescent="0.25">
      <c r="A149" t="str">
        <f>VLOOKUP(Table5[[#This Row],[Concerns]],Table1[],2,FALSE)</f>
        <v>Program and Project Management</v>
      </c>
      <c r="B149" t="s">
        <v>357</v>
      </c>
    </row>
    <row r="150" spans="1:2" x14ac:dyDescent="0.25">
      <c r="A150" t="str">
        <f>VLOOKUP(Table5[[#This Row],[Concerns]],Table1[],2,FALSE)</f>
        <v>Program and Project Management</v>
      </c>
      <c r="B150" t="s">
        <v>216</v>
      </c>
    </row>
    <row r="151" spans="1:2" x14ac:dyDescent="0.25">
      <c r="A151" t="str">
        <f>VLOOKUP(Table5[[#This Row],[Concerns]],Table1[],2,FALSE)</f>
        <v>Program and Project Management</v>
      </c>
      <c r="B151" t="s">
        <v>304</v>
      </c>
    </row>
    <row r="152" spans="1:2" x14ac:dyDescent="0.25">
      <c r="A152" t="str">
        <f>VLOOKUP(Table5[[#This Row],[Concerns]],Table1[],2,FALSE)</f>
        <v>Program and Project Management</v>
      </c>
      <c r="B152" t="s">
        <v>310</v>
      </c>
    </row>
    <row r="153" spans="1:2" x14ac:dyDescent="0.25">
      <c r="A153" t="str">
        <f>VLOOKUP(Table5[[#This Row],[Concerns]],Table1[],2,FALSE)</f>
        <v>Resource Management and Utilization</v>
      </c>
      <c r="B153" t="s">
        <v>185</v>
      </c>
    </row>
    <row r="154" spans="1:2" x14ac:dyDescent="0.25">
      <c r="A154" t="str">
        <f>VLOOKUP(Table5[[#This Row],[Concerns]],Table1[],2,FALSE)</f>
        <v>Resource Management and Utilization</v>
      </c>
      <c r="B154" t="s">
        <v>195</v>
      </c>
    </row>
    <row r="155" spans="1:2" x14ac:dyDescent="0.25">
      <c r="A155" t="str">
        <f>VLOOKUP(Table5[[#This Row],[Concerns]],Table1[],2,FALSE)</f>
        <v>Resource Management and Utilization</v>
      </c>
      <c r="B155" t="s">
        <v>174</v>
      </c>
    </row>
    <row r="156" spans="1:2" x14ac:dyDescent="0.25">
      <c r="A156" t="str">
        <f>VLOOKUP(Table5[[#This Row],[Concerns]],Table1[],2,FALSE)</f>
        <v>Resource Management and Utilization</v>
      </c>
      <c r="B156" t="s">
        <v>187</v>
      </c>
    </row>
    <row r="157" spans="1:2" x14ac:dyDescent="0.25">
      <c r="A157" t="str">
        <f>VLOOKUP(Table5[[#This Row],[Concerns]],Table1[],2,FALSE)</f>
        <v>Resource Management and Utilization</v>
      </c>
      <c r="B157" t="s">
        <v>191</v>
      </c>
    </row>
    <row r="158" spans="1:2" x14ac:dyDescent="0.25">
      <c r="A158" t="str">
        <f>VLOOKUP(Table5[[#This Row],[Concerns]],Table1[],2,FALSE)</f>
        <v>Resource Management and Utilization</v>
      </c>
      <c r="B158" t="s">
        <v>217</v>
      </c>
    </row>
    <row r="159" spans="1:2" x14ac:dyDescent="0.25">
      <c r="A159" t="str">
        <f>VLOOKUP(Table5[[#This Row],[Concerns]],Table1[],2,FALSE)</f>
        <v>Resource Management and Utilization</v>
      </c>
      <c r="B159" t="s">
        <v>228</v>
      </c>
    </row>
    <row r="160" spans="1:2" x14ac:dyDescent="0.25">
      <c r="A160" t="str">
        <f>VLOOKUP(Table5[[#This Row],[Concerns]],Table1[],2,FALSE)</f>
        <v>Resource Management and Utilization</v>
      </c>
      <c r="B160" t="s">
        <v>242</v>
      </c>
    </row>
    <row r="161" spans="1:2" x14ac:dyDescent="0.25">
      <c r="A161" t="str">
        <f>VLOOKUP(Table5[[#This Row],[Concerns]],Table1[],2,FALSE)</f>
        <v>Resource Management and Utilization</v>
      </c>
      <c r="B161" t="s">
        <v>266</v>
      </c>
    </row>
    <row r="162" spans="1:2" x14ac:dyDescent="0.25">
      <c r="A162" t="str">
        <f>VLOOKUP(Table5[[#This Row],[Concerns]],Table1[],2,FALSE)</f>
        <v>Resource Management and Utilization</v>
      </c>
      <c r="B162" t="s">
        <v>281</v>
      </c>
    </row>
    <row r="163" spans="1:2" x14ac:dyDescent="0.25">
      <c r="A163" t="str">
        <f>VLOOKUP(Table5[[#This Row],[Concerns]],Table1[],2,FALSE)</f>
        <v>Resource Management and Utilization</v>
      </c>
      <c r="B163" t="s">
        <v>302</v>
      </c>
    </row>
    <row r="164" spans="1:2" x14ac:dyDescent="0.25">
      <c r="A164" t="str">
        <f>VLOOKUP(Table5[[#This Row],[Concerns]],Table1[],2,FALSE)</f>
        <v>Resource Management and Utilization</v>
      </c>
      <c r="B164" t="s">
        <v>314</v>
      </c>
    </row>
    <row r="165" spans="1:2" x14ac:dyDescent="0.25">
      <c r="A165" t="str">
        <f>VLOOKUP(Table5[[#This Row],[Concerns]],Table1[],2,FALSE)</f>
        <v>Resource Management and Utilization</v>
      </c>
      <c r="B165" t="s">
        <v>326</v>
      </c>
    </row>
    <row r="166" spans="1:2" x14ac:dyDescent="0.25">
      <c r="A166" t="str">
        <f>VLOOKUP(Table5[[#This Row],[Concerns]],Table1[],2,FALSE)</f>
        <v>Risk Identification and Management</v>
      </c>
      <c r="B166" t="s">
        <v>171</v>
      </c>
    </row>
    <row r="167" spans="1:2" x14ac:dyDescent="0.25">
      <c r="A167" t="str">
        <f>VLOOKUP(Table5[[#This Row],[Concerns]],Table1[],2,FALSE)</f>
        <v>Risk Identification and Management</v>
      </c>
      <c r="B167" t="s">
        <v>350</v>
      </c>
    </row>
    <row r="168" spans="1:2" x14ac:dyDescent="0.25">
      <c r="A168" t="str">
        <f>VLOOKUP(Table5[[#This Row],[Concerns]],Table1[],2,FALSE)</f>
        <v>Risk Identification and Management</v>
      </c>
      <c r="B168" t="s">
        <v>219</v>
      </c>
    </row>
    <row r="169" spans="1:2" x14ac:dyDescent="0.25">
      <c r="A169" t="str">
        <f>VLOOKUP(Table5[[#This Row],[Concerns]],Table1[],2,FALSE)</f>
        <v>Risk Identification and Management</v>
      </c>
      <c r="B169" t="s">
        <v>222</v>
      </c>
    </row>
    <row r="170" spans="1:2" x14ac:dyDescent="0.25">
      <c r="A170" t="str">
        <f>VLOOKUP(Table5[[#This Row],[Concerns]],Table1[],2,FALSE)</f>
        <v>Risk Identification and Management</v>
      </c>
      <c r="B170" t="s">
        <v>364</v>
      </c>
    </row>
    <row r="171" spans="1:2" x14ac:dyDescent="0.25">
      <c r="A171" t="str">
        <f>VLOOKUP(Table5[[#This Row],[Concerns]],Table1[],2,FALSE)</f>
        <v>Risk Identification and Management</v>
      </c>
      <c r="B171" t="s">
        <v>232</v>
      </c>
    </row>
    <row r="172" spans="1:2" x14ac:dyDescent="0.25">
      <c r="A172" t="str">
        <f>VLOOKUP(Table5[[#This Row],[Concerns]],Table1[],2,FALSE)</f>
        <v>Risk Identification and Management</v>
      </c>
      <c r="B172" t="s">
        <v>282</v>
      </c>
    </row>
    <row r="173" spans="1:2" x14ac:dyDescent="0.25">
      <c r="A173" t="str">
        <f>VLOOKUP(Table5[[#This Row],[Concerns]],Table1[],2,FALSE)</f>
        <v>Standardization and Streamlining Processes</v>
      </c>
      <c r="B173" t="s">
        <v>156</v>
      </c>
    </row>
    <row r="174" spans="1:2" x14ac:dyDescent="0.25">
      <c r="A174" t="str">
        <f>VLOOKUP(Table5[[#This Row],[Concerns]],Table1[],2,FALSE)</f>
        <v>Standardization and Streamlining Processes</v>
      </c>
      <c r="B174" t="s">
        <v>345</v>
      </c>
    </row>
    <row r="175" spans="1:2" x14ac:dyDescent="0.25">
      <c r="A175" t="str">
        <f>VLOOKUP(Table5[[#This Row],[Concerns]],Table1[],2,FALSE)</f>
        <v>Standardization and Streamlining Processes</v>
      </c>
      <c r="B175" t="s">
        <v>193</v>
      </c>
    </row>
    <row r="176" spans="1:2" x14ac:dyDescent="0.25">
      <c r="A176" t="str">
        <f>VLOOKUP(Table5[[#This Row],[Concerns]],Table1[],2,FALSE)</f>
        <v>Standardization and Streamlining Processes</v>
      </c>
      <c r="B176" t="s">
        <v>231</v>
      </c>
    </row>
    <row r="177" spans="1:2" x14ac:dyDescent="0.25">
      <c r="A177" t="str">
        <f>VLOOKUP(Table5[[#This Row],[Concerns]],Table1[],2,FALSE)</f>
        <v>Standardization and Streamlining Processes</v>
      </c>
      <c r="B177" t="s">
        <v>257</v>
      </c>
    </row>
    <row r="178" spans="1:2" x14ac:dyDescent="0.25">
      <c r="A178" t="str">
        <f>VLOOKUP(Table5[[#This Row],[Concerns]],Table1[],2,FALSE)</f>
        <v>Standardization and Streamlining Processes</v>
      </c>
      <c r="B178" t="s">
        <v>288</v>
      </c>
    </row>
    <row r="179" spans="1:2" x14ac:dyDescent="0.25">
      <c r="A179" t="str">
        <f>VLOOKUP(Table5[[#This Row],[Concerns]],Table1[],2,FALSE)</f>
        <v>Standardization and Streamlining Processes</v>
      </c>
      <c r="B179" t="s">
        <v>290</v>
      </c>
    </row>
    <row r="180" spans="1:2" x14ac:dyDescent="0.25">
      <c r="A180" t="str">
        <f>VLOOKUP(Table5[[#This Row],[Concerns]],Table1[],2,FALSE)</f>
        <v>Standardization and Streamlining Processes</v>
      </c>
      <c r="B180" t="s">
        <v>292</v>
      </c>
    </row>
    <row r="181" spans="1:2" x14ac:dyDescent="0.25">
      <c r="A181" t="str">
        <f>VLOOKUP(Table5[[#This Row],[Concerns]],Table1[],2,FALSE)</f>
        <v>Standardization and Streamlining Processes</v>
      </c>
      <c r="B181" t="s">
        <v>305</v>
      </c>
    </row>
    <row r="182" spans="1:2" x14ac:dyDescent="0.25">
      <c r="A182" t="str">
        <f>VLOOKUP(Table5[[#This Row],[Concerns]],Table1[],2,FALSE)</f>
        <v>Strategic Planning and Development</v>
      </c>
      <c r="B182" t="s">
        <v>157</v>
      </c>
    </row>
    <row r="183" spans="1:2" x14ac:dyDescent="0.25">
      <c r="A183" t="str">
        <f>VLOOKUP(Table5[[#This Row],[Concerns]],Table1[],2,FALSE)</f>
        <v>Strategic Planning and Development</v>
      </c>
      <c r="B183" t="s">
        <v>348</v>
      </c>
    </row>
    <row r="184" spans="1:2" x14ac:dyDescent="0.25">
      <c r="A184" t="str">
        <f>VLOOKUP(Table5[[#This Row],[Concerns]],Table1[],2,FALSE)</f>
        <v>Strategic Planning and Development</v>
      </c>
      <c r="B184" t="s">
        <v>355</v>
      </c>
    </row>
    <row r="185" spans="1:2" x14ac:dyDescent="0.25">
      <c r="A185" t="str">
        <f>VLOOKUP(Table5[[#This Row],[Concerns]],Table1[],2,FALSE)</f>
        <v>Strategic Planning and Development</v>
      </c>
      <c r="B185" t="s">
        <v>255</v>
      </c>
    </row>
    <row r="186" spans="1:2" x14ac:dyDescent="0.25">
      <c r="A186" t="str">
        <f>VLOOKUP(Table5[[#This Row],[Concerns]],Table1[],2,FALSE)</f>
        <v>System and Technology Improvement</v>
      </c>
      <c r="B186" t="s">
        <v>344</v>
      </c>
    </row>
    <row r="187" spans="1:2" x14ac:dyDescent="0.25">
      <c r="A187" t="str">
        <f>VLOOKUP(Table5[[#This Row],[Concerns]],Table1[],2,FALSE)</f>
        <v>System and Technology Improvement</v>
      </c>
      <c r="B187" t="s">
        <v>150</v>
      </c>
    </row>
    <row r="188" spans="1:2" x14ac:dyDescent="0.25">
      <c r="A188" t="str">
        <f>VLOOKUP(Table5[[#This Row],[Concerns]],Table1[],2,FALSE)</f>
        <v>System and Technology Improvement</v>
      </c>
      <c r="B188" t="s">
        <v>201</v>
      </c>
    </row>
    <row r="189" spans="1:2" x14ac:dyDescent="0.25">
      <c r="A189" t="str">
        <f>VLOOKUP(Table5[[#This Row],[Concerns]],Table1[],2,FALSE)</f>
        <v>System and Technology Improvement</v>
      </c>
      <c r="B189" t="s">
        <v>205</v>
      </c>
    </row>
    <row r="190" spans="1:2" x14ac:dyDescent="0.25">
      <c r="A190" t="str">
        <f>VLOOKUP(Table5[[#This Row],[Concerns]],Table1[],2,FALSE)</f>
        <v>System and Technology Improvement</v>
      </c>
      <c r="B190" t="s">
        <v>212</v>
      </c>
    </row>
    <row r="191" spans="1:2" x14ac:dyDescent="0.25">
      <c r="A191" t="str">
        <f>VLOOKUP(Table5[[#This Row],[Concerns]],Table1[],2,FALSE)</f>
        <v>System and Technology Improvement</v>
      </c>
      <c r="B191" t="s">
        <v>213</v>
      </c>
    </row>
    <row r="192" spans="1:2" x14ac:dyDescent="0.25">
      <c r="A192" t="str">
        <f>VLOOKUP(Table5[[#This Row],[Concerns]],Table1[],2,FALSE)</f>
        <v>System and Technology Improvement</v>
      </c>
      <c r="B192" t="s">
        <v>250</v>
      </c>
    </row>
    <row r="193" spans="1:2" x14ac:dyDescent="0.25">
      <c r="A193" t="str">
        <f>VLOOKUP(Table5[[#This Row],[Concerns]],Table1[],2,FALSE)</f>
        <v>System Deployment and Integration</v>
      </c>
      <c r="B193" t="s">
        <v>153</v>
      </c>
    </row>
    <row r="194" spans="1:2" x14ac:dyDescent="0.25">
      <c r="A194" t="str">
        <f>VLOOKUP(Table5[[#This Row],[Concerns]],Table1[],2,FALSE)</f>
        <v>System Deployment and Integration</v>
      </c>
      <c r="B194" t="s">
        <v>159</v>
      </c>
    </row>
    <row r="195" spans="1:2" x14ac:dyDescent="0.25">
      <c r="A195" t="str">
        <f>VLOOKUP(Table5[[#This Row],[Concerns]],Table1[],2,FALSE)</f>
        <v>System Deployment and Integration</v>
      </c>
      <c r="B195" t="s">
        <v>177</v>
      </c>
    </row>
    <row r="196" spans="1:2" x14ac:dyDescent="0.25">
      <c r="A196" t="str">
        <f>VLOOKUP(Table5[[#This Row],[Concerns]],Table1[],2,FALSE)</f>
        <v>System Deployment and Integration</v>
      </c>
      <c r="B196" t="s">
        <v>311</v>
      </c>
    </row>
    <row r="197" spans="1:2" x14ac:dyDescent="0.25">
      <c r="A197" t="str">
        <f>VLOOKUP(Table5[[#This Row],[Concerns]],Table1[],2,FALSE)</f>
        <v>System Deployment and Integration</v>
      </c>
      <c r="B197" t="s">
        <v>346</v>
      </c>
    </row>
    <row r="198" spans="1:2" x14ac:dyDescent="0.25">
      <c r="A198" t="str">
        <f>VLOOKUP(Table5[[#This Row],[Concerns]],Table1[],2,FALSE)</f>
        <v>System Deployment and Integration</v>
      </c>
      <c r="B198" t="s">
        <v>170</v>
      </c>
    </row>
    <row r="199" spans="1:2" x14ac:dyDescent="0.25">
      <c r="A199" t="str">
        <f>VLOOKUP(Table5[[#This Row],[Concerns]],Table1[],2,FALSE)</f>
        <v>System Deployment and Integration</v>
      </c>
      <c r="B199" t="s">
        <v>192</v>
      </c>
    </row>
    <row r="200" spans="1:2" x14ac:dyDescent="0.25">
      <c r="A200" t="str">
        <f>VLOOKUP(Table5[[#This Row],[Concerns]],Table1[],2,FALSE)</f>
        <v>System Deployment and Integration</v>
      </c>
      <c r="B200" t="s">
        <v>208</v>
      </c>
    </row>
    <row r="201" spans="1:2" x14ac:dyDescent="0.25">
      <c r="A201" t="str">
        <f>VLOOKUP(Table5[[#This Row],[Concerns]],Table1[],2,FALSE)</f>
        <v>System Deployment and Integration</v>
      </c>
      <c r="B201" t="s">
        <v>224</v>
      </c>
    </row>
    <row r="202" spans="1:2" x14ac:dyDescent="0.25">
      <c r="A202" t="str">
        <f>VLOOKUP(Table5[[#This Row],[Concerns]],Table1[],2,FALSE)</f>
        <v>System Deployment and Integration</v>
      </c>
      <c r="B202" t="s">
        <v>278</v>
      </c>
    </row>
    <row r="203" spans="1:2" x14ac:dyDescent="0.25">
      <c r="A203" t="str">
        <f>VLOOKUP(Table5[[#This Row],[Concerns]],Table1[],2,FALSE)</f>
        <v>System Deployment and Integration</v>
      </c>
      <c r="B203" t="s">
        <v>298</v>
      </c>
    </row>
    <row r="204" spans="1:2" x14ac:dyDescent="0.25">
      <c r="A204" t="str">
        <f>VLOOKUP(Table5[[#This Row],[Concerns]],Table1[],2,FALSE)</f>
        <v>System Deployment and Integration</v>
      </c>
      <c r="B204" t="s">
        <v>299</v>
      </c>
    </row>
    <row r="205" spans="1:2" x14ac:dyDescent="0.25">
      <c r="A205" t="str">
        <f>VLOOKUP(Table5[[#This Row],[Concerns]],Table1[],2,FALSE)</f>
        <v>System Deployment and Integration</v>
      </c>
      <c r="B205" t="s">
        <v>300</v>
      </c>
    </row>
    <row r="206" spans="1:2" x14ac:dyDescent="0.25">
      <c r="A206" t="str">
        <f>VLOOKUP(Table5[[#This Row],[Concerns]],Table1[],2,FALSE)</f>
        <v>System Deployment and Integration</v>
      </c>
      <c r="B206" t="s">
        <v>313</v>
      </c>
    </row>
    <row r="207" spans="1:2" x14ac:dyDescent="0.25">
      <c r="A207" t="str">
        <f>VLOOKUP(Table5[[#This Row],[Concerns]],Table1[],2,FALSE)</f>
        <v>System Deployment and Integration</v>
      </c>
      <c r="B207" t="s">
        <v>320</v>
      </c>
    </row>
    <row r="208" spans="1:2" x14ac:dyDescent="0.25">
      <c r="A208" t="str">
        <f>VLOOKUP(Table5[[#This Row],[Concerns]],Table1[],2,FALSE)</f>
        <v>System Deployment and Integration</v>
      </c>
      <c r="B208" t="s">
        <v>321</v>
      </c>
    </row>
    <row r="209" spans="1:2" x14ac:dyDescent="0.25">
      <c r="A209" t="str">
        <f>VLOOKUP(Table5[[#This Row],[Concerns]],Table1[],2,FALSE)</f>
        <v>System Deployment and Integration</v>
      </c>
      <c r="B209" t="s">
        <v>327</v>
      </c>
    </row>
    <row r="210" spans="1:2" x14ac:dyDescent="0.25">
      <c r="A210" t="str">
        <f>VLOOKUP(Table5[[#This Row],[Concerns]],Table1[],2,FALSE)</f>
        <v>System Maintenance and Support</v>
      </c>
      <c r="B210" t="s">
        <v>324</v>
      </c>
    </row>
    <row r="211" spans="1:2" x14ac:dyDescent="0.25">
      <c r="A211" t="str">
        <f>VLOOKUP(Table5[[#This Row],[Concerns]],Table1[],2,FALSE)</f>
        <v>System Maintenance and Support</v>
      </c>
      <c r="B211" t="s">
        <v>145</v>
      </c>
    </row>
    <row r="212" spans="1:2" x14ac:dyDescent="0.25">
      <c r="A212" t="str">
        <f>VLOOKUP(Table5[[#This Row],[Concerns]],Table1[],2,FALSE)</f>
        <v>System Maintenance and Support</v>
      </c>
      <c r="B212" t="s">
        <v>199</v>
      </c>
    </row>
    <row r="213" spans="1:2" x14ac:dyDescent="0.25">
      <c r="A213" t="str">
        <f>VLOOKUP(Table5[[#This Row],[Concerns]],Table1[],2,FALSE)</f>
        <v>System Maintenance and Support</v>
      </c>
      <c r="B213" t="s">
        <v>225</v>
      </c>
    </row>
    <row r="214" spans="1:2" x14ac:dyDescent="0.25">
      <c r="A214" t="str">
        <f>VLOOKUP(Table5[[#This Row],[Concerns]],Table1[],2,FALSE)</f>
        <v>System Maintenance and Support</v>
      </c>
      <c r="B214" t="s">
        <v>363</v>
      </c>
    </row>
    <row r="215" spans="1:2" x14ac:dyDescent="0.25">
      <c r="A215" t="str">
        <f>VLOOKUP(Table5[[#This Row],[Concerns]],Table1[],2,FALSE)</f>
        <v>System Maintenance and Support</v>
      </c>
      <c r="B215" t="s">
        <v>365</v>
      </c>
    </row>
    <row r="216" spans="1:2" x14ac:dyDescent="0.25">
      <c r="A216" t="str">
        <f>VLOOKUP(Table5[[#This Row],[Concerns]],Table1[],2,FALSE)</f>
        <v>System Maintenance and Support</v>
      </c>
      <c r="B216" t="s">
        <v>294</v>
      </c>
    </row>
  </sheetData>
  <mergeCells count="2">
    <mergeCell ref="A2:B2"/>
    <mergeCell ref="D2:F2"/>
  </mergeCells>
  <conditionalFormatting sqref="E4:F24">
    <cfRule type="colorScale" priority="3">
      <colorScale>
        <cfvo type="min"/>
        <cfvo type="max"/>
        <color rgb="FFF8696B"/>
        <color rgb="FFFCFCFF"/>
      </colorScale>
    </cfRule>
  </conditionalFormatting>
  <conditionalFormatting sqref="E4:E24">
    <cfRule type="colorScale" priority="2">
      <colorScale>
        <cfvo type="min"/>
        <cfvo type="max"/>
        <color rgb="FFFCFCFF"/>
        <color rgb="FFF8696B"/>
      </colorScale>
    </cfRule>
  </conditionalFormatting>
  <conditionalFormatting sqref="F4:F24">
    <cfRule type="colorScale" priority="1">
      <colorScale>
        <cfvo type="min"/>
        <cfvo type="max"/>
        <color rgb="FFFCFCFF"/>
        <color rgb="FFF8696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CopyThemeValuesUniqueValues">
                <anchor moveWithCells="1" sizeWithCells="1">
                  <from>
                    <xdr:col>3</xdr:col>
                    <xdr:colOff>47625</xdr:colOff>
                    <xdr:row>0</xdr:row>
                    <xdr:rowOff>76200</xdr:rowOff>
                  </from>
                  <to>
                    <xdr:col>5</xdr:col>
                    <xdr:colOff>885825</xdr:colOff>
                    <xdr:row>0</xdr:row>
                    <xdr:rowOff>495300</xdr:rowOff>
                  </to>
                </anchor>
              </controlPr>
            </control>
          </mc:Choice>
        </mc:AlternateContent>
        <mc:AlternateContent xmlns:mc="http://schemas.openxmlformats.org/markup-compatibility/2006">
          <mc:Choice Requires="x14">
            <control shapeId="4099" r:id="rId4" name="Button 3">
              <controlPr defaultSize="0" print="0" autoFill="0" autoPict="0" macro="[0]!CopyUpdatedConcernsValues">
                <anchor moveWithCells="1" sizeWithCells="1">
                  <from>
                    <xdr:col>0</xdr:col>
                    <xdr:colOff>0</xdr:colOff>
                    <xdr:row>0</xdr:row>
                    <xdr:rowOff>57150</xdr:rowOff>
                  </from>
                  <to>
                    <xdr:col>1</xdr:col>
                    <xdr:colOff>3057525</xdr:colOff>
                    <xdr:row>0</xdr:row>
                    <xdr:rowOff>476250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65FD-04BB-4591-80D1-307FF31BE98F}">
  <sheetPr codeName="Sheet5"/>
  <dimension ref="A1:H31"/>
  <sheetViews>
    <sheetView workbookViewId="0">
      <selection activeCell="H31" sqref="A2:H31"/>
    </sheetView>
  </sheetViews>
  <sheetFormatPr defaultRowHeight="15" x14ac:dyDescent="0.25"/>
  <cols>
    <col min="1" max="1" width="40.42578125" bestFit="1" customWidth="1"/>
    <col min="2" max="2" width="15.7109375" customWidth="1"/>
    <col min="3" max="3" width="13.7109375" bestFit="1" customWidth="1"/>
    <col min="4" max="4" width="5.28515625" customWidth="1"/>
    <col min="5" max="5" width="40.42578125" bestFit="1" customWidth="1"/>
    <col min="6" max="6" width="46.28515625" bestFit="1" customWidth="1"/>
    <col min="8" max="8" width="15.5703125" customWidth="1"/>
  </cols>
  <sheetData>
    <row r="1" spans="1:8" ht="53.25" customHeight="1" thickBot="1" x14ac:dyDescent="0.3"/>
    <row r="2" spans="1:8" ht="15.75" thickBot="1" x14ac:dyDescent="0.3">
      <c r="A2" s="39" t="s">
        <v>748</v>
      </c>
      <c r="B2" s="36">
        <v>0.05</v>
      </c>
      <c r="D2" s="37"/>
      <c r="E2" s="39" t="s">
        <v>751</v>
      </c>
      <c r="F2" s="40">
        <v>3</v>
      </c>
    </row>
    <row r="3" spans="1:8" ht="16.5" customHeight="1" x14ac:dyDescent="0.25"/>
    <row r="4" spans="1:8" x14ac:dyDescent="0.25">
      <c r="A4" t="s">
        <v>749</v>
      </c>
      <c r="B4" t="s">
        <v>4</v>
      </c>
      <c r="C4" s="38" t="s">
        <v>723</v>
      </c>
      <c r="E4" t="s">
        <v>750</v>
      </c>
      <c r="F4" t="s">
        <v>752</v>
      </c>
      <c r="G4" t="s">
        <v>4</v>
      </c>
      <c r="H4" t="s">
        <v>723</v>
      </c>
    </row>
    <row r="5" spans="1:8" x14ac:dyDescent="0.25">
      <c r="A5" t="s">
        <v>728</v>
      </c>
      <c r="B5">
        <f>VLOOKUP(Table7[[#This Row],[Table 7: Selected Theme Gatergory]],Table6[],2,FALSE)</f>
        <v>15</v>
      </c>
      <c r="C5" s="38">
        <f t="shared" ref="C5:C13" si="0">B5/SUM(B$5:B$13)</f>
        <v>0.10563380281690141</v>
      </c>
      <c r="E5" t="s">
        <v>728</v>
      </c>
      <c r="F5" t="s">
        <v>151</v>
      </c>
      <c r="G5" s="65">
        <f>VLOOKUP(Table8[[#This Row],[Relating Concern]],Table2[],2,FALSE)</f>
        <v>10</v>
      </c>
      <c r="H5" s="38">
        <f>Table8[[#This Row],[Count]]/SUM(Table8[Count])</f>
        <v>0.14492753623188406</v>
      </c>
    </row>
    <row r="6" spans="1:8" x14ac:dyDescent="0.25">
      <c r="A6" t="s">
        <v>726</v>
      </c>
      <c r="B6">
        <f>VLOOKUP(Table7[[#This Row],[Table 7: Selected Theme Gatergory]],Table6[],2,FALSE)</f>
        <v>14</v>
      </c>
      <c r="C6" s="38">
        <f t="shared" si="0"/>
        <v>9.8591549295774641E-2</v>
      </c>
      <c r="E6" t="s">
        <v>728</v>
      </c>
      <c r="F6" t="s">
        <v>168</v>
      </c>
      <c r="G6" s="65">
        <f>VLOOKUP(Table8[[#This Row],[Relating Concern]],Table2[],2,FALSE)</f>
        <v>2</v>
      </c>
      <c r="H6" s="38">
        <f>Table8[[#This Row],[Count]]/SUM(Table8[Count])</f>
        <v>2.8985507246376812E-2</v>
      </c>
    </row>
    <row r="7" spans="1:8" x14ac:dyDescent="0.25">
      <c r="A7" t="s">
        <v>733</v>
      </c>
      <c r="B7">
        <f>VLOOKUP(Table7[[#This Row],[Table 7: Selected Theme Gatergory]],Table6[],2,FALSE)</f>
        <v>15</v>
      </c>
      <c r="C7" s="38">
        <f t="shared" si="0"/>
        <v>0.10563380281690141</v>
      </c>
      <c r="E7" t="s">
        <v>728</v>
      </c>
      <c r="F7" t="s">
        <v>166</v>
      </c>
      <c r="G7" s="65">
        <f>VLOOKUP(Table8[[#This Row],[Relating Concern]],Table2[],2,FALSE)</f>
        <v>1</v>
      </c>
      <c r="H7" s="38">
        <f>Table8[[#This Row],[Count]]/SUM(Table8[Count])</f>
        <v>1.4492753623188406E-2</v>
      </c>
    </row>
    <row r="8" spans="1:8" x14ac:dyDescent="0.25">
      <c r="A8" t="s">
        <v>729</v>
      </c>
      <c r="B8">
        <f>VLOOKUP(Table7[[#This Row],[Table 7: Selected Theme Gatergory]],Table6[],2,FALSE)</f>
        <v>19</v>
      </c>
      <c r="C8" s="38">
        <f t="shared" si="0"/>
        <v>0.13380281690140844</v>
      </c>
      <c r="E8" t="s">
        <v>726</v>
      </c>
      <c r="F8" t="s">
        <v>158</v>
      </c>
      <c r="G8" s="65">
        <f>VLOOKUP(Table8[[#This Row],[Relating Concern]],Table2[],2,FALSE)</f>
        <v>5</v>
      </c>
      <c r="H8" s="38">
        <f>Table8[[#This Row],[Count]]/SUM(Table8[Count])</f>
        <v>7.2463768115942032E-2</v>
      </c>
    </row>
    <row r="9" spans="1:8" x14ac:dyDescent="0.25">
      <c r="A9" t="s">
        <v>727</v>
      </c>
      <c r="B9">
        <f>VLOOKUP(Table7[[#This Row],[Table 7: Selected Theme Gatergory]],Table6[],2,FALSE)</f>
        <v>20</v>
      </c>
      <c r="C9" s="38">
        <f t="shared" si="0"/>
        <v>0.14084507042253522</v>
      </c>
      <c r="E9" t="s">
        <v>726</v>
      </c>
      <c r="F9" t="s">
        <v>142</v>
      </c>
      <c r="G9" s="65">
        <f>VLOOKUP(Table8[[#This Row],[Relating Concern]],Table2[],2,FALSE)</f>
        <v>2</v>
      </c>
      <c r="H9" s="38">
        <f>Table8[[#This Row],[Count]]/SUM(Table8[Count])</f>
        <v>2.8985507246376812E-2</v>
      </c>
    </row>
    <row r="10" spans="1:8" x14ac:dyDescent="0.25">
      <c r="A10" t="s">
        <v>731</v>
      </c>
      <c r="B10">
        <f>VLOOKUP(Table7[[#This Row],[Table 7: Selected Theme Gatergory]],Table6[],2,FALSE)</f>
        <v>13</v>
      </c>
      <c r="C10" s="38">
        <f t="shared" si="0"/>
        <v>9.154929577464789E-2</v>
      </c>
      <c r="E10" t="s">
        <v>726</v>
      </c>
      <c r="F10" t="s">
        <v>180</v>
      </c>
      <c r="G10" s="65">
        <f>VLOOKUP(Table8[[#This Row],[Relating Concern]],Table2[],2,FALSE)</f>
        <v>1</v>
      </c>
      <c r="H10" s="38">
        <f>Table8[[#This Row],[Count]]/SUM(Table8[Count])</f>
        <v>1.4492753623188406E-2</v>
      </c>
    </row>
    <row r="11" spans="1:8" x14ac:dyDescent="0.25">
      <c r="A11" t="s">
        <v>732</v>
      </c>
      <c r="B11">
        <f>VLOOKUP(Table7[[#This Row],[Table 7: Selected Theme Gatergory]],Table6[],2,FALSE)</f>
        <v>16</v>
      </c>
      <c r="C11" s="38">
        <f t="shared" si="0"/>
        <v>0.11267605633802817</v>
      </c>
      <c r="E11" t="s">
        <v>733</v>
      </c>
      <c r="F11" t="s">
        <v>144</v>
      </c>
      <c r="G11" s="65">
        <f>VLOOKUP(Table8[[#This Row],[Relating Concern]],Table2[],2,FALSE)</f>
        <v>1</v>
      </c>
      <c r="H11" s="38">
        <f>Table8[[#This Row],[Count]]/SUM(Table8[Count])</f>
        <v>1.4492753623188406E-2</v>
      </c>
    </row>
    <row r="12" spans="1:8" x14ac:dyDescent="0.25">
      <c r="A12" t="s">
        <v>725</v>
      </c>
      <c r="B12">
        <f>VLOOKUP(Table7[[#This Row],[Table 7: Selected Theme Gatergory]],Table6[],2,FALSE)</f>
        <v>13</v>
      </c>
      <c r="C12" s="38">
        <f t="shared" si="0"/>
        <v>9.154929577464789E-2</v>
      </c>
      <c r="E12" t="s">
        <v>733</v>
      </c>
      <c r="F12" t="s">
        <v>149</v>
      </c>
      <c r="G12" s="65">
        <f>VLOOKUP(Table8[[#This Row],[Relating Concern]],Table2[],2,FALSE)</f>
        <v>1</v>
      </c>
      <c r="H12" s="38">
        <f>Table8[[#This Row],[Count]]/SUM(Table8[Count])</f>
        <v>1.4492753623188406E-2</v>
      </c>
    </row>
    <row r="13" spans="1:8" x14ac:dyDescent="0.25">
      <c r="A13" t="s">
        <v>738</v>
      </c>
      <c r="B13">
        <f>VLOOKUP(Table7[[#This Row],[Table 7: Selected Theme Gatergory]],Table6[],2,FALSE)</f>
        <v>17</v>
      </c>
      <c r="C13" s="38">
        <f t="shared" si="0"/>
        <v>0.11971830985915492</v>
      </c>
      <c r="E13" t="s">
        <v>733</v>
      </c>
      <c r="F13" t="s">
        <v>154</v>
      </c>
      <c r="G13" s="65">
        <f>VLOOKUP(Table8[[#This Row],[Relating Concern]],Table2[],2,FALSE)</f>
        <v>1</v>
      </c>
      <c r="H13" s="38">
        <f>Table8[[#This Row],[Count]]/SUM(Table8[Count])</f>
        <v>1.4492753623188406E-2</v>
      </c>
    </row>
    <row r="14" spans="1:8" x14ac:dyDescent="0.25">
      <c r="E14" t="s">
        <v>729</v>
      </c>
      <c r="F14" t="s">
        <v>152</v>
      </c>
      <c r="G14" s="65">
        <f>VLOOKUP(Table8[[#This Row],[Relating Concern]],Table2[],2,FALSE)</f>
        <v>3</v>
      </c>
      <c r="H14" s="38">
        <f>Table8[[#This Row],[Count]]/SUM(Table8[Count])</f>
        <v>4.3478260869565216E-2</v>
      </c>
    </row>
    <row r="15" spans="1:8" x14ac:dyDescent="0.25">
      <c r="E15" t="s">
        <v>729</v>
      </c>
      <c r="F15" t="s">
        <v>352</v>
      </c>
      <c r="G15" s="65">
        <f>VLOOKUP(Table8[[#This Row],[Relating Concern]],Table2[],2,FALSE)</f>
        <v>3</v>
      </c>
      <c r="H15" s="38">
        <f>Table8[[#This Row],[Count]]/SUM(Table8[Count])</f>
        <v>4.3478260869565216E-2</v>
      </c>
    </row>
    <row r="16" spans="1:8" x14ac:dyDescent="0.25">
      <c r="E16" t="s">
        <v>729</v>
      </c>
      <c r="F16" t="s">
        <v>162</v>
      </c>
      <c r="G16" s="65">
        <f>VLOOKUP(Table8[[#This Row],[Relating Concern]],Table2[],2,FALSE)</f>
        <v>2</v>
      </c>
      <c r="H16" s="38">
        <f>Table8[[#This Row],[Count]]/SUM(Table8[Count])</f>
        <v>2.8985507246376812E-2</v>
      </c>
    </row>
    <row r="17" spans="5:8" x14ac:dyDescent="0.25">
      <c r="E17" t="s">
        <v>727</v>
      </c>
      <c r="F17" t="s">
        <v>183</v>
      </c>
      <c r="G17" s="65">
        <f>VLOOKUP(Table8[[#This Row],[Relating Concern]],Table2[],2,FALSE)</f>
        <v>4</v>
      </c>
      <c r="H17" s="38">
        <f>Table8[[#This Row],[Count]]/SUM(Table8[Count])</f>
        <v>5.7971014492753624E-2</v>
      </c>
    </row>
    <row r="18" spans="5:8" x14ac:dyDescent="0.25">
      <c r="E18" t="s">
        <v>727</v>
      </c>
      <c r="F18" t="s">
        <v>367</v>
      </c>
      <c r="G18" s="65">
        <f>VLOOKUP(Table8[[#This Row],[Relating Concern]],Table2[],2,FALSE)</f>
        <v>4</v>
      </c>
      <c r="H18" s="38">
        <f>Table8[[#This Row],[Count]]/SUM(Table8[Count])</f>
        <v>5.7971014492753624E-2</v>
      </c>
    </row>
    <row r="19" spans="5:8" x14ac:dyDescent="0.25">
      <c r="E19" t="s">
        <v>727</v>
      </c>
      <c r="F19" t="s">
        <v>155</v>
      </c>
      <c r="G19" s="65">
        <f>VLOOKUP(Table8[[#This Row],[Relating Concern]],Table2[],2,FALSE)</f>
        <v>1</v>
      </c>
      <c r="H19" s="38">
        <f>Table8[[#This Row],[Count]]/SUM(Table8[Count])</f>
        <v>1.4492753623188406E-2</v>
      </c>
    </row>
    <row r="20" spans="5:8" x14ac:dyDescent="0.25">
      <c r="E20" t="s">
        <v>731</v>
      </c>
      <c r="F20" t="s">
        <v>172</v>
      </c>
      <c r="G20" s="65">
        <f>VLOOKUP(Table8[[#This Row],[Relating Concern]],Table2[],2,FALSE)</f>
        <v>2</v>
      </c>
      <c r="H20" s="38">
        <f>Table8[[#This Row],[Count]]/SUM(Table8[Count])</f>
        <v>2.8985507246376812E-2</v>
      </c>
    </row>
    <row r="21" spans="5:8" x14ac:dyDescent="0.25">
      <c r="E21" t="s">
        <v>731</v>
      </c>
      <c r="F21" t="s">
        <v>146</v>
      </c>
      <c r="G21" s="65">
        <f>VLOOKUP(Table8[[#This Row],[Relating Concern]],Table2[],2,FALSE)</f>
        <v>1</v>
      </c>
      <c r="H21" s="38">
        <f>Table8[[#This Row],[Count]]/SUM(Table8[Count])</f>
        <v>1.4492753623188406E-2</v>
      </c>
    </row>
    <row r="22" spans="5:8" x14ac:dyDescent="0.25">
      <c r="E22" t="s">
        <v>731</v>
      </c>
      <c r="F22" t="s">
        <v>167</v>
      </c>
      <c r="G22" s="65">
        <f>VLOOKUP(Table8[[#This Row],[Relating Concern]],Table2[],2,FALSE)</f>
        <v>1</v>
      </c>
      <c r="H22" s="38">
        <f>Table8[[#This Row],[Count]]/SUM(Table8[Count])</f>
        <v>1.4492753623188406E-2</v>
      </c>
    </row>
    <row r="23" spans="5:8" x14ac:dyDescent="0.25">
      <c r="E23" t="s">
        <v>732</v>
      </c>
      <c r="F23" t="s">
        <v>141</v>
      </c>
      <c r="G23" s="65">
        <f>VLOOKUP(Table8[[#This Row],[Relating Concern]],Table2[],2,FALSE)</f>
        <v>1</v>
      </c>
      <c r="H23" s="38">
        <f>Table8[[#This Row],[Count]]/SUM(Table8[Count])</f>
        <v>1.4492753623188406E-2</v>
      </c>
    </row>
    <row r="24" spans="5:8" x14ac:dyDescent="0.25">
      <c r="E24" t="s">
        <v>732</v>
      </c>
      <c r="F24" t="s">
        <v>148</v>
      </c>
      <c r="G24" s="65">
        <f>VLOOKUP(Table8[[#This Row],[Relating Concern]],Table2[],2,FALSE)</f>
        <v>1</v>
      </c>
      <c r="H24" s="38">
        <f>Table8[[#This Row],[Count]]/SUM(Table8[Count])</f>
        <v>1.4492753623188406E-2</v>
      </c>
    </row>
    <row r="25" spans="5:8" x14ac:dyDescent="0.25">
      <c r="E25" t="s">
        <v>732</v>
      </c>
      <c r="F25" t="s">
        <v>163</v>
      </c>
      <c r="G25" s="65">
        <f>VLOOKUP(Table8[[#This Row],[Relating Concern]],Table2[],2,FALSE)</f>
        <v>1</v>
      </c>
      <c r="H25" s="38">
        <f>Table8[[#This Row],[Count]]/SUM(Table8[Count])</f>
        <v>1.4492753623188406E-2</v>
      </c>
    </row>
    <row r="26" spans="5:8" x14ac:dyDescent="0.25">
      <c r="E26" t="s">
        <v>725</v>
      </c>
      <c r="F26" t="s">
        <v>185</v>
      </c>
      <c r="G26" s="65">
        <f>VLOOKUP(Table8[[#This Row],[Relating Concern]],Table2[],2,FALSE)</f>
        <v>5</v>
      </c>
      <c r="H26" s="38">
        <f>Table8[[#This Row],[Count]]/SUM(Table8[Count])</f>
        <v>7.2463768115942032E-2</v>
      </c>
    </row>
    <row r="27" spans="5:8" x14ac:dyDescent="0.25">
      <c r="E27" t="s">
        <v>725</v>
      </c>
      <c r="F27" t="s">
        <v>195</v>
      </c>
      <c r="G27" s="65">
        <f>VLOOKUP(Table8[[#This Row],[Relating Concern]],Table2[],2,FALSE)</f>
        <v>2</v>
      </c>
      <c r="H27" s="38">
        <f>Table8[[#This Row],[Count]]/SUM(Table8[Count])</f>
        <v>2.8985507246376812E-2</v>
      </c>
    </row>
    <row r="28" spans="5:8" x14ac:dyDescent="0.25">
      <c r="E28" t="s">
        <v>725</v>
      </c>
      <c r="F28" t="s">
        <v>174</v>
      </c>
      <c r="G28" s="65">
        <f>VLOOKUP(Table8[[#This Row],[Relating Concern]],Table2[],2,FALSE)</f>
        <v>1</v>
      </c>
      <c r="H28" s="38">
        <f>Table8[[#This Row],[Count]]/SUM(Table8[Count])</f>
        <v>1.4492753623188406E-2</v>
      </c>
    </row>
    <row r="29" spans="5:8" x14ac:dyDescent="0.25">
      <c r="E29" t="s">
        <v>738</v>
      </c>
      <c r="F29" t="s">
        <v>153</v>
      </c>
      <c r="G29" s="65">
        <f>VLOOKUP(Table8[[#This Row],[Relating Concern]],Table2[],2,FALSE)</f>
        <v>9</v>
      </c>
      <c r="H29" s="38">
        <f>Table8[[#This Row],[Count]]/SUM(Table8[Count])</f>
        <v>0.13043478260869565</v>
      </c>
    </row>
    <row r="30" spans="5:8" x14ac:dyDescent="0.25">
      <c r="E30" t="s">
        <v>738</v>
      </c>
      <c r="F30" t="s">
        <v>159</v>
      </c>
      <c r="G30" s="65">
        <f>VLOOKUP(Table8[[#This Row],[Relating Concern]],Table2[],2,FALSE)</f>
        <v>2</v>
      </c>
      <c r="H30" s="38">
        <f>Table8[[#This Row],[Count]]/SUM(Table8[Count])</f>
        <v>2.8985507246376812E-2</v>
      </c>
    </row>
    <row r="31" spans="5:8" x14ac:dyDescent="0.25">
      <c r="E31" t="s">
        <v>738</v>
      </c>
      <c r="F31" t="s">
        <v>177</v>
      </c>
      <c r="G31" s="65">
        <f>VLOOKUP(Table8[[#This Row],[Relating Concern]],Table2[],2,FALSE)</f>
        <v>2</v>
      </c>
      <c r="H31" s="38">
        <f>Table8[[#This Row],[Count]]/SUM(Table8[Count])</f>
        <v>2.8985507246376812E-2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InsertThemeValuesIfGreater">
                <anchor moveWithCells="1" sizeWithCells="1">
                  <from>
                    <xdr:col>0</xdr:col>
                    <xdr:colOff>47625</xdr:colOff>
                    <xdr:row>0</xdr:row>
                    <xdr:rowOff>76200</xdr:rowOff>
                  </from>
                  <to>
                    <xdr:col>2</xdr:col>
                    <xdr:colOff>904875</xdr:colOff>
                    <xdr:row>0</xdr:row>
                    <xdr:rowOff>495300</xdr:rowOff>
                  </to>
                </anchor>
              </controlPr>
            </control>
          </mc:Choice>
        </mc:AlternateContent>
        <mc:AlternateContent xmlns:mc="http://schemas.openxmlformats.org/markup-compatibility/2006">
          <mc:Choice Requires="x14">
            <control shapeId="6147" r:id="rId4" name="Button 3">
              <controlPr defaultSize="0" print="0" autoFill="0" autoPict="0" macro="[0]!InsertTopConcernValuesForMatchingThemes">
                <anchor moveWithCells="1" sizeWithCells="1">
                  <from>
                    <xdr:col>4</xdr:col>
                    <xdr:colOff>47625</xdr:colOff>
                    <xdr:row>0</xdr:row>
                    <xdr:rowOff>76200</xdr:rowOff>
                  </from>
                  <to>
                    <xdr:col>7</xdr:col>
                    <xdr:colOff>1038225</xdr:colOff>
                    <xdr:row>0</xdr:row>
                    <xdr:rowOff>495300</xdr:rowOff>
                  </to>
                </anchor>
              </controlPr>
            </control>
          </mc:Choice>
        </mc:AlternateContent>
      </controls>
    </mc:Choice>
  </mc:AlternateContent>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67C9D-5106-4367-A0A1-6C508AFA6130}">
  <sheetPr codeName="Sheet6"/>
  <dimension ref="A2:L944"/>
  <sheetViews>
    <sheetView workbookViewId="0">
      <selection activeCell="D4" sqref="D4"/>
    </sheetView>
  </sheetViews>
  <sheetFormatPr defaultRowHeight="15" x14ac:dyDescent="0.25"/>
  <cols>
    <col min="1" max="1" width="40.42578125" bestFit="1" customWidth="1"/>
    <col min="2" max="2" width="33" bestFit="1" customWidth="1"/>
    <col min="3" max="3" width="18.140625" bestFit="1" customWidth="1"/>
    <col min="4" max="4" width="42.5703125" bestFit="1" customWidth="1"/>
    <col min="5" max="5" width="23.7109375" bestFit="1" customWidth="1"/>
    <col min="6" max="6" width="19.85546875" style="35" bestFit="1" customWidth="1"/>
    <col min="7" max="7" width="42.5703125" style="35" bestFit="1" customWidth="1"/>
    <col min="9" max="9" width="9.140625" customWidth="1"/>
    <col min="10" max="10" width="9.85546875" customWidth="1"/>
    <col min="11" max="11" width="17.5703125" bestFit="1" customWidth="1"/>
    <col min="12" max="12" width="42.5703125" bestFit="1" customWidth="1"/>
  </cols>
  <sheetData>
    <row r="2" spans="1:12" ht="42.75" customHeight="1" x14ac:dyDescent="0.25"/>
    <row r="5" spans="1:12" x14ac:dyDescent="0.25">
      <c r="A5" s="41" t="s">
        <v>754</v>
      </c>
      <c r="B5" s="41" t="s">
        <v>755</v>
      </c>
      <c r="C5" s="41" t="s">
        <v>757</v>
      </c>
      <c r="D5" s="41" t="s">
        <v>845</v>
      </c>
      <c r="E5" s="41" t="s">
        <v>9</v>
      </c>
      <c r="F5" s="41" t="s">
        <v>843</v>
      </c>
      <c r="G5" s="41" t="s">
        <v>847</v>
      </c>
      <c r="I5" s="62" t="s">
        <v>772</v>
      </c>
      <c r="J5" s="62"/>
      <c r="K5" s="62"/>
      <c r="L5" s="62"/>
    </row>
    <row r="6" spans="1:12" x14ac:dyDescent="0.25">
      <c r="A6" s="44" t="s">
        <v>728</v>
      </c>
      <c r="B6" s="50" t="s">
        <v>846</v>
      </c>
      <c r="C6" s="54">
        <v>0.10563380281690141</v>
      </c>
      <c r="D6" s="44"/>
      <c r="E6" s="44"/>
      <c r="F6" s="44"/>
      <c r="G6" s="44"/>
      <c r="I6" t="s">
        <v>770</v>
      </c>
      <c r="J6" t="s">
        <v>771</v>
      </c>
      <c r="K6" t="s">
        <v>758</v>
      </c>
      <c r="L6" t="s">
        <v>759</v>
      </c>
    </row>
    <row r="7" spans="1:12" x14ac:dyDescent="0.25">
      <c r="A7" s="44"/>
      <c r="B7" s="42" t="s">
        <v>151</v>
      </c>
      <c r="C7" s="53">
        <v>0.14492753623188406</v>
      </c>
      <c r="D7" s="52">
        <f>IF(F7 = "Y", 0, C7)</f>
        <v>0.14492753623188406</v>
      </c>
      <c r="E7" s="47" t="str">
        <f>VLOOKUP(B7, Table1[], 3, FALSE)</f>
        <v>Strategic fit</v>
      </c>
      <c r="F7" s="51"/>
      <c r="G7" s="47"/>
      <c r="I7" s="32">
        <v>0</v>
      </c>
      <c r="J7" s="32">
        <v>0.15</v>
      </c>
      <c r="K7" t="s">
        <v>768</v>
      </c>
      <c r="L7" t="s">
        <v>769</v>
      </c>
    </row>
    <row r="8" spans="1:12" x14ac:dyDescent="0.25">
      <c r="A8" s="44"/>
      <c r="B8" s="42" t="s">
        <v>168</v>
      </c>
      <c r="C8" s="53">
        <v>2.8985507246376812E-2</v>
      </c>
      <c r="D8" s="52">
        <f>IF(F8 = "Y", 0, C8)</f>
        <v>2.8985507246376812E-2</v>
      </c>
      <c r="E8" s="47" t="str">
        <f>VLOOKUP(B8, Table1[], 3, FALSE)</f>
        <v>IT strategy</v>
      </c>
      <c r="F8" s="51"/>
      <c r="G8" s="47"/>
      <c r="I8" s="32">
        <v>0.15</v>
      </c>
      <c r="J8" s="32">
        <v>0.3</v>
      </c>
      <c r="K8" t="s">
        <v>766</v>
      </c>
      <c r="L8" t="s">
        <v>767</v>
      </c>
    </row>
    <row r="9" spans="1:12" x14ac:dyDescent="0.25">
      <c r="A9" s="44"/>
      <c r="B9" s="42" t="s">
        <v>166</v>
      </c>
      <c r="C9" s="53">
        <v>1.4492753623188406E-2</v>
      </c>
      <c r="D9" s="52">
        <f>IF(F9 = "Y", 0, C9)</f>
        <v>1.4492753623188406E-2</v>
      </c>
      <c r="E9" s="47" t="str">
        <f>VLOOKUP(B9, Table1[], 3, FALSE)</f>
        <v>Goal alignment</v>
      </c>
      <c r="F9" s="51"/>
      <c r="G9" s="47"/>
      <c r="I9" s="32">
        <v>0.3</v>
      </c>
      <c r="J9" s="32">
        <v>0.6</v>
      </c>
      <c r="K9" t="s">
        <v>764</v>
      </c>
      <c r="L9" t="s">
        <v>765</v>
      </c>
    </row>
    <row r="10" spans="1:12" x14ac:dyDescent="0.25">
      <c r="F10"/>
      <c r="G10"/>
      <c r="I10" s="32">
        <v>0.6</v>
      </c>
      <c r="J10" s="32">
        <v>0.8</v>
      </c>
      <c r="K10" t="s">
        <v>762</v>
      </c>
      <c r="L10" t="s">
        <v>763</v>
      </c>
    </row>
    <row r="11" spans="1:12" x14ac:dyDescent="0.25">
      <c r="A11" s="44" t="s">
        <v>726</v>
      </c>
      <c r="B11" s="50" t="s">
        <v>846</v>
      </c>
      <c r="C11" s="54">
        <v>9.8591549295774641E-2</v>
      </c>
      <c r="D11" s="44"/>
      <c r="E11" s="44"/>
      <c r="F11" s="44"/>
      <c r="G11" s="44"/>
      <c r="I11" s="32">
        <v>0.8</v>
      </c>
      <c r="J11" s="32">
        <v>1</v>
      </c>
      <c r="K11" t="s">
        <v>760</v>
      </c>
      <c r="L11" t="s">
        <v>761</v>
      </c>
    </row>
    <row r="12" spans="1:12" x14ac:dyDescent="0.25">
      <c r="A12" s="44"/>
      <c r="B12" s="42" t="s">
        <v>158</v>
      </c>
      <c r="C12" s="53">
        <v>7.2463768115942032E-2</v>
      </c>
      <c r="D12" s="52">
        <f>IF(F12 = "Y", 0, C12)</f>
        <v>7.2463768115942032E-2</v>
      </c>
      <c r="E12" s="47" t="str">
        <f>VLOOKUP(B12, Table1[], 3, FALSE)</f>
        <v>Teamwork tools</v>
      </c>
      <c r="F12" s="51"/>
      <c r="G12" s="47"/>
    </row>
    <row r="13" spans="1:12" x14ac:dyDescent="0.25">
      <c r="A13" s="44"/>
      <c r="B13" s="42" t="s">
        <v>142</v>
      </c>
      <c r="C13" s="53">
        <v>2.8985507246376812E-2</v>
      </c>
      <c r="D13" s="52">
        <f>IF(F13 = "Y", 0, C13)</f>
        <v>2.8985507246376812E-2</v>
      </c>
      <c r="E13" s="47" t="str">
        <f>VLOOKUP(B13, Table1[], 3, FALSE)</f>
        <v>Streamlined processes</v>
      </c>
      <c r="F13" s="51"/>
      <c r="G13" s="47"/>
    </row>
    <row r="14" spans="1:12" x14ac:dyDescent="0.25">
      <c r="A14" s="44"/>
      <c r="B14" s="42" t="s">
        <v>180</v>
      </c>
      <c r="C14" s="53">
        <v>1.4492753623188406E-2</v>
      </c>
      <c r="D14" s="52">
        <f>IF(F14 = "Y", 0, C14)</f>
        <v>1.4492753623188406E-2</v>
      </c>
      <c r="E14" s="47" t="str">
        <f>VLOOKUP(B14, Table1[], 3, FALSE)</f>
        <v>Helpdesk</v>
      </c>
      <c r="F14" s="51"/>
      <c r="G14" s="47"/>
    </row>
    <row r="15" spans="1:12" x14ac:dyDescent="0.25">
      <c r="F15"/>
      <c r="G15"/>
    </row>
    <row r="16" spans="1:12" x14ac:dyDescent="0.25">
      <c r="A16" s="44" t="s">
        <v>733</v>
      </c>
      <c r="B16" s="50" t="s">
        <v>846</v>
      </c>
      <c r="C16" s="54">
        <v>0.10563380281690141</v>
      </c>
      <c r="D16" s="44"/>
      <c r="E16" s="44"/>
      <c r="F16" s="44"/>
      <c r="G16" s="44"/>
    </row>
    <row r="17" spans="1:7" x14ac:dyDescent="0.25">
      <c r="A17" s="44"/>
      <c r="B17" s="42" t="s">
        <v>144</v>
      </c>
      <c r="C17" s="53">
        <v>1.4492753623188406E-2</v>
      </c>
      <c r="D17" s="52">
        <f>IF(F17 = "Y", 0, C17)</f>
        <v>1.4492753623188406E-2</v>
      </c>
      <c r="E17" s="47" t="str">
        <f>VLOOKUP(B17, Table1[], 3, FALSE)</f>
        <v>Secure exchange</v>
      </c>
      <c r="F17" s="51"/>
      <c r="G17" s="47"/>
    </row>
    <row r="18" spans="1:7" x14ac:dyDescent="0.25">
      <c r="A18" s="44"/>
      <c r="B18" s="42" t="s">
        <v>149</v>
      </c>
      <c r="C18" s="53">
        <v>1.4492753623188406E-2</v>
      </c>
      <c r="D18" s="52">
        <f>IF(F18 = "Y", 0, C18)</f>
        <v>1.4492753623188406E-2</v>
      </c>
      <c r="E18" s="47" t="str">
        <f>VLOOKUP(B18, Table1[], 3, FALSE)</f>
        <v>Centralized management</v>
      </c>
      <c r="F18" s="51"/>
      <c r="G18" s="47"/>
    </row>
    <row r="19" spans="1:7" x14ac:dyDescent="0.25">
      <c r="A19" s="44"/>
      <c r="B19" s="42" t="s">
        <v>154</v>
      </c>
      <c r="C19" s="53">
        <v>1.4492753623188406E-2</v>
      </c>
      <c r="D19" s="52">
        <f>IF(F19 = "Y", 0, C19)</f>
        <v>1.4492753623188406E-2</v>
      </c>
      <c r="E19" s="47" t="str">
        <f>VLOOKUP(B19, Table1[], 3, FALSE)</f>
        <v>Regulatory adherence</v>
      </c>
      <c r="F19" s="51"/>
      <c r="G19" s="47"/>
    </row>
    <row r="20" spans="1:7" x14ac:dyDescent="0.25">
      <c r="F20"/>
      <c r="G20"/>
    </row>
    <row r="21" spans="1:7" x14ac:dyDescent="0.25">
      <c r="A21" s="44" t="s">
        <v>729</v>
      </c>
      <c r="B21" s="50" t="s">
        <v>846</v>
      </c>
      <c r="C21" s="54">
        <v>0.13380281690140844</v>
      </c>
      <c r="D21" s="44"/>
      <c r="E21" s="44"/>
      <c r="F21" s="44"/>
      <c r="G21" s="44"/>
    </row>
    <row r="22" spans="1:7" x14ac:dyDescent="0.25">
      <c r="A22" s="44"/>
      <c r="B22" s="42" t="s">
        <v>152</v>
      </c>
      <c r="C22" s="53">
        <v>4.3478260869565216E-2</v>
      </c>
      <c r="D22" s="52">
        <f>IF(F22 = "Y", 0, C22)</f>
        <v>4.3478260869565216E-2</v>
      </c>
      <c r="E22" s="47" t="str">
        <f>VLOOKUP(B22, Table1[], 3, FALSE)</f>
        <v>Performance review</v>
      </c>
      <c r="F22" s="51"/>
      <c r="G22" s="47"/>
    </row>
    <row r="23" spans="1:7" x14ac:dyDescent="0.25">
      <c r="A23" s="44"/>
      <c r="B23" s="42" t="s">
        <v>352</v>
      </c>
      <c r="C23" s="53">
        <v>4.3478260869565216E-2</v>
      </c>
      <c r="D23" s="52">
        <f>IF(F23 = "Y", 0, C23)</f>
        <v>4.3478260869565216E-2</v>
      </c>
      <c r="E23" s="47" t="str">
        <f>VLOOKUP(B23, Table1[], 3, FALSE)</f>
        <v>Operational efficiency</v>
      </c>
      <c r="F23" s="51"/>
      <c r="G23" s="47"/>
    </row>
    <row r="24" spans="1:7" x14ac:dyDescent="0.25">
      <c r="A24" s="44"/>
      <c r="B24" s="42" t="s">
        <v>162</v>
      </c>
      <c r="C24" s="53">
        <v>2.8985507246376812E-2</v>
      </c>
      <c r="D24" s="52">
        <f>IF(F24 = "Y", 0, C24)</f>
        <v>2.8985507246376812E-2</v>
      </c>
      <c r="E24" s="47" t="str">
        <f>VLOOKUP(B24, Table1[], 3, FALSE)</f>
        <v>Policy framework</v>
      </c>
      <c r="F24" s="51"/>
      <c r="G24" s="47"/>
    </row>
    <row r="25" spans="1:7" x14ac:dyDescent="0.25">
      <c r="F25"/>
      <c r="G25"/>
    </row>
    <row r="26" spans="1:7" x14ac:dyDescent="0.25">
      <c r="A26" s="44" t="s">
        <v>727</v>
      </c>
      <c r="B26" s="50" t="s">
        <v>846</v>
      </c>
      <c r="C26" s="54">
        <v>0.14084507042253522</v>
      </c>
      <c r="D26" s="44"/>
      <c r="E26" s="44"/>
      <c r="F26" s="44"/>
      <c r="G26" s="44"/>
    </row>
    <row r="27" spans="1:7" x14ac:dyDescent="0.25">
      <c r="A27" s="44"/>
      <c r="B27" s="42" t="s">
        <v>183</v>
      </c>
      <c r="C27" s="53">
        <v>5.7971014492753624E-2</v>
      </c>
      <c r="D27" s="52">
        <f>IF(F27 = "Y", 0, C27)</f>
        <v>5.7971014492753624E-2</v>
      </c>
      <c r="E27" s="47" t="str">
        <f>VLOOKUP(B27, Table1[], 3, FALSE)</f>
        <v>Open data</v>
      </c>
      <c r="F27" s="51"/>
      <c r="G27" s="47"/>
    </row>
    <row r="28" spans="1:7" x14ac:dyDescent="0.25">
      <c r="A28" s="44"/>
      <c r="B28" s="42" t="s">
        <v>367</v>
      </c>
      <c r="C28" s="53">
        <v>5.7971014492753624E-2</v>
      </c>
      <c r="D28" s="52">
        <f>IF(F28 = "Y", 0, C28)</f>
        <v>5.7971014492753624E-2</v>
      </c>
      <c r="E28" s="47" t="str">
        <f>VLOOKUP(B28, Table1[], 3, FALSE)</f>
        <v>Data governance</v>
      </c>
      <c r="F28" s="51"/>
      <c r="G28" s="47"/>
    </row>
    <row r="29" spans="1:7" x14ac:dyDescent="0.25">
      <c r="A29" s="44"/>
      <c r="B29" s="42" t="s">
        <v>155</v>
      </c>
      <c r="C29" s="53">
        <v>1.4492753623188406E-2</v>
      </c>
      <c r="D29" s="52">
        <f>IF(F29 = "Y", 0, C29)</f>
        <v>1.4492753623188406E-2</v>
      </c>
      <c r="E29" s="47" t="str">
        <f>VLOOKUP(B29, Table1[], 3, FALSE)</f>
        <v>User portals</v>
      </c>
      <c r="F29" s="51"/>
      <c r="G29" s="47"/>
    </row>
    <row r="30" spans="1:7" x14ac:dyDescent="0.25">
      <c r="F30"/>
      <c r="G30"/>
    </row>
    <row r="31" spans="1:7" x14ac:dyDescent="0.25">
      <c r="A31" s="44" t="s">
        <v>731</v>
      </c>
      <c r="B31" s="50" t="s">
        <v>846</v>
      </c>
      <c r="C31" s="54">
        <v>9.154929577464789E-2</v>
      </c>
      <c r="D31" s="44"/>
      <c r="E31" s="44"/>
      <c r="F31" s="44"/>
      <c r="G31" s="44"/>
    </row>
    <row r="32" spans="1:7" x14ac:dyDescent="0.25">
      <c r="A32" s="44"/>
      <c r="B32" s="42" t="s">
        <v>172</v>
      </c>
      <c r="C32" s="53">
        <v>2.8985507246376812E-2</v>
      </c>
      <c r="D32" s="52">
        <f>IF(F32 = "Y", 0, C32)</f>
        <v>2.8985507246376812E-2</v>
      </c>
      <c r="E32" s="47" t="str">
        <f>VLOOKUP(B32, Table1[], 3, FALSE)</f>
        <v>Performance metrics</v>
      </c>
      <c r="F32" s="51"/>
      <c r="G32" s="47"/>
    </row>
    <row r="33" spans="1:7" x14ac:dyDescent="0.25">
      <c r="A33" s="44"/>
      <c r="B33" s="42" t="s">
        <v>146</v>
      </c>
      <c r="C33" s="53">
        <v>1.4492753623188406E-2</v>
      </c>
      <c r="D33" s="52">
        <f>IF(F33 = "Y", 0, C33)</f>
        <v>1.4492753623188406E-2</v>
      </c>
      <c r="E33" s="47" t="str">
        <f>VLOOKUP(B33, Table1[], 3, FALSE)</f>
        <v>Budget control</v>
      </c>
      <c r="F33" s="51"/>
      <c r="G33" s="47"/>
    </row>
    <row r="34" spans="1:7" x14ac:dyDescent="0.25">
      <c r="A34" s="44"/>
      <c r="B34" s="42" t="s">
        <v>167</v>
      </c>
      <c r="C34" s="53">
        <v>1.4492753623188406E-2</v>
      </c>
      <c r="D34" s="52">
        <f>IF(F34 = "Y", 0, C34)</f>
        <v>1.4492753623188406E-2</v>
      </c>
      <c r="E34" s="47" t="str">
        <f>VLOOKUP(B34, Table1[], 3, FALSE)</f>
        <v>Expense reduction</v>
      </c>
      <c r="F34" s="51"/>
      <c r="G34" s="47"/>
    </row>
    <row r="35" spans="1:7" x14ac:dyDescent="0.25">
      <c r="F35"/>
      <c r="G35"/>
    </row>
    <row r="36" spans="1:7" x14ac:dyDescent="0.25">
      <c r="A36" s="44" t="s">
        <v>732</v>
      </c>
      <c r="B36" s="50" t="s">
        <v>846</v>
      </c>
      <c r="C36" s="54">
        <v>0.11267605633802817</v>
      </c>
      <c r="D36" s="44"/>
      <c r="E36" s="44"/>
      <c r="F36" s="44"/>
      <c r="G36" s="44"/>
    </row>
    <row r="37" spans="1:7" x14ac:dyDescent="0.25">
      <c r="A37" s="44"/>
      <c r="B37" s="42" t="s">
        <v>141</v>
      </c>
      <c r="C37" s="53">
        <v>1.4492753623188406E-2</v>
      </c>
      <c r="D37" s="52">
        <f>IF(F37 = "Y", 0, C37)</f>
        <v>1.4492753623188406E-2</v>
      </c>
      <c r="E37" s="47" t="str">
        <f>VLOOKUP(B37, Table1[], 3, FALSE)</f>
        <v>Unified platform</v>
      </c>
      <c r="F37" s="51"/>
      <c r="G37" s="47"/>
    </row>
    <row r="38" spans="1:7" x14ac:dyDescent="0.25">
      <c r="A38" s="44"/>
      <c r="B38" s="42" t="s">
        <v>148</v>
      </c>
      <c r="C38" s="53">
        <v>1.4492753623188406E-2</v>
      </c>
      <c r="D38" s="52">
        <f>IF(F38 = "Y", 0, C38)</f>
        <v>1.4492753623188406E-2</v>
      </c>
      <c r="E38" s="47" t="str">
        <f>VLOOKUP(B38, Table1[], 3, FALSE)</f>
        <v>KPI tracking</v>
      </c>
      <c r="F38" s="51"/>
      <c r="G38" s="47"/>
    </row>
    <row r="39" spans="1:7" x14ac:dyDescent="0.25">
      <c r="A39" s="44"/>
      <c r="B39" s="42" t="s">
        <v>163</v>
      </c>
      <c r="C39" s="53">
        <v>1.4492753623188406E-2</v>
      </c>
      <c r="D39" s="52">
        <f>IF(F39 = "Y", 0, C39)</f>
        <v>1.4492753623188406E-2</v>
      </c>
      <c r="E39" s="47" t="str">
        <f>VLOOKUP(B39, Table1[], 3, FALSE)</f>
        <v>Mitigation strategies</v>
      </c>
      <c r="F39" s="51"/>
      <c r="G39" s="47"/>
    </row>
    <row r="40" spans="1:7" x14ac:dyDescent="0.25">
      <c r="F40"/>
      <c r="G40"/>
    </row>
    <row r="41" spans="1:7" x14ac:dyDescent="0.25">
      <c r="A41" s="44" t="s">
        <v>725</v>
      </c>
      <c r="B41" s="50" t="s">
        <v>846</v>
      </c>
      <c r="C41" s="54">
        <v>9.154929577464789E-2</v>
      </c>
      <c r="D41" s="44"/>
      <c r="E41" s="44"/>
      <c r="F41" s="44"/>
      <c r="G41" s="44"/>
    </row>
    <row r="42" spans="1:7" x14ac:dyDescent="0.25">
      <c r="A42" s="44"/>
      <c r="B42" s="42" t="s">
        <v>185</v>
      </c>
      <c r="C42" s="53">
        <v>7.2463768115942032E-2</v>
      </c>
      <c r="D42" s="52">
        <f>IF(F42 = "Y", 0, C42)</f>
        <v>7.2463768115942032E-2</v>
      </c>
      <c r="E42" s="47" t="str">
        <f>VLOOKUP(B42, Table1[], 3, FALSE)</f>
        <v>Asset allocation</v>
      </c>
      <c r="F42" s="51"/>
      <c r="G42" s="47"/>
    </row>
    <row r="43" spans="1:7" x14ac:dyDescent="0.25">
      <c r="A43" s="44"/>
      <c r="B43" s="42" t="s">
        <v>195</v>
      </c>
      <c r="C43" s="53">
        <v>2.8985507246376812E-2</v>
      </c>
      <c r="D43" s="52">
        <f>IF(F43 = "Y", 0, C43)</f>
        <v>2.8985507246376812E-2</v>
      </c>
      <c r="E43" s="47" t="str">
        <f>VLOOKUP(B43, Table1[], 3, FALSE)</f>
        <v>Efficient usage</v>
      </c>
      <c r="F43" s="51"/>
      <c r="G43" s="47"/>
    </row>
    <row r="44" spans="1:7" x14ac:dyDescent="0.25">
      <c r="A44" s="44"/>
      <c r="B44" s="42" t="s">
        <v>174</v>
      </c>
      <c r="C44" s="53">
        <v>1.4492753623188406E-2</v>
      </c>
      <c r="D44" s="52">
        <f>IF(F44 = "Y", 0, C44)</f>
        <v>1.4492753623188406E-2</v>
      </c>
      <c r="E44" s="47" t="str">
        <f>VLOOKUP(B44, Table1[], 3, FALSE)</f>
        <v>System swaps</v>
      </c>
      <c r="F44" s="51"/>
      <c r="G44" s="47"/>
    </row>
    <row r="45" spans="1:7" x14ac:dyDescent="0.25">
      <c r="F45"/>
      <c r="G45"/>
    </row>
    <row r="46" spans="1:7" x14ac:dyDescent="0.25">
      <c r="A46" s="44" t="s">
        <v>738</v>
      </c>
      <c r="B46" s="50" t="s">
        <v>846</v>
      </c>
      <c r="C46" s="54">
        <v>0.11971830985915492</v>
      </c>
      <c r="D46" s="44"/>
      <c r="E46" s="44"/>
      <c r="F46" s="44"/>
      <c r="G46" s="44"/>
    </row>
    <row r="47" spans="1:7" x14ac:dyDescent="0.25">
      <c r="A47" s="44"/>
      <c r="B47" s="42" t="s">
        <v>153</v>
      </c>
      <c r="C47" s="53">
        <v>0.13043478260869565</v>
      </c>
      <c r="D47" s="52">
        <f>IF(F47 = "Y", 0, C47)</f>
        <v>0.13043478260869565</v>
      </c>
      <c r="E47" s="47" t="str">
        <f>VLOOKUP(B47, Table1[], 3, FALSE)</f>
        <v>System unification</v>
      </c>
      <c r="F47" s="51"/>
      <c r="G47" s="47"/>
    </row>
    <row r="48" spans="1:7" x14ac:dyDescent="0.25">
      <c r="A48" s="44"/>
      <c r="B48" s="42" t="s">
        <v>159</v>
      </c>
      <c r="C48" s="53">
        <v>2.8985507246376812E-2</v>
      </c>
      <c r="D48" s="52">
        <f>IF(F48 = "Y", 0, C48)</f>
        <v>2.8985507246376812E-2</v>
      </c>
      <c r="E48" s="47" t="str">
        <f>VLOOKUP(B48, Table1[], 3, FALSE)</f>
        <v>API integration</v>
      </c>
      <c r="F48" s="51"/>
      <c r="G48" s="47"/>
    </row>
    <row r="49" spans="1:7" x14ac:dyDescent="0.25">
      <c r="A49" s="44"/>
      <c r="B49" s="42" t="s">
        <v>177</v>
      </c>
      <c r="C49" s="53">
        <v>2.8985507246376812E-2</v>
      </c>
      <c r="D49" s="52">
        <f>IF(F49 = "Y", 0, C49)</f>
        <v>2.8985507246376812E-2</v>
      </c>
      <c r="E49" s="47" t="str">
        <f>VLOOKUP(B49, Table1[], 3, FALSE)</f>
        <v>Rollout plan</v>
      </c>
      <c r="F49" s="51"/>
      <c r="G49" s="47"/>
    </row>
    <row r="50" spans="1:7" x14ac:dyDescent="0.25">
      <c r="F50"/>
      <c r="G50"/>
    </row>
    <row r="51" spans="1:7" x14ac:dyDescent="0.25">
      <c r="F51" s="48" t="s">
        <v>773</v>
      </c>
      <c r="G51" s="49">
        <f>SUM(D6:D50)</f>
        <v>0.99999999999999989</v>
      </c>
    </row>
    <row r="52" spans="1:7" x14ac:dyDescent="0.25">
      <c r="F52"/>
      <c r="G52"/>
    </row>
    <row r="53" spans="1:7" x14ac:dyDescent="0.25">
      <c r="F53" s="47" t="s">
        <v>774</v>
      </c>
      <c r="G53" s="47" t="str">
        <f>VLOOKUP($G$51, Table9[], 3, TRUE)</f>
        <v>Complete Failure</v>
      </c>
    </row>
    <row r="54" spans="1:7" x14ac:dyDescent="0.25">
      <c r="F54" s="42" t="s">
        <v>775</v>
      </c>
      <c r="G54" s="42" t="str">
        <f>VLOOKUP($G$51, Table9[], 4, TRUE)</f>
        <v>Your Project is in Danger of Immediate Failure</v>
      </c>
    </row>
    <row r="55" spans="1:7" x14ac:dyDescent="0.25">
      <c r="F55"/>
      <c r="G55"/>
    </row>
    <row r="56" spans="1:7" x14ac:dyDescent="0.25">
      <c r="F56"/>
      <c r="G56"/>
    </row>
    <row r="57" spans="1:7" x14ac:dyDescent="0.25">
      <c r="F57"/>
      <c r="G57"/>
    </row>
    <row r="58" spans="1:7" x14ac:dyDescent="0.25">
      <c r="F58"/>
      <c r="G58"/>
    </row>
    <row r="59" spans="1:7" x14ac:dyDescent="0.25">
      <c r="F59"/>
      <c r="G59"/>
    </row>
    <row r="60" spans="1:7" x14ac:dyDescent="0.25">
      <c r="F60"/>
      <c r="G60"/>
    </row>
    <row r="61" spans="1:7" x14ac:dyDescent="0.25">
      <c r="F61"/>
      <c r="G61"/>
    </row>
    <row r="62" spans="1:7" x14ac:dyDescent="0.25">
      <c r="F62"/>
      <c r="G62"/>
    </row>
    <row r="63" spans="1:7" x14ac:dyDescent="0.25">
      <c r="F63"/>
      <c r="G63"/>
    </row>
    <row r="64" spans="1:7" x14ac:dyDescent="0.25">
      <c r="F64"/>
      <c r="G64"/>
    </row>
    <row r="65" spans="6:7" x14ac:dyDescent="0.25">
      <c r="F65"/>
      <c r="G65"/>
    </row>
    <row r="66" spans="6:7" x14ac:dyDescent="0.25">
      <c r="F66"/>
      <c r="G66"/>
    </row>
    <row r="67" spans="6:7" x14ac:dyDescent="0.25">
      <c r="F67"/>
      <c r="G67"/>
    </row>
    <row r="68" spans="6:7" x14ac:dyDescent="0.25">
      <c r="F68"/>
      <c r="G68"/>
    </row>
    <row r="69" spans="6:7" x14ac:dyDescent="0.25">
      <c r="F69"/>
      <c r="G69"/>
    </row>
    <row r="70" spans="6:7" x14ac:dyDescent="0.25">
      <c r="F70"/>
      <c r="G70"/>
    </row>
    <row r="71" spans="6:7" x14ac:dyDescent="0.25">
      <c r="F71"/>
      <c r="G71"/>
    </row>
    <row r="72" spans="6:7" x14ac:dyDescent="0.25">
      <c r="F72"/>
      <c r="G72"/>
    </row>
    <row r="73" spans="6:7" x14ac:dyDescent="0.25">
      <c r="F73"/>
      <c r="G73"/>
    </row>
    <row r="74" spans="6:7" x14ac:dyDescent="0.25">
      <c r="F74"/>
      <c r="G74"/>
    </row>
    <row r="75" spans="6:7" x14ac:dyDescent="0.25">
      <c r="F75"/>
      <c r="G75"/>
    </row>
    <row r="76" spans="6:7" x14ac:dyDescent="0.25">
      <c r="F76"/>
      <c r="G76"/>
    </row>
    <row r="77" spans="6:7" x14ac:dyDescent="0.25">
      <c r="F77"/>
      <c r="G77"/>
    </row>
    <row r="78" spans="6:7" x14ac:dyDescent="0.25">
      <c r="F78"/>
      <c r="G78"/>
    </row>
    <row r="79" spans="6:7" x14ac:dyDescent="0.25">
      <c r="F79"/>
      <c r="G79"/>
    </row>
    <row r="80" spans="6:7" x14ac:dyDescent="0.25">
      <c r="F80"/>
      <c r="G80"/>
    </row>
    <row r="81" spans="6:7" x14ac:dyDescent="0.25">
      <c r="F81"/>
      <c r="G81"/>
    </row>
    <row r="82" spans="6:7" x14ac:dyDescent="0.25">
      <c r="F82"/>
      <c r="G82"/>
    </row>
    <row r="83" spans="6:7" x14ac:dyDescent="0.25">
      <c r="F83"/>
      <c r="G83"/>
    </row>
    <row r="84" spans="6:7" x14ac:dyDescent="0.25">
      <c r="F84"/>
      <c r="G84"/>
    </row>
    <row r="85" spans="6:7" x14ac:dyDescent="0.25">
      <c r="F85"/>
      <c r="G85"/>
    </row>
    <row r="86" spans="6:7" x14ac:dyDescent="0.25">
      <c r="F86"/>
      <c r="G86"/>
    </row>
    <row r="87" spans="6:7" x14ac:dyDescent="0.25">
      <c r="F87"/>
      <c r="G87"/>
    </row>
    <row r="88" spans="6:7" x14ac:dyDescent="0.25">
      <c r="F88"/>
      <c r="G88"/>
    </row>
    <row r="89" spans="6:7" x14ac:dyDescent="0.25">
      <c r="F89"/>
      <c r="G89"/>
    </row>
    <row r="90" spans="6:7" x14ac:dyDescent="0.25">
      <c r="F90"/>
      <c r="G90"/>
    </row>
    <row r="91" spans="6:7" x14ac:dyDescent="0.25">
      <c r="F91"/>
      <c r="G91"/>
    </row>
    <row r="92" spans="6:7" x14ac:dyDescent="0.25">
      <c r="F92"/>
      <c r="G92"/>
    </row>
    <row r="93" spans="6:7" x14ac:dyDescent="0.25">
      <c r="F93"/>
      <c r="G93"/>
    </row>
    <row r="94" spans="6:7" x14ac:dyDescent="0.25">
      <c r="F94"/>
      <c r="G94"/>
    </row>
    <row r="95" spans="6:7" x14ac:dyDescent="0.25">
      <c r="F95"/>
      <c r="G95"/>
    </row>
    <row r="96" spans="6:7" x14ac:dyDescent="0.25">
      <c r="F96"/>
      <c r="G96"/>
    </row>
    <row r="97" spans="6:7" x14ac:dyDescent="0.25">
      <c r="F97"/>
      <c r="G97"/>
    </row>
    <row r="98" spans="6:7" x14ac:dyDescent="0.25">
      <c r="F98"/>
      <c r="G98"/>
    </row>
    <row r="99" spans="6:7" x14ac:dyDescent="0.25">
      <c r="F99"/>
      <c r="G99"/>
    </row>
    <row r="100" spans="6:7" x14ac:dyDescent="0.25">
      <c r="F100"/>
      <c r="G100"/>
    </row>
    <row r="101" spans="6:7" x14ac:dyDescent="0.25">
      <c r="F101"/>
      <c r="G101"/>
    </row>
    <row r="102" spans="6:7" x14ac:dyDescent="0.25">
      <c r="F102"/>
      <c r="G102"/>
    </row>
    <row r="103" spans="6:7" x14ac:dyDescent="0.25">
      <c r="F103"/>
      <c r="G103"/>
    </row>
    <row r="104" spans="6:7" x14ac:dyDescent="0.25">
      <c r="F104"/>
      <c r="G104"/>
    </row>
    <row r="105" spans="6:7" x14ac:dyDescent="0.25">
      <c r="F105"/>
      <c r="G105"/>
    </row>
    <row r="106" spans="6:7" x14ac:dyDescent="0.25">
      <c r="F106"/>
      <c r="G106"/>
    </row>
    <row r="107" spans="6:7" x14ac:dyDescent="0.25">
      <c r="F107"/>
      <c r="G107"/>
    </row>
    <row r="108" spans="6:7" x14ac:dyDescent="0.25">
      <c r="F108"/>
      <c r="G108"/>
    </row>
    <row r="109" spans="6:7" x14ac:dyDescent="0.25">
      <c r="F109"/>
      <c r="G109"/>
    </row>
    <row r="110" spans="6:7" x14ac:dyDescent="0.25">
      <c r="F110"/>
      <c r="G110"/>
    </row>
    <row r="111" spans="6:7" x14ac:dyDescent="0.25">
      <c r="F111"/>
      <c r="G111"/>
    </row>
    <row r="112" spans="6:7" x14ac:dyDescent="0.25">
      <c r="F112"/>
      <c r="G112"/>
    </row>
    <row r="113" spans="6:7" x14ac:dyDescent="0.25">
      <c r="F113"/>
      <c r="G113"/>
    </row>
    <row r="114" spans="6:7" x14ac:dyDescent="0.25">
      <c r="F114"/>
      <c r="G114"/>
    </row>
    <row r="115" spans="6:7" x14ac:dyDescent="0.25">
      <c r="F115"/>
      <c r="G115"/>
    </row>
    <row r="116" spans="6:7" x14ac:dyDescent="0.25">
      <c r="F116"/>
      <c r="G116"/>
    </row>
    <row r="117" spans="6:7" x14ac:dyDescent="0.25">
      <c r="F117"/>
      <c r="G117"/>
    </row>
    <row r="118" spans="6:7" x14ac:dyDescent="0.25">
      <c r="F118"/>
      <c r="G118"/>
    </row>
    <row r="119" spans="6:7" x14ac:dyDescent="0.25">
      <c r="F119"/>
      <c r="G119"/>
    </row>
    <row r="120" spans="6:7" x14ac:dyDescent="0.25">
      <c r="F120"/>
      <c r="G120"/>
    </row>
    <row r="121" spans="6:7" x14ac:dyDescent="0.25">
      <c r="F121"/>
      <c r="G121"/>
    </row>
    <row r="122" spans="6:7" x14ac:dyDescent="0.25">
      <c r="F122"/>
      <c r="G122"/>
    </row>
    <row r="123" spans="6:7" x14ac:dyDescent="0.25">
      <c r="F123"/>
      <c r="G123"/>
    </row>
    <row r="124" spans="6:7" x14ac:dyDescent="0.25">
      <c r="F124"/>
      <c r="G124"/>
    </row>
    <row r="125" spans="6:7" x14ac:dyDescent="0.25">
      <c r="F125"/>
      <c r="G125"/>
    </row>
    <row r="126" spans="6:7" x14ac:dyDescent="0.25">
      <c r="F126"/>
      <c r="G126"/>
    </row>
    <row r="127" spans="6:7" x14ac:dyDescent="0.25">
      <c r="F127"/>
      <c r="G127"/>
    </row>
    <row r="128" spans="6:7" x14ac:dyDescent="0.25">
      <c r="F128"/>
      <c r="G128"/>
    </row>
    <row r="129" spans="6:7" x14ac:dyDescent="0.25">
      <c r="F129"/>
      <c r="G129"/>
    </row>
    <row r="130" spans="6:7" x14ac:dyDescent="0.25">
      <c r="F130"/>
      <c r="G130"/>
    </row>
    <row r="131" spans="6:7" x14ac:dyDescent="0.25">
      <c r="F131"/>
      <c r="G131"/>
    </row>
    <row r="132" spans="6:7" x14ac:dyDescent="0.25">
      <c r="F132"/>
      <c r="G132"/>
    </row>
    <row r="133" spans="6:7" x14ac:dyDescent="0.25">
      <c r="F133"/>
      <c r="G133"/>
    </row>
    <row r="134" spans="6:7" x14ac:dyDescent="0.25">
      <c r="F134"/>
      <c r="G134"/>
    </row>
    <row r="135" spans="6:7" x14ac:dyDescent="0.25">
      <c r="F135"/>
      <c r="G135"/>
    </row>
    <row r="136" spans="6:7" x14ac:dyDescent="0.25">
      <c r="F136"/>
      <c r="G136"/>
    </row>
    <row r="137" spans="6:7" x14ac:dyDescent="0.25">
      <c r="F137"/>
      <c r="G137"/>
    </row>
    <row r="138" spans="6:7" x14ac:dyDescent="0.25">
      <c r="F138"/>
      <c r="G138"/>
    </row>
    <row r="139" spans="6:7" x14ac:dyDescent="0.25">
      <c r="F139"/>
      <c r="G139"/>
    </row>
    <row r="140" spans="6:7" x14ac:dyDescent="0.25">
      <c r="F140"/>
      <c r="G140"/>
    </row>
    <row r="141" spans="6:7" x14ac:dyDescent="0.25">
      <c r="F141"/>
      <c r="G141"/>
    </row>
    <row r="142" spans="6:7" x14ac:dyDescent="0.25">
      <c r="F142"/>
      <c r="G142"/>
    </row>
    <row r="143" spans="6:7" x14ac:dyDescent="0.25">
      <c r="F143"/>
      <c r="G143"/>
    </row>
    <row r="144" spans="6:7" x14ac:dyDescent="0.25">
      <c r="F144"/>
      <c r="G144"/>
    </row>
    <row r="145" spans="6:7" x14ac:dyDescent="0.25">
      <c r="F145"/>
      <c r="G145"/>
    </row>
    <row r="146" spans="6:7" x14ac:dyDescent="0.25">
      <c r="F146"/>
      <c r="G146"/>
    </row>
    <row r="147" spans="6:7" x14ac:dyDescent="0.25">
      <c r="F147"/>
      <c r="G147"/>
    </row>
    <row r="148" spans="6:7" x14ac:dyDescent="0.25">
      <c r="F148"/>
      <c r="G148"/>
    </row>
    <row r="149" spans="6:7" x14ac:dyDescent="0.25">
      <c r="F149"/>
      <c r="G149"/>
    </row>
    <row r="150" spans="6:7" x14ac:dyDescent="0.25">
      <c r="F150"/>
      <c r="G150"/>
    </row>
    <row r="151" spans="6:7" x14ac:dyDescent="0.25">
      <c r="F151"/>
      <c r="G151"/>
    </row>
    <row r="152" spans="6:7" x14ac:dyDescent="0.25">
      <c r="F152"/>
      <c r="G152"/>
    </row>
    <row r="153" spans="6:7" x14ac:dyDescent="0.25">
      <c r="F153"/>
      <c r="G153"/>
    </row>
    <row r="154" spans="6:7" x14ac:dyDescent="0.25">
      <c r="F154"/>
      <c r="G154"/>
    </row>
    <row r="155" spans="6:7" x14ac:dyDescent="0.25">
      <c r="F155"/>
      <c r="G155"/>
    </row>
    <row r="156" spans="6:7" x14ac:dyDescent="0.25">
      <c r="F156"/>
      <c r="G156"/>
    </row>
    <row r="157" spans="6:7" x14ac:dyDescent="0.25">
      <c r="F157"/>
      <c r="G157"/>
    </row>
    <row r="158" spans="6:7" x14ac:dyDescent="0.25">
      <c r="F158"/>
      <c r="G158"/>
    </row>
    <row r="159" spans="6:7" x14ac:dyDescent="0.25">
      <c r="F159"/>
      <c r="G159"/>
    </row>
    <row r="160" spans="6:7" x14ac:dyDescent="0.25">
      <c r="F160"/>
      <c r="G160"/>
    </row>
    <row r="161" spans="6:7" x14ac:dyDescent="0.25">
      <c r="F161"/>
      <c r="G161"/>
    </row>
    <row r="162" spans="6:7" x14ac:dyDescent="0.25">
      <c r="F162"/>
      <c r="G162"/>
    </row>
    <row r="163" spans="6:7" x14ac:dyDescent="0.25">
      <c r="F163"/>
      <c r="G163"/>
    </row>
    <row r="164" spans="6:7" x14ac:dyDescent="0.25">
      <c r="F164"/>
      <c r="G164"/>
    </row>
    <row r="165" spans="6:7" x14ac:dyDescent="0.25">
      <c r="F165"/>
      <c r="G165"/>
    </row>
    <row r="166" spans="6:7" x14ac:dyDescent="0.25">
      <c r="F166"/>
      <c r="G166"/>
    </row>
    <row r="167" spans="6:7" x14ac:dyDescent="0.25">
      <c r="F167"/>
      <c r="G167"/>
    </row>
    <row r="168" spans="6:7" x14ac:dyDescent="0.25">
      <c r="F168"/>
      <c r="G168"/>
    </row>
    <row r="169" spans="6:7" x14ac:dyDescent="0.25">
      <c r="F169"/>
      <c r="G169"/>
    </row>
    <row r="170" spans="6:7" x14ac:dyDescent="0.25">
      <c r="F170"/>
      <c r="G170"/>
    </row>
    <row r="171" spans="6:7" x14ac:dyDescent="0.25">
      <c r="F171"/>
      <c r="G171"/>
    </row>
    <row r="172" spans="6:7" x14ac:dyDescent="0.25">
      <c r="F172"/>
      <c r="G172"/>
    </row>
    <row r="173" spans="6:7" x14ac:dyDescent="0.25">
      <c r="F173"/>
      <c r="G173"/>
    </row>
    <row r="174" spans="6:7" x14ac:dyDescent="0.25">
      <c r="F174"/>
      <c r="G174"/>
    </row>
    <row r="175" spans="6:7" x14ac:dyDescent="0.25">
      <c r="F175"/>
      <c r="G175"/>
    </row>
    <row r="176" spans="6:7" x14ac:dyDescent="0.25">
      <c r="F176"/>
      <c r="G176"/>
    </row>
    <row r="177" spans="6:7" x14ac:dyDescent="0.25">
      <c r="F177"/>
      <c r="G177"/>
    </row>
    <row r="178" spans="6:7" x14ac:dyDescent="0.25">
      <c r="F178"/>
      <c r="G178"/>
    </row>
    <row r="179" spans="6:7" x14ac:dyDescent="0.25">
      <c r="F179"/>
      <c r="G179"/>
    </row>
    <row r="180" spans="6:7" x14ac:dyDescent="0.25">
      <c r="F180"/>
      <c r="G180"/>
    </row>
    <row r="181" spans="6:7" x14ac:dyDescent="0.25">
      <c r="F181"/>
      <c r="G181"/>
    </row>
    <row r="182" spans="6:7" x14ac:dyDescent="0.25">
      <c r="F182"/>
      <c r="G182"/>
    </row>
    <row r="183" spans="6:7" x14ac:dyDescent="0.25">
      <c r="F183"/>
      <c r="G183"/>
    </row>
    <row r="184" spans="6:7" x14ac:dyDescent="0.25">
      <c r="F184"/>
      <c r="G184"/>
    </row>
    <row r="185" spans="6:7" x14ac:dyDescent="0.25">
      <c r="F185"/>
      <c r="G185"/>
    </row>
    <row r="186" spans="6:7" x14ac:dyDescent="0.25">
      <c r="F186"/>
      <c r="G186"/>
    </row>
    <row r="187" spans="6:7" x14ac:dyDescent="0.25">
      <c r="F187"/>
      <c r="G187"/>
    </row>
    <row r="188" spans="6:7" x14ac:dyDescent="0.25">
      <c r="F188"/>
      <c r="G188"/>
    </row>
    <row r="189" spans="6:7" x14ac:dyDescent="0.25">
      <c r="F189"/>
      <c r="G189"/>
    </row>
    <row r="190" spans="6:7" x14ac:dyDescent="0.25">
      <c r="F190"/>
      <c r="G190"/>
    </row>
    <row r="191" spans="6:7" x14ac:dyDescent="0.25">
      <c r="F191"/>
      <c r="G191"/>
    </row>
    <row r="192" spans="6:7" x14ac:dyDescent="0.25">
      <c r="F192"/>
      <c r="G192"/>
    </row>
    <row r="193" spans="6:7" x14ac:dyDescent="0.25">
      <c r="F193"/>
      <c r="G193"/>
    </row>
    <row r="194" spans="6:7" x14ac:dyDescent="0.25">
      <c r="F194"/>
      <c r="G194"/>
    </row>
    <row r="195" spans="6:7" x14ac:dyDescent="0.25">
      <c r="F195"/>
      <c r="G195"/>
    </row>
    <row r="196" spans="6:7" x14ac:dyDescent="0.25">
      <c r="F196"/>
      <c r="G196"/>
    </row>
    <row r="197" spans="6:7" x14ac:dyDescent="0.25">
      <c r="F197"/>
      <c r="G197"/>
    </row>
    <row r="198" spans="6:7" x14ac:dyDescent="0.25">
      <c r="F198"/>
      <c r="G198"/>
    </row>
    <row r="199" spans="6:7" x14ac:dyDescent="0.25">
      <c r="F199"/>
      <c r="G199"/>
    </row>
    <row r="200" spans="6:7" x14ac:dyDescent="0.25">
      <c r="F200"/>
      <c r="G200"/>
    </row>
    <row r="201" spans="6:7" x14ac:dyDescent="0.25">
      <c r="F201"/>
      <c r="G201"/>
    </row>
    <row r="202" spans="6:7" x14ac:dyDescent="0.25">
      <c r="F202"/>
      <c r="G202"/>
    </row>
    <row r="203" spans="6:7" x14ac:dyDescent="0.25">
      <c r="F203"/>
      <c r="G203"/>
    </row>
    <row r="204" spans="6:7" x14ac:dyDescent="0.25">
      <c r="F204"/>
      <c r="G204"/>
    </row>
    <row r="205" spans="6:7" x14ac:dyDescent="0.25">
      <c r="F205"/>
      <c r="G205"/>
    </row>
    <row r="206" spans="6:7" x14ac:dyDescent="0.25">
      <c r="F206"/>
      <c r="G206"/>
    </row>
    <row r="207" spans="6:7" x14ac:dyDescent="0.25">
      <c r="F207"/>
      <c r="G207"/>
    </row>
    <row r="208" spans="6:7" x14ac:dyDescent="0.25">
      <c r="F208"/>
      <c r="G208"/>
    </row>
    <row r="209" spans="6:7" x14ac:dyDescent="0.25">
      <c r="F209"/>
      <c r="G209"/>
    </row>
    <row r="210" spans="6:7" x14ac:dyDescent="0.25">
      <c r="F210"/>
      <c r="G210"/>
    </row>
    <row r="211" spans="6:7" x14ac:dyDescent="0.25">
      <c r="F211"/>
      <c r="G211"/>
    </row>
    <row r="212" spans="6:7" x14ac:dyDescent="0.25">
      <c r="F212"/>
      <c r="G212"/>
    </row>
    <row r="213" spans="6:7" x14ac:dyDescent="0.25">
      <c r="F213"/>
      <c r="G213"/>
    </row>
    <row r="214" spans="6:7" x14ac:dyDescent="0.25">
      <c r="F214"/>
      <c r="G214"/>
    </row>
    <row r="215" spans="6:7" x14ac:dyDescent="0.25">
      <c r="F215"/>
      <c r="G215"/>
    </row>
    <row r="216" spans="6:7" x14ac:dyDescent="0.25">
      <c r="F216"/>
      <c r="G216"/>
    </row>
    <row r="217" spans="6:7" x14ac:dyDescent="0.25">
      <c r="F217"/>
      <c r="G217"/>
    </row>
    <row r="218" spans="6:7" x14ac:dyDescent="0.25">
      <c r="F218"/>
      <c r="G218"/>
    </row>
    <row r="219" spans="6:7" x14ac:dyDescent="0.25">
      <c r="F219"/>
      <c r="G219"/>
    </row>
    <row r="220" spans="6:7" x14ac:dyDescent="0.25">
      <c r="F220"/>
      <c r="G220"/>
    </row>
    <row r="221" spans="6:7" x14ac:dyDescent="0.25">
      <c r="F221"/>
      <c r="G221"/>
    </row>
    <row r="222" spans="6:7" x14ac:dyDescent="0.25">
      <c r="F222"/>
      <c r="G222"/>
    </row>
    <row r="223" spans="6:7" x14ac:dyDescent="0.25">
      <c r="F223"/>
      <c r="G223"/>
    </row>
    <row r="224" spans="6:7" x14ac:dyDescent="0.25">
      <c r="F224"/>
      <c r="G224"/>
    </row>
    <row r="225" spans="6:7" x14ac:dyDescent="0.25">
      <c r="F225"/>
      <c r="G225"/>
    </row>
    <row r="226" spans="6:7" x14ac:dyDescent="0.25">
      <c r="F226"/>
      <c r="G226"/>
    </row>
    <row r="227" spans="6:7" x14ac:dyDescent="0.25">
      <c r="F227"/>
      <c r="G227"/>
    </row>
    <row r="228" spans="6:7" x14ac:dyDescent="0.25">
      <c r="F228"/>
      <c r="G228"/>
    </row>
    <row r="229" spans="6:7" x14ac:dyDescent="0.25">
      <c r="F229"/>
      <c r="G229"/>
    </row>
    <row r="230" spans="6:7" x14ac:dyDescent="0.25">
      <c r="F230"/>
      <c r="G230"/>
    </row>
    <row r="231" spans="6:7" x14ac:dyDescent="0.25">
      <c r="F231"/>
      <c r="G231"/>
    </row>
    <row r="232" spans="6:7" x14ac:dyDescent="0.25">
      <c r="F232"/>
      <c r="G232"/>
    </row>
    <row r="233" spans="6:7" x14ac:dyDescent="0.25">
      <c r="F233"/>
      <c r="G233"/>
    </row>
    <row r="234" spans="6:7" x14ac:dyDescent="0.25">
      <c r="F234"/>
      <c r="G234"/>
    </row>
    <row r="235" spans="6:7" x14ac:dyDescent="0.25">
      <c r="F235"/>
      <c r="G235"/>
    </row>
    <row r="236" spans="6:7" x14ac:dyDescent="0.25">
      <c r="F236"/>
      <c r="G236"/>
    </row>
    <row r="237" spans="6:7" x14ac:dyDescent="0.25">
      <c r="F237"/>
      <c r="G237"/>
    </row>
    <row r="238" spans="6:7" x14ac:dyDescent="0.25">
      <c r="F238"/>
      <c r="G238"/>
    </row>
    <row r="239" spans="6:7" x14ac:dyDescent="0.25">
      <c r="F239"/>
      <c r="G239"/>
    </row>
    <row r="240" spans="6:7" x14ac:dyDescent="0.25">
      <c r="F240"/>
      <c r="G240"/>
    </row>
    <row r="241" spans="6:7" x14ac:dyDescent="0.25">
      <c r="F241"/>
      <c r="G241"/>
    </row>
    <row r="242" spans="6:7" x14ac:dyDescent="0.25">
      <c r="F242"/>
      <c r="G242"/>
    </row>
    <row r="243" spans="6:7" x14ac:dyDescent="0.25">
      <c r="F243"/>
      <c r="G243"/>
    </row>
    <row r="244" spans="6:7" x14ac:dyDescent="0.25">
      <c r="F244"/>
      <c r="G244"/>
    </row>
    <row r="245" spans="6:7" x14ac:dyDescent="0.25">
      <c r="F245"/>
      <c r="G245"/>
    </row>
    <row r="246" spans="6:7" x14ac:dyDescent="0.25">
      <c r="F246"/>
      <c r="G246"/>
    </row>
    <row r="247" spans="6:7" x14ac:dyDescent="0.25">
      <c r="F247"/>
      <c r="G247"/>
    </row>
    <row r="248" spans="6:7" x14ac:dyDescent="0.25">
      <c r="F248"/>
      <c r="G248"/>
    </row>
    <row r="249" spans="6:7" x14ac:dyDescent="0.25">
      <c r="F249"/>
      <c r="G249"/>
    </row>
    <row r="250" spans="6:7" x14ac:dyDescent="0.25">
      <c r="F250"/>
      <c r="G250"/>
    </row>
    <row r="251" spans="6:7" x14ac:dyDescent="0.25">
      <c r="F251"/>
      <c r="G251"/>
    </row>
    <row r="252" spans="6:7" x14ac:dyDescent="0.25">
      <c r="F252"/>
      <c r="G252"/>
    </row>
    <row r="253" spans="6:7" x14ac:dyDescent="0.25">
      <c r="F253"/>
      <c r="G253"/>
    </row>
    <row r="254" spans="6:7" x14ac:dyDescent="0.25">
      <c r="F254"/>
      <c r="G254"/>
    </row>
    <row r="255" spans="6:7" x14ac:dyDescent="0.25">
      <c r="F255"/>
      <c r="G255"/>
    </row>
    <row r="256" spans="6:7" x14ac:dyDescent="0.25">
      <c r="F256"/>
      <c r="G256"/>
    </row>
    <row r="257" spans="6:7" x14ac:dyDescent="0.25">
      <c r="F257"/>
      <c r="G257"/>
    </row>
    <row r="258" spans="6:7" x14ac:dyDescent="0.25">
      <c r="F258"/>
      <c r="G258"/>
    </row>
    <row r="259" spans="6:7" x14ac:dyDescent="0.25">
      <c r="F259"/>
      <c r="G259"/>
    </row>
    <row r="260" spans="6:7" x14ac:dyDescent="0.25">
      <c r="F260"/>
      <c r="G260"/>
    </row>
    <row r="261" spans="6:7" x14ac:dyDescent="0.25">
      <c r="F261"/>
      <c r="G261"/>
    </row>
    <row r="262" spans="6:7" x14ac:dyDescent="0.25">
      <c r="F262"/>
      <c r="G262"/>
    </row>
    <row r="263" spans="6:7" x14ac:dyDescent="0.25">
      <c r="F263"/>
      <c r="G263"/>
    </row>
    <row r="264" spans="6:7" x14ac:dyDescent="0.25">
      <c r="F264"/>
      <c r="G264"/>
    </row>
    <row r="265" spans="6:7" x14ac:dyDescent="0.25">
      <c r="F265"/>
      <c r="G265"/>
    </row>
    <row r="266" spans="6:7" x14ac:dyDescent="0.25">
      <c r="F266"/>
      <c r="G266"/>
    </row>
    <row r="267" spans="6:7" x14ac:dyDescent="0.25">
      <c r="F267"/>
      <c r="G267"/>
    </row>
    <row r="268" spans="6:7" x14ac:dyDescent="0.25">
      <c r="F268"/>
      <c r="G268"/>
    </row>
    <row r="269" spans="6:7" x14ac:dyDescent="0.25">
      <c r="F269"/>
      <c r="G269"/>
    </row>
    <row r="270" spans="6:7" x14ac:dyDescent="0.25">
      <c r="F270"/>
      <c r="G270"/>
    </row>
    <row r="271" spans="6:7" x14ac:dyDescent="0.25">
      <c r="F271"/>
      <c r="G271"/>
    </row>
    <row r="272" spans="6:7" x14ac:dyDescent="0.25">
      <c r="F272"/>
      <c r="G272"/>
    </row>
    <row r="273" spans="6:7" x14ac:dyDescent="0.25">
      <c r="F273"/>
      <c r="G273"/>
    </row>
    <row r="274" spans="6:7" x14ac:dyDescent="0.25">
      <c r="F274"/>
      <c r="G274"/>
    </row>
    <row r="275" spans="6:7" x14ac:dyDescent="0.25">
      <c r="F275"/>
      <c r="G275"/>
    </row>
    <row r="276" spans="6:7" x14ac:dyDescent="0.25">
      <c r="F276"/>
      <c r="G276"/>
    </row>
    <row r="277" spans="6:7" x14ac:dyDescent="0.25">
      <c r="F277"/>
      <c r="G277"/>
    </row>
    <row r="278" spans="6:7" x14ac:dyDescent="0.25">
      <c r="F278"/>
      <c r="G278"/>
    </row>
    <row r="279" spans="6:7" x14ac:dyDescent="0.25">
      <c r="F279"/>
      <c r="G279"/>
    </row>
    <row r="280" spans="6:7" x14ac:dyDescent="0.25">
      <c r="F280"/>
      <c r="G280"/>
    </row>
    <row r="281" spans="6:7" x14ac:dyDescent="0.25">
      <c r="F281"/>
      <c r="G281"/>
    </row>
    <row r="282" spans="6:7" x14ac:dyDescent="0.25">
      <c r="F282"/>
      <c r="G282"/>
    </row>
    <row r="283" spans="6:7" x14ac:dyDescent="0.25">
      <c r="F283"/>
      <c r="G283"/>
    </row>
    <row r="284" spans="6:7" x14ac:dyDescent="0.25">
      <c r="F284"/>
      <c r="G284"/>
    </row>
    <row r="285" spans="6:7" x14ac:dyDescent="0.25">
      <c r="F285"/>
      <c r="G285"/>
    </row>
    <row r="286" spans="6:7" x14ac:dyDescent="0.25">
      <c r="F286"/>
      <c r="G286"/>
    </row>
    <row r="287" spans="6:7" x14ac:dyDescent="0.25">
      <c r="F287"/>
      <c r="G287"/>
    </row>
    <row r="288" spans="6:7" x14ac:dyDescent="0.25">
      <c r="F288"/>
      <c r="G288"/>
    </row>
    <row r="289" spans="1:7" x14ac:dyDescent="0.25">
      <c r="F289"/>
      <c r="G289"/>
    </row>
    <row r="290" spans="1:7" x14ac:dyDescent="0.25">
      <c r="F290"/>
      <c r="G290"/>
    </row>
    <row r="291" spans="1:7" x14ac:dyDescent="0.25">
      <c r="F291"/>
      <c r="G291"/>
    </row>
    <row r="292" spans="1:7" x14ac:dyDescent="0.25">
      <c r="F292"/>
      <c r="G292"/>
    </row>
    <row r="293" spans="1:7" x14ac:dyDescent="0.25">
      <c r="F293"/>
      <c r="G293"/>
    </row>
    <row r="294" spans="1:7" x14ac:dyDescent="0.25">
      <c r="F294"/>
      <c r="G294"/>
    </row>
    <row r="295" spans="1:7" x14ac:dyDescent="0.25">
      <c r="F295"/>
      <c r="G295"/>
    </row>
    <row r="296" spans="1:7" x14ac:dyDescent="0.25">
      <c r="F296"/>
      <c r="G296"/>
    </row>
    <row r="297" spans="1:7" x14ac:dyDescent="0.25">
      <c r="F297"/>
      <c r="G297"/>
    </row>
    <row r="298" spans="1:7" x14ac:dyDescent="0.25">
      <c r="F298"/>
      <c r="G298"/>
    </row>
    <row r="299" spans="1:7" x14ac:dyDescent="0.25">
      <c r="F299"/>
      <c r="G299"/>
    </row>
    <row r="300" spans="1:7" x14ac:dyDescent="0.25">
      <c r="F300"/>
      <c r="G300"/>
    </row>
    <row r="301" spans="1:7" x14ac:dyDescent="0.25">
      <c r="F301"/>
      <c r="G301"/>
    </row>
    <row r="302" spans="1:7" x14ac:dyDescent="0.25">
      <c r="A302" s="44"/>
      <c r="B302" s="42" t="s">
        <v>265</v>
      </c>
      <c r="C302" s="43">
        <v>9.6153846153846159E-3</v>
      </c>
      <c r="D302" s="46">
        <v>0</v>
      </c>
    </row>
    <row r="336" spans="1:4" x14ac:dyDescent="0.25">
      <c r="A336" s="44" t="s">
        <v>731</v>
      </c>
      <c r="B336" s="44" t="s">
        <v>756</v>
      </c>
      <c r="C336" s="45">
        <v>6.5989847715736044E-2</v>
      </c>
      <c r="D336" s="44"/>
    </row>
    <row r="355" spans="1:4" x14ac:dyDescent="0.25">
      <c r="A355" s="44"/>
      <c r="B355" s="42" t="s">
        <v>172</v>
      </c>
      <c r="C355" s="43">
        <v>1.9230769230769232E-2</v>
      </c>
      <c r="D355" s="46">
        <v>0</v>
      </c>
    </row>
    <row r="356" spans="1:4" x14ac:dyDescent="0.25">
      <c r="A356" s="44"/>
      <c r="B356" s="42" t="s">
        <v>172</v>
      </c>
      <c r="C356" s="43">
        <v>1.9230769230769232E-2</v>
      </c>
      <c r="D356" s="46">
        <v>0</v>
      </c>
    </row>
    <row r="357" spans="1:4" x14ac:dyDescent="0.25">
      <c r="A357" s="44"/>
      <c r="B357" s="42" t="s">
        <v>146</v>
      </c>
      <c r="C357" s="43">
        <v>9.6153846153846159E-3</v>
      </c>
      <c r="D357" s="46">
        <v>0</v>
      </c>
    </row>
    <row r="358" spans="1:4" x14ac:dyDescent="0.25">
      <c r="A358" s="44"/>
      <c r="B358" s="42" t="s">
        <v>146</v>
      </c>
      <c r="C358" s="43">
        <v>9.6153846153846159E-3</v>
      </c>
      <c r="D358" s="46">
        <v>0</v>
      </c>
    </row>
    <row r="359" spans="1:4" x14ac:dyDescent="0.25">
      <c r="A359" s="44"/>
      <c r="B359" s="42" t="s">
        <v>167</v>
      </c>
      <c r="C359" s="43">
        <v>9.6153846153846159E-3</v>
      </c>
      <c r="D359" s="46">
        <v>0</v>
      </c>
    </row>
    <row r="360" spans="1:4" x14ac:dyDescent="0.25">
      <c r="A360" s="44"/>
      <c r="B360" s="42" t="s">
        <v>167</v>
      </c>
      <c r="C360" s="43">
        <v>9.6153846153846159E-3</v>
      </c>
      <c r="D360" s="46">
        <v>0</v>
      </c>
    </row>
    <row r="391" spans="1:4" x14ac:dyDescent="0.25">
      <c r="A391" s="44" t="s">
        <v>734</v>
      </c>
      <c r="B391" s="44" t="s">
        <v>756</v>
      </c>
      <c r="C391" s="45">
        <v>2.5380710659898477E-2</v>
      </c>
      <c r="D391" s="44"/>
    </row>
    <row r="413" spans="1:4" x14ac:dyDescent="0.25">
      <c r="A413" s="44"/>
      <c r="B413" s="42" t="s">
        <v>176</v>
      </c>
      <c r="C413" s="43">
        <v>9.6153846153846159E-3</v>
      </c>
      <c r="D413" s="46">
        <v>0</v>
      </c>
    </row>
    <row r="414" spans="1:4" x14ac:dyDescent="0.25">
      <c r="A414" s="44"/>
      <c r="B414" s="42" t="s">
        <v>176</v>
      </c>
      <c r="C414" s="43">
        <v>9.6153846153846159E-3</v>
      </c>
      <c r="D414" s="46">
        <v>0</v>
      </c>
    </row>
    <row r="415" spans="1:4" x14ac:dyDescent="0.25">
      <c r="A415" s="44"/>
      <c r="B415" s="42" t="s">
        <v>188</v>
      </c>
      <c r="C415" s="43">
        <v>9.6153846153846159E-3</v>
      </c>
      <c r="D415" s="46">
        <v>0</v>
      </c>
    </row>
    <row r="416" spans="1:4" x14ac:dyDescent="0.25">
      <c r="A416" s="44"/>
      <c r="B416" s="42" t="s">
        <v>188</v>
      </c>
      <c r="C416" s="43">
        <v>9.6153846153846159E-3</v>
      </c>
      <c r="D416" s="46">
        <v>0</v>
      </c>
    </row>
    <row r="417" spans="1:4" x14ac:dyDescent="0.25">
      <c r="A417" s="44"/>
      <c r="B417" s="42" t="s">
        <v>196</v>
      </c>
      <c r="C417" s="43">
        <v>9.6153846153846159E-3</v>
      </c>
      <c r="D417" s="46">
        <v>0</v>
      </c>
    </row>
    <row r="418" spans="1:4" x14ac:dyDescent="0.25">
      <c r="A418" s="44"/>
      <c r="B418" s="42" t="s">
        <v>196</v>
      </c>
      <c r="C418" s="43">
        <v>9.6153846153846159E-3</v>
      </c>
      <c r="D418" s="46">
        <v>0</v>
      </c>
    </row>
    <row r="446" spans="1:4" x14ac:dyDescent="0.25">
      <c r="A446" s="44" t="s">
        <v>732</v>
      </c>
      <c r="B446" s="44" t="s">
        <v>756</v>
      </c>
      <c r="C446" s="45">
        <v>8.1218274111675121E-2</v>
      </c>
      <c r="D446" s="44"/>
    </row>
    <row r="471" spans="1:4" x14ac:dyDescent="0.25">
      <c r="A471" s="44"/>
      <c r="B471" s="42" t="s">
        <v>141</v>
      </c>
      <c r="C471" s="43">
        <v>9.6153846153846159E-3</v>
      </c>
      <c r="D471" s="46">
        <v>0</v>
      </c>
    </row>
    <row r="472" spans="1:4" x14ac:dyDescent="0.25">
      <c r="A472" s="44"/>
      <c r="B472" s="42" t="s">
        <v>141</v>
      </c>
      <c r="C472" s="43">
        <v>9.6153846153846159E-3</v>
      </c>
      <c r="D472" s="46">
        <v>0</v>
      </c>
    </row>
    <row r="473" spans="1:4" x14ac:dyDescent="0.25">
      <c r="A473" s="44"/>
      <c r="B473" s="42" t="s">
        <v>148</v>
      </c>
      <c r="C473" s="43">
        <v>9.6153846153846159E-3</v>
      </c>
      <c r="D473" s="46">
        <v>0</v>
      </c>
    </row>
    <row r="474" spans="1:4" x14ac:dyDescent="0.25">
      <c r="A474" s="44"/>
      <c r="B474" s="42" t="s">
        <v>148</v>
      </c>
      <c r="C474" s="43">
        <v>9.6153846153846159E-3</v>
      </c>
      <c r="D474" s="46">
        <v>0</v>
      </c>
    </row>
    <row r="475" spans="1:4" x14ac:dyDescent="0.25">
      <c r="A475" s="44"/>
      <c r="B475" s="42" t="s">
        <v>163</v>
      </c>
      <c r="C475" s="43">
        <v>9.6153846153846159E-3</v>
      </c>
      <c r="D475" s="46">
        <v>0</v>
      </c>
    </row>
    <row r="476" spans="1:4" x14ac:dyDescent="0.25">
      <c r="A476" s="44"/>
      <c r="B476" s="42" t="s">
        <v>163</v>
      </c>
      <c r="C476" s="43">
        <v>9.6153846153846159E-3</v>
      </c>
      <c r="D476" s="46">
        <v>0</v>
      </c>
    </row>
    <row r="501" spans="1:4" x14ac:dyDescent="0.25">
      <c r="A501" s="44" t="s">
        <v>743</v>
      </c>
      <c r="B501" s="44" t="s">
        <v>756</v>
      </c>
      <c r="C501" s="45">
        <v>4.060913705583756E-2</v>
      </c>
      <c r="D501" s="44"/>
    </row>
    <row r="529" spans="1:4" x14ac:dyDescent="0.25">
      <c r="A529" s="44"/>
      <c r="B529" s="42" t="s">
        <v>147</v>
      </c>
      <c r="C529" s="43">
        <v>3.8461538461538464E-2</v>
      </c>
      <c r="D529" s="46">
        <v>0</v>
      </c>
    </row>
    <row r="530" spans="1:4" x14ac:dyDescent="0.25">
      <c r="A530" s="44"/>
      <c r="B530" s="42" t="s">
        <v>147</v>
      </c>
      <c r="C530" s="43">
        <v>3.8461538461538464E-2</v>
      </c>
      <c r="D530" s="46">
        <v>0</v>
      </c>
    </row>
    <row r="531" spans="1:4" x14ac:dyDescent="0.25">
      <c r="A531" s="44"/>
      <c r="B531" s="42" t="s">
        <v>175</v>
      </c>
      <c r="C531" s="43">
        <v>9.6153846153846159E-3</v>
      </c>
      <c r="D531" s="46">
        <v>0</v>
      </c>
    </row>
    <row r="532" spans="1:4" x14ac:dyDescent="0.25">
      <c r="A532" s="44"/>
      <c r="B532" s="42" t="s">
        <v>175</v>
      </c>
      <c r="C532" s="43">
        <v>9.6153846153846159E-3</v>
      </c>
      <c r="D532" s="46">
        <v>0</v>
      </c>
    </row>
    <row r="533" spans="1:4" x14ac:dyDescent="0.25">
      <c r="A533" s="44"/>
      <c r="B533" s="42" t="s">
        <v>214</v>
      </c>
      <c r="C533" s="43">
        <v>9.6153846153846159E-3</v>
      </c>
      <c r="D533" s="46">
        <v>0</v>
      </c>
    </row>
    <row r="534" spans="1:4" x14ac:dyDescent="0.25">
      <c r="A534" s="44"/>
      <c r="B534" s="42" t="s">
        <v>214</v>
      </c>
      <c r="C534" s="43">
        <v>9.6153846153846159E-3</v>
      </c>
      <c r="D534" s="46">
        <v>0</v>
      </c>
    </row>
    <row r="556" spans="1:4" x14ac:dyDescent="0.25">
      <c r="A556" s="44" t="s">
        <v>740</v>
      </c>
      <c r="B556" s="44" t="s">
        <v>756</v>
      </c>
      <c r="C556" s="45">
        <v>3.0456852791878174E-2</v>
      </c>
      <c r="D556" s="44"/>
    </row>
    <row r="587" spans="1:4" x14ac:dyDescent="0.25">
      <c r="A587" s="44"/>
      <c r="B587" s="42" t="s">
        <v>323</v>
      </c>
      <c r="C587" s="43">
        <v>2.8846153846153848E-2</v>
      </c>
      <c r="D587" s="46">
        <v>0</v>
      </c>
    </row>
    <row r="588" spans="1:4" x14ac:dyDescent="0.25">
      <c r="A588" s="44"/>
      <c r="B588" s="42" t="s">
        <v>323</v>
      </c>
      <c r="C588" s="43">
        <v>2.8846153846153848E-2</v>
      </c>
      <c r="D588" s="46">
        <v>0</v>
      </c>
    </row>
    <row r="589" spans="1:4" x14ac:dyDescent="0.25">
      <c r="A589" s="44"/>
      <c r="B589" s="42" t="s">
        <v>161</v>
      </c>
      <c r="C589" s="43">
        <v>9.6153846153846159E-3</v>
      </c>
      <c r="D589" s="46">
        <v>0</v>
      </c>
    </row>
    <row r="590" spans="1:4" x14ac:dyDescent="0.25">
      <c r="A590" s="44"/>
      <c r="B590" s="42" t="s">
        <v>161</v>
      </c>
      <c r="C590" s="43">
        <v>9.6153846153846159E-3</v>
      </c>
      <c r="D590" s="46">
        <v>0</v>
      </c>
    </row>
    <row r="591" spans="1:4" x14ac:dyDescent="0.25">
      <c r="A591" s="44"/>
      <c r="B591" s="42" t="s">
        <v>357</v>
      </c>
      <c r="C591" s="43">
        <v>9.6153846153846159E-3</v>
      </c>
      <c r="D591" s="46">
        <v>0</v>
      </c>
    </row>
    <row r="592" spans="1:4" x14ac:dyDescent="0.25">
      <c r="A592" s="44"/>
      <c r="B592" s="42" t="s">
        <v>357</v>
      </c>
      <c r="C592" s="43">
        <v>9.6153846153846159E-3</v>
      </c>
      <c r="D592" s="46">
        <v>0</v>
      </c>
    </row>
    <row r="611" spans="1:4" x14ac:dyDescent="0.25">
      <c r="A611" s="44" t="s">
        <v>725</v>
      </c>
      <c r="B611" s="44" t="s">
        <v>756</v>
      </c>
      <c r="C611" s="45">
        <v>6.5989847715736044E-2</v>
      </c>
      <c r="D611" s="44"/>
    </row>
    <row r="645" spans="1:4" x14ac:dyDescent="0.25">
      <c r="A645" s="44"/>
      <c r="B645" s="42" t="s">
        <v>185</v>
      </c>
      <c r="C645" s="43">
        <v>4.807692307692308E-2</v>
      </c>
      <c r="D645" s="46">
        <v>0</v>
      </c>
    </row>
    <row r="646" spans="1:4" x14ac:dyDescent="0.25">
      <c r="A646" s="44"/>
      <c r="B646" s="42" t="s">
        <v>185</v>
      </c>
      <c r="C646" s="43">
        <v>4.807692307692308E-2</v>
      </c>
      <c r="D646" s="46">
        <v>0</v>
      </c>
    </row>
    <row r="647" spans="1:4" x14ac:dyDescent="0.25">
      <c r="A647" s="44"/>
      <c r="B647" s="42" t="s">
        <v>195</v>
      </c>
      <c r="C647" s="43">
        <v>1.9230769230769232E-2</v>
      </c>
      <c r="D647" s="46">
        <v>0</v>
      </c>
    </row>
    <row r="648" spans="1:4" x14ac:dyDescent="0.25">
      <c r="A648" s="44"/>
      <c r="B648" s="42" t="s">
        <v>195</v>
      </c>
      <c r="C648" s="43">
        <v>1.9230769230769232E-2</v>
      </c>
      <c r="D648" s="46">
        <v>0</v>
      </c>
    </row>
    <row r="649" spans="1:4" x14ac:dyDescent="0.25">
      <c r="A649" s="44"/>
      <c r="B649" s="42" t="s">
        <v>174</v>
      </c>
      <c r="C649" s="43">
        <v>9.6153846153846159E-3</v>
      </c>
      <c r="D649" s="46">
        <v>0</v>
      </c>
    </row>
    <row r="650" spans="1:4" x14ac:dyDescent="0.25">
      <c r="A650" s="44"/>
      <c r="B650" s="42" t="s">
        <v>174</v>
      </c>
      <c r="C650" s="43">
        <v>9.6153846153846159E-3</v>
      </c>
      <c r="D650" s="46">
        <v>0</v>
      </c>
    </row>
    <row r="666" spans="1:4" x14ac:dyDescent="0.25">
      <c r="A666" s="44" t="s">
        <v>741</v>
      </c>
      <c r="B666" s="44" t="s">
        <v>756</v>
      </c>
      <c r="C666" s="45">
        <v>3.553299492385787E-2</v>
      </c>
      <c r="D666" s="44"/>
    </row>
    <row r="703" spans="1:4" x14ac:dyDescent="0.25">
      <c r="A703" s="44"/>
      <c r="B703" s="42" t="s">
        <v>171</v>
      </c>
      <c r="C703" s="43">
        <v>1.9230769230769232E-2</v>
      </c>
      <c r="D703" s="46">
        <v>0</v>
      </c>
    </row>
    <row r="704" spans="1:4" x14ac:dyDescent="0.25">
      <c r="A704" s="44"/>
      <c r="B704" s="42" t="s">
        <v>171</v>
      </c>
      <c r="C704" s="43">
        <v>1.9230769230769232E-2</v>
      </c>
      <c r="D704" s="46">
        <v>0</v>
      </c>
    </row>
    <row r="705" spans="1:4" x14ac:dyDescent="0.25">
      <c r="A705" s="44"/>
      <c r="B705" s="42" t="s">
        <v>350</v>
      </c>
      <c r="C705" s="43">
        <v>9.6153846153846159E-3</v>
      </c>
      <c r="D705" s="46">
        <v>0</v>
      </c>
    </row>
    <row r="706" spans="1:4" x14ac:dyDescent="0.25">
      <c r="A706" s="44"/>
      <c r="B706" s="42" t="s">
        <v>350</v>
      </c>
      <c r="C706" s="43">
        <v>9.6153846153846159E-3</v>
      </c>
      <c r="D706" s="46">
        <v>0</v>
      </c>
    </row>
    <row r="707" spans="1:4" x14ac:dyDescent="0.25">
      <c r="A707" s="44"/>
      <c r="B707" s="42" t="s">
        <v>219</v>
      </c>
      <c r="C707" s="43">
        <v>9.6153846153846159E-3</v>
      </c>
      <c r="D707" s="46">
        <v>0</v>
      </c>
    </row>
    <row r="708" spans="1:4" x14ac:dyDescent="0.25">
      <c r="A708" s="44"/>
      <c r="B708" s="42" t="s">
        <v>219</v>
      </c>
      <c r="C708" s="43">
        <v>9.6153846153846159E-3</v>
      </c>
      <c r="D708" s="46">
        <v>0</v>
      </c>
    </row>
    <row r="721" spans="1:4" x14ac:dyDescent="0.25">
      <c r="A721" s="44" t="s">
        <v>730</v>
      </c>
      <c r="B721" s="44" t="s">
        <v>756</v>
      </c>
      <c r="C721" s="45">
        <v>4.5685279187817257E-2</v>
      </c>
      <c r="D721" s="44"/>
    </row>
    <row r="761" spans="1:4" x14ac:dyDescent="0.25">
      <c r="A761" s="44"/>
      <c r="B761" s="42" t="s">
        <v>156</v>
      </c>
      <c r="C761" s="43">
        <v>2.8846153846153848E-2</v>
      </c>
      <c r="D761" s="46">
        <v>0</v>
      </c>
    </row>
    <row r="762" spans="1:4" x14ac:dyDescent="0.25">
      <c r="A762" s="44"/>
      <c r="B762" s="42" t="s">
        <v>156</v>
      </c>
      <c r="C762" s="43">
        <v>2.8846153846153848E-2</v>
      </c>
      <c r="D762" s="46">
        <v>0</v>
      </c>
    </row>
    <row r="763" spans="1:4" x14ac:dyDescent="0.25">
      <c r="A763" s="44"/>
      <c r="B763" s="42" t="s">
        <v>345</v>
      </c>
      <c r="C763" s="43">
        <v>1.9230769230769232E-2</v>
      </c>
      <c r="D763" s="46">
        <v>0</v>
      </c>
    </row>
    <row r="764" spans="1:4" x14ac:dyDescent="0.25">
      <c r="A764" s="44"/>
      <c r="B764" s="42" t="s">
        <v>345</v>
      </c>
      <c r="C764" s="43">
        <v>1.9230769230769232E-2</v>
      </c>
      <c r="D764" s="46">
        <v>0</v>
      </c>
    </row>
    <row r="765" spans="1:4" x14ac:dyDescent="0.25">
      <c r="A765" s="44"/>
      <c r="B765" s="42" t="s">
        <v>193</v>
      </c>
      <c r="C765" s="43">
        <v>9.6153846153846159E-3</v>
      </c>
      <c r="D765" s="46">
        <v>0</v>
      </c>
    </row>
    <row r="766" spans="1:4" x14ac:dyDescent="0.25">
      <c r="A766" s="44"/>
      <c r="B766" s="42" t="s">
        <v>193</v>
      </c>
      <c r="C766" s="43">
        <v>9.6153846153846159E-3</v>
      </c>
      <c r="D766" s="46">
        <v>0</v>
      </c>
    </row>
    <row r="776" spans="1:4" x14ac:dyDescent="0.25">
      <c r="A776" s="44" t="s">
        <v>737</v>
      </c>
      <c r="B776" s="44" t="s">
        <v>756</v>
      </c>
      <c r="C776" s="45">
        <v>3.553299492385787E-2</v>
      </c>
      <c r="D776" s="44"/>
    </row>
    <row r="819" spans="1:4" x14ac:dyDescent="0.25">
      <c r="A819" s="44"/>
      <c r="B819" s="42" t="s">
        <v>344</v>
      </c>
      <c r="C819" s="43">
        <v>9.6153846153846159E-3</v>
      </c>
      <c r="D819" s="46">
        <v>0</v>
      </c>
    </row>
    <row r="820" spans="1:4" x14ac:dyDescent="0.25">
      <c r="A820" s="44"/>
      <c r="B820" s="42" t="s">
        <v>344</v>
      </c>
      <c r="C820" s="43">
        <v>9.6153846153846159E-3</v>
      </c>
      <c r="D820" s="46">
        <v>0</v>
      </c>
    </row>
    <row r="821" spans="1:4" x14ac:dyDescent="0.25">
      <c r="A821" s="44"/>
      <c r="B821" s="42" t="s">
        <v>150</v>
      </c>
      <c r="C821" s="43">
        <v>9.6153846153846159E-3</v>
      </c>
      <c r="D821" s="46">
        <v>0</v>
      </c>
    </row>
    <row r="822" spans="1:4" x14ac:dyDescent="0.25">
      <c r="A822" s="44"/>
      <c r="B822" s="42" t="s">
        <v>150</v>
      </c>
      <c r="C822" s="43">
        <v>9.6153846153846159E-3</v>
      </c>
      <c r="D822" s="46">
        <v>0</v>
      </c>
    </row>
    <row r="823" spans="1:4" x14ac:dyDescent="0.25">
      <c r="A823" s="44"/>
      <c r="B823" s="42" t="s">
        <v>201</v>
      </c>
      <c r="C823" s="43">
        <v>9.6153846153846159E-3</v>
      </c>
      <c r="D823" s="46">
        <v>0</v>
      </c>
    </row>
    <row r="824" spans="1:4" x14ac:dyDescent="0.25">
      <c r="A824" s="44"/>
      <c r="B824" s="42" t="s">
        <v>201</v>
      </c>
      <c r="C824" s="43">
        <v>9.6153846153846159E-3</v>
      </c>
      <c r="D824" s="46">
        <v>0</v>
      </c>
    </row>
    <row r="831" spans="1:4" x14ac:dyDescent="0.25">
      <c r="A831" s="44" t="s">
        <v>738</v>
      </c>
      <c r="B831" s="44" t="s">
        <v>756</v>
      </c>
      <c r="C831" s="45">
        <v>8.6294416243654817E-2</v>
      </c>
      <c r="D831" s="44"/>
    </row>
    <row r="877" spans="1:4" x14ac:dyDescent="0.25">
      <c r="A877" s="44"/>
      <c r="B877" s="42" t="s">
        <v>153</v>
      </c>
      <c r="C877" s="43">
        <v>8.6538461538461536E-2</v>
      </c>
      <c r="D877" s="46">
        <v>0</v>
      </c>
    </row>
    <row r="878" spans="1:4" x14ac:dyDescent="0.25">
      <c r="A878" s="44"/>
      <c r="B878" s="42" t="s">
        <v>153</v>
      </c>
      <c r="C878" s="43">
        <v>8.6538461538461536E-2</v>
      </c>
      <c r="D878" s="46">
        <v>0</v>
      </c>
    </row>
    <row r="879" spans="1:4" x14ac:dyDescent="0.25">
      <c r="A879" s="44"/>
      <c r="B879" s="42" t="s">
        <v>159</v>
      </c>
      <c r="C879" s="43">
        <v>1.9230769230769232E-2</v>
      </c>
      <c r="D879" s="46">
        <v>0</v>
      </c>
    </row>
    <row r="880" spans="1:4" x14ac:dyDescent="0.25">
      <c r="A880" s="44"/>
      <c r="B880" s="42" t="s">
        <v>159</v>
      </c>
      <c r="C880" s="43">
        <v>1.9230769230769232E-2</v>
      </c>
      <c r="D880" s="46">
        <v>0</v>
      </c>
    </row>
    <row r="881" spans="1:4" x14ac:dyDescent="0.25">
      <c r="A881" s="44"/>
      <c r="B881" s="42" t="s">
        <v>177</v>
      </c>
      <c r="C881" s="43">
        <v>1.9230769230769232E-2</v>
      </c>
      <c r="D881" s="46">
        <v>0</v>
      </c>
    </row>
    <row r="882" spans="1:4" x14ac:dyDescent="0.25">
      <c r="A882" s="44"/>
      <c r="B882" s="42" t="s">
        <v>177</v>
      </c>
      <c r="C882" s="43">
        <v>1.9230769230769232E-2</v>
      </c>
      <c r="D882" s="46">
        <v>0</v>
      </c>
    </row>
    <row r="886" spans="1:4" x14ac:dyDescent="0.25">
      <c r="A886" s="44" t="s">
        <v>739</v>
      </c>
      <c r="B886" s="44" t="s">
        <v>756</v>
      </c>
      <c r="C886" s="45">
        <v>3.553299492385787E-2</v>
      </c>
      <c r="D886" s="44"/>
    </row>
    <row r="935" spans="1:4" x14ac:dyDescent="0.25">
      <c r="A935" s="44"/>
      <c r="B935" s="42" t="s">
        <v>324</v>
      </c>
      <c r="C935" s="43">
        <v>2.8846153846153848E-2</v>
      </c>
      <c r="D935" s="46">
        <v>0</v>
      </c>
    </row>
    <row r="936" spans="1:4" x14ac:dyDescent="0.25">
      <c r="A936" s="44"/>
      <c r="B936" s="42" t="s">
        <v>324</v>
      </c>
      <c r="C936" s="43">
        <v>2.8846153846153848E-2</v>
      </c>
      <c r="D936" s="46">
        <v>0</v>
      </c>
    </row>
    <row r="937" spans="1:4" x14ac:dyDescent="0.25">
      <c r="A937" s="44"/>
      <c r="B937" s="42" t="s">
        <v>145</v>
      </c>
      <c r="C937" s="43">
        <v>9.6153846153846159E-3</v>
      </c>
      <c r="D937" s="46">
        <v>0</v>
      </c>
    </row>
    <row r="938" spans="1:4" x14ac:dyDescent="0.25">
      <c r="A938" s="44"/>
      <c r="B938" s="42" t="s">
        <v>145</v>
      </c>
      <c r="C938" s="43">
        <v>9.6153846153846159E-3</v>
      </c>
      <c r="D938" s="46">
        <v>0</v>
      </c>
    </row>
    <row r="939" spans="1:4" x14ac:dyDescent="0.25">
      <c r="A939" s="44"/>
      <c r="B939" s="42" t="s">
        <v>199</v>
      </c>
      <c r="C939" s="43">
        <v>9.6153846153846159E-3</v>
      </c>
      <c r="D939" s="46">
        <v>0</v>
      </c>
    </row>
    <row r="940" spans="1:4" x14ac:dyDescent="0.25">
      <c r="A940" s="44"/>
      <c r="B940" s="42" t="s">
        <v>199</v>
      </c>
      <c r="C940" s="43">
        <v>9.6153846153846159E-3</v>
      </c>
      <c r="D940" s="46">
        <v>0</v>
      </c>
    </row>
    <row r="941" spans="1:4" x14ac:dyDescent="0.25">
      <c r="C941" s="48" t="s">
        <v>773</v>
      </c>
      <c r="D941" s="49">
        <f>SUM(D6:D940)</f>
        <v>0.99999999999999989</v>
      </c>
    </row>
    <row r="943" spans="1:4" x14ac:dyDescent="0.25">
      <c r="C943" s="47" t="s">
        <v>774</v>
      </c>
      <c r="D943" s="47" t="str">
        <f>VLOOKUP($D$941, Table9[], 3, TRUE)</f>
        <v>Complete Failure</v>
      </c>
    </row>
    <row r="944" spans="1:4" x14ac:dyDescent="0.25">
      <c r="C944" s="42" t="s">
        <v>775</v>
      </c>
      <c r="D944" s="42" t="str">
        <f>VLOOKUP($D$941, Table9[], 4, TRUE)</f>
        <v>Your Project is in Danger of Immediate Failure</v>
      </c>
    </row>
  </sheetData>
  <mergeCells count="1">
    <mergeCell ref="I5:L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Model">
                <anchor moveWithCells="1" sizeWithCells="1">
                  <from>
                    <xdr:col>0</xdr:col>
                    <xdr:colOff>123825</xdr:colOff>
                    <xdr:row>1</xdr:row>
                    <xdr:rowOff>76200</xdr:rowOff>
                  </from>
                  <to>
                    <xdr:col>6</xdr:col>
                    <xdr:colOff>2933700</xdr:colOff>
                    <xdr:row>1</xdr:row>
                    <xdr:rowOff>495300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C209"/>
  <sheetViews>
    <sheetView workbookViewId="0">
      <selection activeCell="G5" sqref="G5"/>
    </sheetView>
  </sheetViews>
  <sheetFormatPr defaultRowHeight="15" x14ac:dyDescent="0.25"/>
  <cols>
    <col min="1" max="1" width="25" bestFit="1" customWidth="1"/>
    <col min="2" max="2" width="34.28515625" bestFit="1" customWidth="1"/>
    <col min="3" max="3" width="51" customWidth="1"/>
  </cols>
  <sheetData>
    <row r="2" spans="1:3" x14ac:dyDescent="0.25">
      <c r="A2" s="63" t="s">
        <v>850</v>
      </c>
      <c r="B2" s="63"/>
      <c r="C2" s="63"/>
    </row>
    <row r="3" spans="1:3" x14ac:dyDescent="0.25">
      <c r="A3" t="s">
        <v>9</v>
      </c>
      <c r="B3" t="s">
        <v>848</v>
      </c>
      <c r="C3" t="s">
        <v>849</v>
      </c>
    </row>
    <row r="4" spans="1:3" ht="45" x14ac:dyDescent="0.25">
      <c r="A4" s="8" t="s">
        <v>418</v>
      </c>
      <c r="B4" s="8" t="s">
        <v>851</v>
      </c>
      <c r="C4" s="1" t="s">
        <v>1035</v>
      </c>
    </row>
    <row r="5" spans="1:3" ht="45" x14ac:dyDescent="0.25">
      <c r="A5" s="8" t="s">
        <v>382</v>
      </c>
      <c r="B5" s="8" t="s">
        <v>852</v>
      </c>
      <c r="C5" s="1" t="s">
        <v>1036</v>
      </c>
    </row>
    <row r="6" spans="1:3" ht="45" x14ac:dyDescent="0.25">
      <c r="A6" s="8" t="s">
        <v>416</v>
      </c>
      <c r="B6" s="8" t="s">
        <v>853</v>
      </c>
      <c r="C6" s="1" t="s">
        <v>1037</v>
      </c>
    </row>
    <row r="7" spans="1:3" ht="45" x14ac:dyDescent="0.25">
      <c r="A7" s="8" t="s">
        <v>389</v>
      </c>
      <c r="B7" s="8" t="s">
        <v>854</v>
      </c>
      <c r="C7" s="1" t="s">
        <v>1038</v>
      </c>
    </row>
    <row r="8" spans="1:3" ht="30" x14ac:dyDescent="0.25">
      <c r="A8" s="8" t="s">
        <v>516</v>
      </c>
      <c r="B8" s="8" t="s">
        <v>855</v>
      </c>
      <c r="C8" s="1" t="s">
        <v>1039</v>
      </c>
    </row>
    <row r="9" spans="1:3" ht="30" x14ac:dyDescent="0.25">
      <c r="A9" s="8" t="s">
        <v>405</v>
      </c>
      <c r="B9" s="8" t="s">
        <v>856</v>
      </c>
      <c r="C9" s="1" t="s">
        <v>1040</v>
      </c>
    </row>
    <row r="10" spans="1:3" ht="45" x14ac:dyDescent="0.25">
      <c r="A10" s="8" t="s">
        <v>430</v>
      </c>
      <c r="B10" s="8" t="s">
        <v>857</v>
      </c>
      <c r="C10" s="1" t="s">
        <v>1041</v>
      </c>
    </row>
    <row r="11" spans="1:3" ht="45" x14ac:dyDescent="0.25">
      <c r="A11" s="8" t="s">
        <v>434</v>
      </c>
      <c r="B11" s="8" t="s">
        <v>858</v>
      </c>
      <c r="C11" s="1" t="s">
        <v>1042</v>
      </c>
    </row>
    <row r="12" spans="1:3" ht="45" x14ac:dyDescent="0.25">
      <c r="A12" s="8" t="s">
        <v>376</v>
      </c>
      <c r="B12" s="8" t="s">
        <v>859</v>
      </c>
      <c r="C12" s="1" t="s">
        <v>1043</v>
      </c>
    </row>
    <row r="13" spans="1:3" ht="45" x14ac:dyDescent="0.25">
      <c r="A13" s="8" t="s">
        <v>397</v>
      </c>
      <c r="B13" s="8" t="s">
        <v>860</v>
      </c>
      <c r="C13" s="1" t="s">
        <v>1044</v>
      </c>
    </row>
    <row r="14" spans="1:3" ht="45" x14ac:dyDescent="0.25">
      <c r="A14" s="8" t="s">
        <v>399</v>
      </c>
      <c r="B14" s="8" t="s">
        <v>861</v>
      </c>
      <c r="C14" s="1" t="s">
        <v>1045</v>
      </c>
    </row>
    <row r="15" spans="1:3" ht="45" x14ac:dyDescent="0.25">
      <c r="A15" s="8" t="s">
        <v>413</v>
      </c>
      <c r="B15" s="8" t="s">
        <v>862</v>
      </c>
      <c r="C15" s="1" t="s">
        <v>1046</v>
      </c>
    </row>
    <row r="16" spans="1:3" ht="45" x14ac:dyDescent="0.25">
      <c r="A16" s="8" t="s">
        <v>465</v>
      </c>
      <c r="B16" s="8" t="s">
        <v>863</v>
      </c>
      <c r="C16" s="1" t="s">
        <v>1047</v>
      </c>
    </row>
    <row r="17" spans="1:3" ht="45" x14ac:dyDescent="0.25">
      <c r="A17" s="8" t="s">
        <v>411</v>
      </c>
      <c r="B17" s="8" t="s">
        <v>864</v>
      </c>
      <c r="C17" s="1" t="s">
        <v>1048</v>
      </c>
    </row>
    <row r="18" spans="1:3" ht="30" x14ac:dyDescent="0.25">
      <c r="A18" s="8" t="s">
        <v>415</v>
      </c>
      <c r="B18" s="8" t="s">
        <v>865</v>
      </c>
      <c r="C18" s="1" t="s">
        <v>1049</v>
      </c>
    </row>
    <row r="19" spans="1:3" ht="30" x14ac:dyDescent="0.25">
      <c r="A19" s="8" t="s">
        <v>560</v>
      </c>
      <c r="B19" s="8" t="s">
        <v>866</v>
      </c>
      <c r="C19" s="1" t="s">
        <v>1050</v>
      </c>
    </row>
    <row r="20" spans="1:3" ht="30" x14ac:dyDescent="0.25">
      <c r="A20" s="8" t="s">
        <v>464</v>
      </c>
      <c r="B20" s="8" t="s">
        <v>867</v>
      </c>
      <c r="C20" s="1" t="s">
        <v>1051</v>
      </c>
    </row>
    <row r="21" spans="1:3" ht="30" x14ac:dyDescent="0.25">
      <c r="A21" s="8" t="s">
        <v>567</v>
      </c>
      <c r="B21" s="8" t="s">
        <v>868</v>
      </c>
      <c r="C21" s="1" t="s">
        <v>1052</v>
      </c>
    </row>
    <row r="22" spans="1:3" ht="30" x14ac:dyDescent="0.25">
      <c r="A22" s="8" t="s">
        <v>403</v>
      </c>
      <c r="B22" s="8" t="s">
        <v>869</v>
      </c>
      <c r="C22" s="1" t="s">
        <v>1053</v>
      </c>
    </row>
    <row r="23" spans="1:3" ht="45" x14ac:dyDescent="0.25">
      <c r="A23" s="8" t="s">
        <v>463</v>
      </c>
      <c r="B23" s="8" t="s">
        <v>870</v>
      </c>
      <c r="C23" s="1" t="s">
        <v>1054</v>
      </c>
    </row>
    <row r="24" spans="1:3" ht="45" x14ac:dyDescent="0.25">
      <c r="A24" s="8" t="s">
        <v>500</v>
      </c>
      <c r="B24" s="8" t="s">
        <v>871</v>
      </c>
      <c r="C24" s="1" t="s">
        <v>1055</v>
      </c>
    </row>
    <row r="25" spans="1:3" ht="45" x14ac:dyDescent="0.25">
      <c r="A25" s="8" t="s">
        <v>456</v>
      </c>
      <c r="B25" s="8" t="s">
        <v>872</v>
      </c>
      <c r="C25" s="1" t="s">
        <v>1056</v>
      </c>
    </row>
    <row r="26" spans="1:3" ht="45" x14ac:dyDescent="0.25">
      <c r="A26" s="8" t="s">
        <v>555</v>
      </c>
      <c r="B26" s="8" t="s">
        <v>873</v>
      </c>
      <c r="C26" s="1" t="s">
        <v>1057</v>
      </c>
    </row>
    <row r="27" spans="1:3" ht="45" x14ac:dyDescent="0.25">
      <c r="A27" s="8" t="s">
        <v>390</v>
      </c>
      <c r="B27" s="8" t="s">
        <v>874</v>
      </c>
      <c r="C27" s="1" t="s">
        <v>1058</v>
      </c>
    </row>
    <row r="28" spans="1:3" ht="30" x14ac:dyDescent="0.25">
      <c r="A28" s="8" t="s">
        <v>410</v>
      </c>
      <c r="B28" s="8" t="s">
        <v>875</v>
      </c>
      <c r="C28" s="1" t="s">
        <v>1059</v>
      </c>
    </row>
    <row r="29" spans="1:3" ht="30" x14ac:dyDescent="0.25">
      <c r="A29" s="8" t="s">
        <v>568</v>
      </c>
      <c r="B29" s="8" t="s">
        <v>876</v>
      </c>
      <c r="C29" s="1" t="s">
        <v>1060</v>
      </c>
    </row>
    <row r="30" spans="1:3" ht="45" x14ac:dyDescent="0.25">
      <c r="A30" s="8" t="s">
        <v>532</v>
      </c>
      <c r="B30" s="8" t="s">
        <v>877</v>
      </c>
      <c r="C30" s="1" t="s">
        <v>1061</v>
      </c>
    </row>
    <row r="31" spans="1:3" ht="45" x14ac:dyDescent="0.25">
      <c r="A31" s="8" t="s">
        <v>540</v>
      </c>
      <c r="B31" s="8" t="s">
        <v>878</v>
      </c>
      <c r="C31" s="1" t="s">
        <v>1062</v>
      </c>
    </row>
    <row r="32" spans="1:3" ht="45" x14ac:dyDescent="0.25">
      <c r="A32" s="8" t="s">
        <v>492</v>
      </c>
      <c r="B32" s="8" t="s">
        <v>879</v>
      </c>
      <c r="C32" s="1" t="s">
        <v>1063</v>
      </c>
    </row>
    <row r="33" spans="1:3" ht="45" x14ac:dyDescent="0.25">
      <c r="A33" s="8" t="s">
        <v>468</v>
      </c>
      <c r="B33" s="8" t="s">
        <v>880</v>
      </c>
      <c r="C33" s="1" t="s">
        <v>1064</v>
      </c>
    </row>
    <row r="34" spans="1:3" ht="45" x14ac:dyDescent="0.25">
      <c r="A34" s="8" t="s">
        <v>479</v>
      </c>
      <c r="B34" s="8" t="s">
        <v>881</v>
      </c>
      <c r="C34" s="1" t="s">
        <v>1065</v>
      </c>
    </row>
    <row r="35" spans="1:3" ht="45" x14ac:dyDescent="0.25">
      <c r="A35" s="8" t="s">
        <v>529</v>
      </c>
      <c r="B35" s="8" t="s">
        <v>882</v>
      </c>
      <c r="C35" s="1" t="s">
        <v>1066</v>
      </c>
    </row>
    <row r="36" spans="1:3" ht="45" x14ac:dyDescent="0.25">
      <c r="A36" s="8" t="s">
        <v>515</v>
      </c>
      <c r="B36" s="8" t="s">
        <v>883</v>
      </c>
      <c r="C36" s="1" t="s">
        <v>1067</v>
      </c>
    </row>
    <row r="37" spans="1:3" ht="45" x14ac:dyDescent="0.25">
      <c r="A37" s="8" t="s">
        <v>496</v>
      </c>
      <c r="B37" s="8" t="s">
        <v>884</v>
      </c>
      <c r="C37" s="1" t="s">
        <v>1068</v>
      </c>
    </row>
    <row r="38" spans="1:3" ht="30" x14ac:dyDescent="0.25">
      <c r="A38" s="8" t="s">
        <v>533</v>
      </c>
      <c r="B38" s="8" t="s">
        <v>885</v>
      </c>
      <c r="C38" s="1" t="s">
        <v>1069</v>
      </c>
    </row>
    <row r="39" spans="1:3" ht="45" x14ac:dyDescent="0.25">
      <c r="A39" s="8" t="s">
        <v>520</v>
      </c>
      <c r="B39" s="8" t="s">
        <v>886</v>
      </c>
      <c r="C39" s="1" t="s">
        <v>1070</v>
      </c>
    </row>
    <row r="40" spans="1:3" ht="45" x14ac:dyDescent="0.25">
      <c r="A40" s="8" t="s">
        <v>448</v>
      </c>
      <c r="B40" s="8" t="s">
        <v>887</v>
      </c>
      <c r="C40" s="1" t="s">
        <v>1071</v>
      </c>
    </row>
    <row r="41" spans="1:3" ht="30" x14ac:dyDescent="0.25">
      <c r="A41" s="8" t="s">
        <v>451</v>
      </c>
      <c r="B41" s="8" t="s">
        <v>888</v>
      </c>
      <c r="C41" s="1" t="s">
        <v>1072</v>
      </c>
    </row>
    <row r="42" spans="1:3" ht="45" x14ac:dyDescent="0.25">
      <c r="A42" s="8" t="s">
        <v>524</v>
      </c>
      <c r="B42" s="8" t="s">
        <v>889</v>
      </c>
      <c r="C42" s="1" t="s">
        <v>1073</v>
      </c>
    </row>
    <row r="43" spans="1:3" ht="45" x14ac:dyDescent="0.25">
      <c r="A43" s="8" t="s">
        <v>537</v>
      </c>
      <c r="B43" s="8" t="s">
        <v>890</v>
      </c>
      <c r="C43" s="1" t="s">
        <v>1074</v>
      </c>
    </row>
    <row r="44" spans="1:3" ht="45" x14ac:dyDescent="0.25">
      <c r="A44" s="8" t="s">
        <v>499</v>
      </c>
      <c r="B44" s="8" t="s">
        <v>891</v>
      </c>
      <c r="C44" s="1" t="s">
        <v>1075</v>
      </c>
    </row>
    <row r="45" spans="1:3" ht="45" x14ac:dyDescent="0.25">
      <c r="A45" s="8" t="s">
        <v>531</v>
      </c>
      <c r="B45" s="8" t="s">
        <v>892</v>
      </c>
      <c r="C45" s="1" t="s">
        <v>1076</v>
      </c>
    </row>
    <row r="46" spans="1:3" ht="30" x14ac:dyDescent="0.25">
      <c r="A46" s="8" t="s">
        <v>530</v>
      </c>
      <c r="B46" s="8" t="s">
        <v>893</v>
      </c>
      <c r="C46" s="1" t="s">
        <v>1077</v>
      </c>
    </row>
    <row r="47" spans="1:3" ht="30" x14ac:dyDescent="0.25">
      <c r="A47" s="8" t="s">
        <v>480</v>
      </c>
      <c r="B47" s="8" t="s">
        <v>894</v>
      </c>
      <c r="C47" s="1" t="s">
        <v>1078</v>
      </c>
    </row>
    <row r="48" spans="1:3" ht="30" x14ac:dyDescent="0.25">
      <c r="A48" s="8" t="s">
        <v>426</v>
      </c>
      <c r="B48" s="8" t="s">
        <v>895</v>
      </c>
      <c r="C48" s="1" t="s">
        <v>1079</v>
      </c>
    </row>
    <row r="49" spans="1:3" ht="30" x14ac:dyDescent="0.25">
      <c r="A49" s="8" t="s">
        <v>473</v>
      </c>
      <c r="B49" s="8" t="s">
        <v>896</v>
      </c>
      <c r="C49" s="1" t="s">
        <v>1080</v>
      </c>
    </row>
    <row r="50" spans="1:3" ht="30" x14ac:dyDescent="0.25">
      <c r="A50" s="8" t="s">
        <v>513</v>
      </c>
      <c r="B50" s="8" t="s">
        <v>897</v>
      </c>
      <c r="C50" s="1" t="s">
        <v>1081</v>
      </c>
    </row>
    <row r="51" spans="1:3" ht="30" x14ac:dyDescent="0.25">
      <c r="A51" s="8" t="s">
        <v>371</v>
      </c>
      <c r="B51" s="8" t="s">
        <v>855</v>
      </c>
      <c r="C51" s="1" t="s">
        <v>1082</v>
      </c>
    </row>
    <row r="52" spans="1:3" ht="30" x14ac:dyDescent="0.25">
      <c r="A52" s="8" t="s">
        <v>487</v>
      </c>
      <c r="B52" s="8" t="s">
        <v>854</v>
      </c>
      <c r="C52" s="1" t="s">
        <v>1083</v>
      </c>
    </row>
    <row r="53" spans="1:3" ht="30" x14ac:dyDescent="0.25">
      <c r="A53" s="8" t="s">
        <v>472</v>
      </c>
      <c r="B53" s="8" t="s">
        <v>898</v>
      </c>
      <c r="C53" s="1" t="s">
        <v>1084</v>
      </c>
    </row>
    <row r="54" spans="1:3" ht="30" x14ac:dyDescent="0.25">
      <c r="A54" s="8" t="s">
        <v>402</v>
      </c>
      <c r="B54" s="8" t="s">
        <v>899</v>
      </c>
      <c r="C54" s="1" t="s">
        <v>1085</v>
      </c>
    </row>
    <row r="55" spans="1:3" ht="30" x14ac:dyDescent="0.25">
      <c r="A55" s="8" t="s">
        <v>419</v>
      </c>
      <c r="B55" s="8" t="s">
        <v>900</v>
      </c>
      <c r="C55" s="1" t="s">
        <v>1086</v>
      </c>
    </row>
    <row r="56" spans="1:3" ht="30" x14ac:dyDescent="0.25">
      <c r="A56" s="8" t="s">
        <v>550</v>
      </c>
      <c r="B56" s="8" t="s">
        <v>901</v>
      </c>
      <c r="C56" s="1" t="s">
        <v>1087</v>
      </c>
    </row>
    <row r="57" spans="1:3" ht="30" x14ac:dyDescent="0.25">
      <c r="A57" s="8" t="s">
        <v>486</v>
      </c>
      <c r="B57" s="8" t="s">
        <v>902</v>
      </c>
      <c r="C57" s="1" t="s">
        <v>1088</v>
      </c>
    </row>
    <row r="58" spans="1:3" ht="30" x14ac:dyDescent="0.25">
      <c r="A58" s="8" t="s">
        <v>385</v>
      </c>
      <c r="B58" s="8" t="s">
        <v>903</v>
      </c>
      <c r="C58" s="1" t="s">
        <v>1089</v>
      </c>
    </row>
    <row r="59" spans="1:3" ht="30" x14ac:dyDescent="0.25">
      <c r="A59" s="8" t="s">
        <v>551</v>
      </c>
      <c r="B59" s="8" t="s">
        <v>904</v>
      </c>
      <c r="C59" s="1" t="s">
        <v>1090</v>
      </c>
    </row>
    <row r="60" spans="1:3" ht="30" x14ac:dyDescent="0.25">
      <c r="A60" s="8" t="s">
        <v>373</v>
      </c>
      <c r="B60" s="8" t="s">
        <v>905</v>
      </c>
      <c r="C60" s="1" t="s">
        <v>1091</v>
      </c>
    </row>
    <row r="61" spans="1:3" ht="30" x14ac:dyDescent="0.25">
      <c r="A61" s="8" t="s">
        <v>541</v>
      </c>
      <c r="B61" s="8" t="s">
        <v>906</v>
      </c>
      <c r="C61" s="1" t="s">
        <v>1092</v>
      </c>
    </row>
    <row r="62" spans="1:3" ht="30" x14ac:dyDescent="0.25">
      <c r="A62" s="8" t="s">
        <v>379</v>
      </c>
      <c r="B62" s="8" t="s">
        <v>907</v>
      </c>
      <c r="C62" s="1" t="s">
        <v>1093</v>
      </c>
    </row>
    <row r="63" spans="1:3" ht="30" x14ac:dyDescent="0.25">
      <c r="A63" s="8" t="s">
        <v>425</v>
      </c>
      <c r="B63" s="8" t="s">
        <v>908</v>
      </c>
      <c r="C63" s="1" t="s">
        <v>1094</v>
      </c>
    </row>
    <row r="64" spans="1:3" ht="30" x14ac:dyDescent="0.25">
      <c r="A64" s="8" t="s">
        <v>471</v>
      </c>
      <c r="B64" s="8" t="s">
        <v>878</v>
      </c>
      <c r="C64" s="1" t="s">
        <v>1095</v>
      </c>
    </row>
    <row r="65" spans="1:3" ht="30" x14ac:dyDescent="0.25">
      <c r="A65" s="8" t="s">
        <v>421</v>
      </c>
      <c r="B65" s="8" t="s">
        <v>421</v>
      </c>
      <c r="C65" s="1" t="s">
        <v>1096</v>
      </c>
    </row>
    <row r="66" spans="1:3" ht="30" x14ac:dyDescent="0.25">
      <c r="A66" s="8" t="s">
        <v>535</v>
      </c>
      <c r="B66" s="8" t="s">
        <v>863</v>
      </c>
      <c r="C66" s="1" t="s">
        <v>1097</v>
      </c>
    </row>
    <row r="67" spans="1:3" ht="30" x14ac:dyDescent="0.25">
      <c r="A67" s="8" t="s">
        <v>502</v>
      </c>
      <c r="B67" s="8" t="s">
        <v>909</v>
      </c>
      <c r="C67" s="1" t="s">
        <v>1098</v>
      </c>
    </row>
    <row r="68" spans="1:3" ht="30" x14ac:dyDescent="0.25">
      <c r="A68" s="8" t="s">
        <v>553</v>
      </c>
      <c r="B68" s="8" t="s">
        <v>910</v>
      </c>
      <c r="C68" s="1" t="s">
        <v>1099</v>
      </c>
    </row>
    <row r="69" spans="1:3" ht="30" x14ac:dyDescent="0.25">
      <c r="A69" s="8" t="s">
        <v>490</v>
      </c>
      <c r="B69" s="8" t="s">
        <v>911</v>
      </c>
      <c r="C69" s="1" t="s">
        <v>1100</v>
      </c>
    </row>
    <row r="70" spans="1:3" ht="30" x14ac:dyDescent="0.25">
      <c r="A70" s="8" t="s">
        <v>459</v>
      </c>
      <c r="B70" s="8" t="s">
        <v>912</v>
      </c>
      <c r="C70" s="1" t="s">
        <v>1101</v>
      </c>
    </row>
    <row r="71" spans="1:3" ht="30" x14ac:dyDescent="0.25">
      <c r="A71" s="8" t="s">
        <v>458</v>
      </c>
      <c r="B71" s="8" t="s">
        <v>913</v>
      </c>
      <c r="C71" s="1" t="s">
        <v>1102</v>
      </c>
    </row>
    <row r="72" spans="1:3" ht="30" x14ac:dyDescent="0.25">
      <c r="A72" s="8" t="s">
        <v>484</v>
      </c>
      <c r="B72" s="8" t="s">
        <v>914</v>
      </c>
      <c r="C72" s="1" t="s">
        <v>1103</v>
      </c>
    </row>
    <row r="73" spans="1:3" ht="30" x14ac:dyDescent="0.25">
      <c r="A73" s="8" t="s">
        <v>462</v>
      </c>
      <c r="B73" s="8" t="s">
        <v>869</v>
      </c>
      <c r="C73" s="1" t="s">
        <v>1104</v>
      </c>
    </row>
    <row r="74" spans="1:3" ht="30" x14ac:dyDescent="0.25">
      <c r="A74" s="8" t="s">
        <v>383</v>
      </c>
      <c r="B74" s="8" t="s">
        <v>915</v>
      </c>
      <c r="C74" s="1" t="s">
        <v>1105</v>
      </c>
    </row>
    <row r="75" spans="1:3" ht="30" x14ac:dyDescent="0.25">
      <c r="A75" s="8" t="s">
        <v>400</v>
      </c>
      <c r="B75" s="8" t="s">
        <v>916</v>
      </c>
      <c r="C75" s="1" t="s">
        <v>1106</v>
      </c>
    </row>
    <row r="76" spans="1:3" ht="30" x14ac:dyDescent="0.25">
      <c r="A76" s="8" t="s">
        <v>552</v>
      </c>
      <c r="B76" s="8" t="s">
        <v>917</v>
      </c>
      <c r="C76" s="1" t="s">
        <v>1107</v>
      </c>
    </row>
    <row r="77" spans="1:3" ht="30" x14ac:dyDescent="0.25">
      <c r="A77" s="8" t="s">
        <v>512</v>
      </c>
      <c r="B77" s="8" t="s">
        <v>918</v>
      </c>
      <c r="C77" s="1" t="s">
        <v>1108</v>
      </c>
    </row>
    <row r="78" spans="1:3" ht="30" x14ac:dyDescent="0.25">
      <c r="A78" s="8" t="s">
        <v>506</v>
      </c>
      <c r="B78" s="8" t="s">
        <v>919</v>
      </c>
      <c r="C78" s="1" t="s">
        <v>1109</v>
      </c>
    </row>
    <row r="79" spans="1:3" ht="30" x14ac:dyDescent="0.25">
      <c r="A79" s="8" t="s">
        <v>478</v>
      </c>
      <c r="B79" s="8" t="s">
        <v>920</v>
      </c>
      <c r="C79" s="1" t="s">
        <v>1110</v>
      </c>
    </row>
    <row r="80" spans="1:3" ht="30" x14ac:dyDescent="0.25">
      <c r="A80" s="8" t="s">
        <v>436</v>
      </c>
      <c r="B80" s="8" t="s">
        <v>921</v>
      </c>
      <c r="C80" s="1" t="s">
        <v>1111</v>
      </c>
    </row>
    <row r="81" spans="1:3" ht="30" x14ac:dyDescent="0.25">
      <c r="A81" s="8" t="s">
        <v>396</v>
      </c>
      <c r="B81" s="8" t="s">
        <v>922</v>
      </c>
      <c r="C81" s="1" t="s">
        <v>1112</v>
      </c>
    </row>
    <row r="82" spans="1:3" ht="30" x14ac:dyDescent="0.25">
      <c r="A82" s="8" t="s">
        <v>481</v>
      </c>
      <c r="B82" s="8" t="s">
        <v>923</v>
      </c>
      <c r="C82" s="1" t="s">
        <v>1078</v>
      </c>
    </row>
    <row r="83" spans="1:3" ht="30" x14ac:dyDescent="0.25">
      <c r="A83" s="8" t="s">
        <v>386</v>
      </c>
      <c r="B83" s="8" t="s">
        <v>924</v>
      </c>
      <c r="C83" s="1" t="s">
        <v>1113</v>
      </c>
    </row>
    <row r="84" spans="1:3" ht="30" x14ac:dyDescent="0.25">
      <c r="A84" s="8" t="s">
        <v>439</v>
      </c>
      <c r="B84" s="8" t="s">
        <v>925</v>
      </c>
      <c r="C84" s="1" t="s">
        <v>1114</v>
      </c>
    </row>
    <row r="85" spans="1:3" ht="30" x14ac:dyDescent="0.25">
      <c r="A85" s="8" t="s">
        <v>566</v>
      </c>
      <c r="B85" s="8" t="s">
        <v>926</v>
      </c>
      <c r="C85" s="1" t="s">
        <v>1115</v>
      </c>
    </row>
    <row r="86" spans="1:3" ht="30" x14ac:dyDescent="0.25">
      <c r="A86" s="8" t="s">
        <v>369</v>
      </c>
      <c r="B86" s="8" t="s">
        <v>927</v>
      </c>
      <c r="C86" s="1" t="s">
        <v>1116</v>
      </c>
    </row>
    <row r="87" spans="1:3" ht="30" x14ac:dyDescent="0.25">
      <c r="A87" s="8" t="s">
        <v>559</v>
      </c>
      <c r="B87" s="8" t="s">
        <v>928</v>
      </c>
      <c r="C87" s="1" t="s">
        <v>1117</v>
      </c>
    </row>
    <row r="88" spans="1:3" ht="30" x14ac:dyDescent="0.25">
      <c r="A88" s="8" t="s">
        <v>518</v>
      </c>
      <c r="B88" s="8" t="s">
        <v>929</v>
      </c>
      <c r="C88" s="1" t="s">
        <v>1118</v>
      </c>
    </row>
    <row r="89" spans="1:3" ht="30" x14ac:dyDescent="0.25">
      <c r="A89" s="8" t="s">
        <v>497</v>
      </c>
      <c r="B89" s="8" t="s">
        <v>930</v>
      </c>
      <c r="C89" s="1" t="s">
        <v>1119</v>
      </c>
    </row>
    <row r="90" spans="1:3" ht="30" x14ac:dyDescent="0.25">
      <c r="A90" s="8" t="s">
        <v>406</v>
      </c>
      <c r="B90" s="8" t="s">
        <v>931</v>
      </c>
      <c r="C90" s="1" t="s">
        <v>1120</v>
      </c>
    </row>
    <row r="91" spans="1:3" ht="30" x14ac:dyDescent="0.25">
      <c r="A91" s="8" t="s">
        <v>441</v>
      </c>
      <c r="B91" s="8" t="s">
        <v>932</v>
      </c>
      <c r="C91" s="1" t="s">
        <v>1121</v>
      </c>
    </row>
    <row r="92" spans="1:3" ht="30" x14ac:dyDescent="0.25">
      <c r="A92" s="8" t="s">
        <v>435</v>
      </c>
      <c r="B92" s="8" t="s">
        <v>933</v>
      </c>
      <c r="C92" s="1" t="s">
        <v>1122</v>
      </c>
    </row>
    <row r="93" spans="1:3" ht="30" x14ac:dyDescent="0.25">
      <c r="A93" s="8" t="s">
        <v>569</v>
      </c>
      <c r="B93" s="8" t="s">
        <v>934</v>
      </c>
      <c r="C93" s="1" t="s">
        <v>1123</v>
      </c>
    </row>
    <row r="94" spans="1:3" ht="30" x14ac:dyDescent="0.25">
      <c r="A94" s="8" t="s">
        <v>443</v>
      </c>
      <c r="B94" s="8" t="s">
        <v>935</v>
      </c>
      <c r="C94" s="1" t="s">
        <v>1124</v>
      </c>
    </row>
    <row r="95" spans="1:3" ht="30" x14ac:dyDescent="0.25">
      <c r="A95" s="8" t="s">
        <v>545</v>
      </c>
      <c r="B95" s="8" t="s">
        <v>936</v>
      </c>
      <c r="C95" s="1" t="s">
        <v>1125</v>
      </c>
    </row>
    <row r="96" spans="1:3" ht="30" x14ac:dyDescent="0.25">
      <c r="A96" s="8" t="s">
        <v>412</v>
      </c>
      <c r="B96" s="8" t="s">
        <v>937</v>
      </c>
      <c r="C96" s="1" t="s">
        <v>1126</v>
      </c>
    </row>
    <row r="97" spans="1:3" ht="30" x14ac:dyDescent="0.25">
      <c r="A97" s="8" t="s">
        <v>501</v>
      </c>
      <c r="B97" s="8" t="s">
        <v>938</v>
      </c>
      <c r="C97" s="1" t="s">
        <v>1127</v>
      </c>
    </row>
    <row r="98" spans="1:3" ht="30" x14ac:dyDescent="0.25">
      <c r="A98" s="8" t="s">
        <v>370</v>
      </c>
      <c r="B98" s="8" t="s">
        <v>939</v>
      </c>
      <c r="C98" s="1" t="s">
        <v>1128</v>
      </c>
    </row>
    <row r="99" spans="1:3" ht="30" x14ac:dyDescent="0.25">
      <c r="A99" s="8" t="s">
        <v>521</v>
      </c>
      <c r="B99" s="8" t="s">
        <v>940</v>
      </c>
      <c r="C99" s="1" t="s">
        <v>1129</v>
      </c>
    </row>
    <row r="100" spans="1:3" ht="30" x14ac:dyDescent="0.25">
      <c r="A100" s="8" t="s">
        <v>432</v>
      </c>
      <c r="B100" s="8" t="s">
        <v>941</v>
      </c>
      <c r="C100" s="1" t="s">
        <v>1130</v>
      </c>
    </row>
    <row r="101" spans="1:3" ht="30" x14ac:dyDescent="0.25">
      <c r="A101" s="8" t="s">
        <v>562</v>
      </c>
      <c r="B101" s="8" t="s">
        <v>942</v>
      </c>
      <c r="C101" s="1" t="s">
        <v>1131</v>
      </c>
    </row>
    <row r="102" spans="1:3" ht="30" x14ac:dyDescent="0.25">
      <c r="A102" s="8" t="s">
        <v>563</v>
      </c>
      <c r="B102" s="8" t="s">
        <v>943</v>
      </c>
      <c r="C102" s="1" t="s">
        <v>1132</v>
      </c>
    </row>
    <row r="103" spans="1:3" ht="30" x14ac:dyDescent="0.25">
      <c r="A103" s="8" t="s">
        <v>511</v>
      </c>
      <c r="B103" s="8" t="s">
        <v>944</v>
      </c>
      <c r="C103" s="1" t="s">
        <v>1133</v>
      </c>
    </row>
    <row r="104" spans="1:3" ht="30" x14ac:dyDescent="0.25">
      <c r="A104" s="8" t="s">
        <v>508</v>
      </c>
      <c r="B104" s="8" t="s">
        <v>945</v>
      </c>
      <c r="C104" s="1" t="s">
        <v>1134</v>
      </c>
    </row>
    <row r="105" spans="1:3" ht="30" x14ac:dyDescent="0.25">
      <c r="A105" s="8" t="s">
        <v>505</v>
      </c>
      <c r="B105" s="8" t="s">
        <v>946</v>
      </c>
      <c r="C105" s="1" t="s">
        <v>1135</v>
      </c>
    </row>
    <row r="106" spans="1:3" ht="30" x14ac:dyDescent="0.25">
      <c r="A106" s="8" t="s">
        <v>547</v>
      </c>
      <c r="B106" s="8" t="s">
        <v>947</v>
      </c>
      <c r="C106" s="1" t="s">
        <v>1136</v>
      </c>
    </row>
    <row r="107" spans="1:3" ht="30" x14ac:dyDescent="0.25">
      <c r="A107" s="8" t="s">
        <v>454</v>
      </c>
      <c r="B107" s="8" t="s">
        <v>948</v>
      </c>
      <c r="C107" s="1" t="s">
        <v>1137</v>
      </c>
    </row>
    <row r="108" spans="1:3" ht="30" x14ac:dyDescent="0.25">
      <c r="A108" s="8" t="s">
        <v>525</v>
      </c>
      <c r="B108" s="8" t="s">
        <v>1023</v>
      </c>
      <c r="C108" s="1" t="s">
        <v>1138</v>
      </c>
    </row>
    <row r="109" spans="1:3" ht="30" x14ac:dyDescent="0.25">
      <c r="A109" s="8" t="s">
        <v>395</v>
      </c>
      <c r="B109" s="8" t="s">
        <v>949</v>
      </c>
      <c r="C109" s="1" t="s">
        <v>1139</v>
      </c>
    </row>
    <row r="110" spans="1:3" ht="30" x14ac:dyDescent="0.25">
      <c r="A110" s="8" t="s">
        <v>556</v>
      </c>
      <c r="B110" s="8" t="s">
        <v>1024</v>
      </c>
      <c r="C110" s="1" t="s">
        <v>1140</v>
      </c>
    </row>
    <row r="111" spans="1:3" ht="45" x14ac:dyDescent="0.25">
      <c r="A111" s="8" t="s">
        <v>491</v>
      </c>
      <c r="B111" s="8" t="s">
        <v>950</v>
      </c>
      <c r="C111" s="1" t="s">
        <v>1141</v>
      </c>
    </row>
    <row r="112" spans="1:3" ht="30" x14ac:dyDescent="0.25">
      <c r="A112" s="8" t="s">
        <v>510</v>
      </c>
      <c r="B112" s="8" t="s">
        <v>951</v>
      </c>
      <c r="C112" s="1" t="s">
        <v>1142</v>
      </c>
    </row>
    <row r="113" spans="1:3" ht="30" x14ac:dyDescent="0.25">
      <c r="A113" s="8" t="s">
        <v>398</v>
      </c>
      <c r="B113" s="8" t="s">
        <v>473</v>
      </c>
      <c r="C113" s="1" t="s">
        <v>1143</v>
      </c>
    </row>
    <row r="114" spans="1:3" ht="30" x14ac:dyDescent="0.25">
      <c r="A114" s="8" t="s">
        <v>446</v>
      </c>
      <c r="B114" s="8" t="s">
        <v>952</v>
      </c>
      <c r="C114" s="1" t="s">
        <v>1144</v>
      </c>
    </row>
    <row r="115" spans="1:3" ht="30" x14ac:dyDescent="0.25">
      <c r="A115" s="8" t="s">
        <v>414</v>
      </c>
      <c r="B115" s="8" t="s">
        <v>953</v>
      </c>
      <c r="C115" s="1" t="s">
        <v>1145</v>
      </c>
    </row>
    <row r="116" spans="1:3" ht="30" x14ac:dyDescent="0.25">
      <c r="A116" s="8" t="s">
        <v>488</v>
      </c>
      <c r="B116" s="8" t="s">
        <v>488</v>
      </c>
      <c r="C116" s="1" t="s">
        <v>1146</v>
      </c>
    </row>
    <row r="117" spans="1:3" ht="30" x14ac:dyDescent="0.25">
      <c r="A117" s="8" t="s">
        <v>401</v>
      </c>
      <c r="B117" s="8" t="s">
        <v>954</v>
      </c>
      <c r="C117" s="1" t="s">
        <v>1147</v>
      </c>
    </row>
    <row r="118" spans="1:3" ht="30" x14ac:dyDescent="0.25">
      <c r="A118" s="8" t="s">
        <v>514</v>
      </c>
      <c r="B118" s="8" t="s">
        <v>955</v>
      </c>
      <c r="C118" s="1" t="s">
        <v>1148</v>
      </c>
    </row>
    <row r="119" spans="1:3" ht="30" x14ac:dyDescent="0.25">
      <c r="A119" s="8" t="s">
        <v>375</v>
      </c>
      <c r="B119" s="8" t="s">
        <v>956</v>
      </c>
      <c r="C119" s="1" t="s">
        <v>1149</v>
      </c>
    </row>
    <row r="120" spans="1:3" ht="30" x14ac:dyDescent="0.25">
      <c r="A120" s="8" t="s">
        <v>470</v>
      </c>
      <c r="B120" s="8" t="s">
        <v>476</v>
      </c>
      <c r="C120" s="1" t="s">
        <v>1150</v>
      </c>
    </row>
    <row r="121" spans="1:3" ht="30" x14ac:dyDescent="0.25">
      <c r="A121" s="8" t="s">
        <v>528</v>
      </c>
      <c r="B121" s="8" t="s">
        <v>957</v>
      </c>
      <c r="C121" s="1" t="s">
        <v>1151</v>
      </c>
    </row>
    <row r="122" spans="1:3" ht="30" x14ac:dyDescent="0.25">
      <c r="A122" s="8" t="s">
        <v>445</v>
      </c>
      <c r="B122" s="8" t="s">
        <v>958</v>
      </c>
      <c r="C122" s="1" t="s">
        <v>1152</v>
      </c>
    </row>
    <row r="123" spans="1:3" ht="30" x14ac:dyDescent="0.25">
      <c r="A123" s="8" t="s">
        <v>423</v>
      </c>
      <c r="B123" s="8" t="s">
        <v>423</v>
      </c>
      <c r="C123" s="1" t="s">
        <v>1153</v>
      </c>
    </row>
    <row r="124" spans="1:3" ht="30" x14ac:dyDescent="0.25">
      <c r="A124" s="8" t="s">
        <v>409</v>
      </c>
      <c r="B124" s="8" t="s">
        <v>959</v>
      </c>
      <c r="C124" s="1" t="s">
        <v>1154</v>
      </c>
    </row>
    <row r="125" spans="1:3" ht="30" x14ac:dyDescent="0.25">
      <c r="A125" s="8" t="s">
        <v>437</v>
      </c>
      <c r="B125" s="8" t="s">
        <v>960</v>
      </c>
      <c r="C125" s="1" t="s">
        <v>1155</v>
      </c>
    </row>
    <row r="126" spans="1:3" ht="30" x14ac:dyDescent="0.25">
      <c r="A126" s="8" t="s">
        <v>503</v>
      </c>
      <c r="B126" s="8" t="s">
        <v>961</v>
      </c>
      <c r="C126" s="1" t="s">
        <v>1156</v>
      </c>
    </row>
    <row r="127" spans="1:3" ht="30" x14ac:dyDescent="0.25">
      <c r="A127" s="8" t="s">
        <v>504</v>
      </c>
      <c r="B127" s="8" t="s">
        <v>962</v>
      </c>
      <c r="C127" s="1" t="s">
        <v>1157</v>
      </c>
    </row>
    <row r="128" spans="1:3" ht="30" x14ac:dyDescent="0.25">
      <c r="A128" s="8" t="s">
        <v>466</v>
      </c>
      <c r="B128" s="8" t="s">
        <v>963</v>
      </c>
      <c r="C128" s="1" t="s">
        <v>1158</v>
      </c>
    </row>
    <row r="129" spans="1:3" ht="30" x14ac:dyDescent="0.25">
      <c r="A129" s="8" t="s">
        <v>507</v>
      </c>
      <c r="B129" s="8" t="s">
        <v>1025</v>
      </c>
      <c r="C129" s="1" t="s">
        <v>1159</v>
      </c>
    </row>
    <row r="130" spans="1:3" ht="30" x14ac:dyDescent="0.25">
      <c r="A130" s="8" t="s">
        <v>442</v>
      </c>
      <c r="B130" s="8" t="s">
        <v>964</v>
      </c>
      <c r="C130" s="1" t="s">
        <v>1160</v>
      </c>
    </row>
    <row r="131" spans="1:3" ht="30" x14ac:dyDescent="0.25">
      <c r="A131" s="8" t="s">
        <v>391</v>
      </c>
      <c r="B131" s="8" t="s">
        <v>965</v>
      </c>
      <c r="C131" s="1" t="s">
        <v>1161</v>
      </c>
    </row>
    <row r="132" spans="1:3" ht="30" x14ac:dyDescent="0.25">
      <c r="A132" s="8" t="s">
        <v>483</v>
      </c>
      <c r="B132" s="8" t="s">
        <v>966</v>
      </c>
      <c r="C132" s="1" t="s">
        <v>1162</v>
      </c>
    </row>
    <row r="133" spans="1:3" ht="30" x14ac:dyDescent="0.25">
      <c r="A133" s="8" t="s">
        <v>372</v>
      </c>
      <c r="B133" s="8" t="s">
        <v>967</v>
      </c>
      <c r="C133" s="1" t="s">
        <v>1163</v>
      </c>
    </row>
    <row r="134" spans="1:3" ht="30" x14ac:dyDescent="0.25">
      <c r="A134" s="8" t="s">
        <v>539</v>
      </c>
      <c r="B134" s="8" t="s">
        <v>968</v>
      </c>
      <c r="C134" s="1" t="s">
        <v>1164</v>
      </c>
    </row>
    <row r="135" spans="1:3" ht="30" x14ac:dyDescent="0.25">
      <c r="A135" s="8" t="s">
        <v>449</v>
      </c>
      <c r="B135" s="8" t="s">
        <v>969</v>
      </c>
      <c r="C135" s="1" t="s">
        <v>1165</v>
      </c>
    </row>
    <row r="136" spans="1:3" ht="45" x14ac:dyDescent="0.25">
      <c r="A136" s="8" t="s">
        <v>321</v>
      </c>
      <c r="B136" s="8" t="s">
        <v>970</v>
      </c>
      <c r="C136" s="1" t="s">
        <v>1166</v>
      </c>
    </row>
    <row r="137" spans="1:3" ht="30" x14ac:dyDescent="0.25">
      <c r="A137" s="8" t="s">
        <v>394</v>
      </c>
      <c r="B137" s="8" t="s">
        <v>971</v>
      </c>
      <c r="C137" s="1" t="s">
        <v>1167</v>
      </c>
    </row>
    <row r="138" spans="1:3" ht="30" x14ac:dyDescent="0.25">
      <c r="A138" s="8" t="s">
        <v>477</v>
      </c>
      <c r="B138" s="8" t="s">
        <v>972</v>
      </c>
      <c r="C138" s="1" t="s">
        <v>1168</v>
      </c>
    </row>
    <row r="139" spans="1:3" ht="30" x14ac:dyDescent="0.25">
      <c r="A139" s="8" t="s">
        <v>494</v>
      </c>
      <c r="B139" s="8" t="s">
        <v>973</v>
      </c>
      <c r="C139" s="1" t="s">
        <v>1169</v>
      </c>
    </row>
    <row r="140" spans="1:3" ht="30" x14ac:dyDescent="0.25">
      <c r="A140" s="8" t="s">
        <v>377</v>
      </c>
      <c r="B140" s="8" t="s">
        <v>974</v>
      </c>
      <c r="C140" s="1" t="s">
        <v>1170</v>
      </c>
    </row>
    <row r="141" spans="1:3" ht="30" x14ac:dyDescent="0.25">
      <c r="A141" s="8" t="s">
        <v>461</v>
      </c>
      <c r="B141" s="8" t="s">
        <v>975</v>
      </c>
      <c r="C141" s="1" t="s">
        <v>1171</v>
      </c>
    </row>
    <row r="142" spans="1:3" ht="30" x14ac:dyDescent="0.25">
      <c r="A142" s="8" t="s">
        <v>450</v>
      </c>
      <c r="B142" s="8" t="s">
        <v>976</v>
      </c>
      <c r="C142" s="1" t="s">
        <v>1172</v>
      </c>
    </row>
    <row r="143" spans="1:3" ht="30" x14ac:dyDescent="0.25">
      <c r="A143" s="8" t="s">
        <v>489</v>
      </c>
      <c r="B143" s="8" t="s">
        <v>977</v>
      </c>
      <c r="C143" s="1" t="s">
        <v>1173</v>
      </c>
    </row>
    <row r="144" spans="1:3" ht="30" x14ac:dyDescent="0.25">
      <c r="A144" s="8" t="s">
        <v>417</v>
      </c>
      <c r="B144" s="8" t="s">
        <v>978</v>
      </c>
      <c r="C144" s="1" t="s">
        <v>1174</v>
      </c>
    </row>
    <row r="145" spans="1:3" ht="30" x14ac:dyDescent="0.25">
      <c r="A145" s="8" t="s">
        <v>561</v>
      </c>
      <c r="B145" s="8" t="s">
        <v>979</v>
      </c>
      <c r="C145" s="1" t="s">
        <v>1175</v>
      </c>
    </row>
    <row r="146" spans="1:3" ht="30" x14ac:dyDescent="0.25">
      <c r="A146" s="8" t="s">
        <v>427</v>
      </c>
      <c r="B146" s="8" t="s">
        <v>934</v>
      </c>
      <c r="C146" s="1" t="s">
        <v>1176</v>
      </c>
    </row>
    <row r="147" spans="1:3" ht="30" x14ac:dyDescent="0.25">
      <c r="A147" s="8" t="s">
        <v>408</v>
      </c>
      <c r="B147" s="8" t="s">
        <v>980</v>
      </c>
      <c r="C147" s="1" t="s">
        <v>1177</v>
      </c>
    </row>
    <row r="148" spans="1:3" ht="30" x14ac:dyDescent="0.25">
      <c r="A148" s="8" t="s">
        <v>495</v>
      </c>
      <c r="B148" s="8" t="s">
        <v>981</v>
      </c>
      <c r="C148" s="1" t="s">
        <v>1178</v>
      </c>
    </row>
    <row r="149" spans="1:3" ht="30" x14ac:dyDescent="0.25">
      <c r="A149" s="8" t="s">
        <v>522</v>
      </c>
      <c r="B149" s="8" t="s">
        <v>982</v>
      </c>
      <c r="C149" s="1" t="s">
        <v>1179</v>
      </c>
    </row>
    <row r="150" spans="1:3" ht="30" x14ac:dyDescent="0.25">
      <c r="A150" s="8" t="s">
        <v>517</v>
      </c>
      <c r="B150" s="8" t="s">
        <v>983</v>
      </c>
      <c r="C150" s="1" t="s">
        <v>1180</v>
      </c>
    </row>
    <row r="151" spans="1:3" ht="30" x14ac:dyDescent="0.25">
      <c r="A151" s="8" t="s">
        <v>467</v>
      </c>
      <c r="B151" s="8" t="s">
        <v>878</v>
      </c>
      <c r="C151" s="1" t="s">
        <v>1214</v>
      </c>
    </row>
    <row r="152" spans="1:3" ht="30" x14ac:dyDescent="0.25">
      <c r="A152" s="8" t="s">
        <v>482</v>
      </c>
      <c r="B152" s="8" t="s">
        <v>984</v>
      </c>
      <c r="C152" s="1" t="s">
        <v>1215</v>
      </c>
    </row>
    <row r="153" spans="1:3" ht="30" x14ac:dyDescent="0.25">
      <c r="A153" s="8" t="s">
        <v>457</v>
      </c>
      <c r="B153" s="8" t="s">
        <v>985</v>
      </c>
      <c r="C153" s="1" t="s">
        <v>1216</v>
      </c>
    </row>
    <row r="154" spans="1:3" ht="30" x14ac:dyDescent="0.25">
      <c r="A154" s="8" t="s">
        <v>392</v>
      </c>
      <c r="B154" s="8" t="s">
        <v>986</v>
      </c>
      <c r="C154" s="1" t="s">
        <v>1217</v>
      </c>
    </row>
    <row r="155" spans="1:3" ht="30" x14ac:dyDescent="0.25">
      <c r="A155" s="8" t="s">
        <v>554</v>
      </c>
      <c r="B155" s="8" t="s">
        <v>987</v>
      </c>
      <c r="C155" s="1" t="s">
        <v>1218</v>
      </c>
    </row>
    <row r="156" spans="1:3" ht="30" x14ac:dyDescent="0.25">
      <c r="A156" s="8" t="s">
        <v>548</v>
      </c>
      <c r="B156" s="8" t="s">
        <v>988</v>
      </c>
      <c r="C156" s="1" t="s">
        <v>1219</v>
      </c>
    </row>
    <row r="157" spans="1:3" ht="45" x14ac:dyDescent="0.25">
      <c r="A157" s="8" t="s">
        <v>279</v>
      </c>
      <c r="B157" s="8" t="s">
        <v>870</v>
      </c>
      <c r="C157" s="1" t="s">
        <v>1220</v>
      </c>
    </row>
    <row r="158" spans="1:3" ht="30" x14ac:dyDescent="0.25">
      <c r="A158" s="8" t="s">
        <v>455</v>
      </c>
      <c r="B158" s="8" t="s">
        <v>989</v>
      </c>
      <c r="C158" s="1" t="s">
        <v>1221</v>
      </c>
    </row>
    <row r="159" spans="1:3" ht="30" x14ac:dyDescent="0.25">
      <c r="A159" s="8" t="s">
        <v>485</v>
      </c>
      <c r="B159" s="8" t="s">
        <v>990</v>
      </c>
      <c r="C159" s="1" t="s">
        <v>1222</v>
      </c>
    </row>
    <row r="160" spans="1:3" ht="30" x14ac:dyDescent="0.25">
      <c r="A160" s="8" t="s">
        <v>526</v>
      </c>
      <c r="B160" s="8" t="s">
        <v>991</v>
      </c>
      <c r="C160" s="1" t="s">
        <v>1181</v>
      </c>
    </row>
    <row r="161" spans="1:3" ht="30" x14ac:dyDescent="0.25">
      <c r="A161" s="8" t="s">
        <v>323</v>
      </c>
      <c r="B161" s="8" t="s">
        <v>992</v>
      </c>
      <c r="C161" s="1" t="s">
        <v>1191</v>
      </c>
    </row>
    <row r="162" spans="1:3" ht="30" x14ac:dyDescent="0.25">
      <c r="A162" s="8" t="s">
        <v>428</v>
      </c>
      <c r="B162" s="8" t="s">
        <v>428</v>
      </c>
      <c r="C162" s="1" t="s">
        <v>1192</v>
      </c>
    </row>
    <row r="163" spans="1:3" ht="30" x14ac:dyDescent="0.25">
      <c r="A163" s="8" t="s">
        <v>558</v>
      </c>
      <c r="B163" s="8" t="s">
        <v>993</v>
      </c>
      <c r="C163" s="1" t="s">
        <v>1223</v>
      </c>
    </row>
    <row r="164" spans="1:3" ht="30" x14ac:dyDescent="0.25">
      <c r="A164" s="8" t="s">
        <v>407</v>
      </c>
      <c r="B164" s="8" t="s">
        <v>994</v>
      </c>
      <c r="C164" s="1" t="s">
        <v>1224</v>
      </c>
    </row>
    <row r="165" spans="1:3" ht="30" x14ac:dyDescent="0.25">
      <c r="A165" s="8" t="s">
        <v>422</v>
      </c>
      <c r="B165" s="8" t="s">
        <v>995</v>
      </c>
      <c r="C165" s="1" t="s">
        <v>1225</v>
      </c>
    </row>
    <row r="166" spans="1:3" ht="30" x14ac:dyDescent="0.25">
      <c r="A166" s="8" t="s">
        <v>546</v>
      </c>
      <c r="B166" s="8" t="s">
        <v>185</v>
      </c>
      <c r="C166" s="1" t="s">
        <v>1182</v>
      </c>
    </row>
    <row r="167" spans="1:3" ht="30" x14ac:dyDescent="0.25">
      <c r="A167" s="8" t="s">
        <v>570</v>
      </c>
      <c r="B167" s="8" t="s">
        <v>996</v>
      </c>
      <c r="C167" s="1" t="s">
        <v>1111</v>
      </c>
    </row>
    <row r="168" spans="1:3" ht="30" x14ac:dyDescent="0.25">
      <c r="A168" s="8" t="s">
        <v>433</v>
      </c>
      <c r="B168" s="8" t="s">
        <v>997</v>
      </c>
      <c r="C168" s="1" t="s">
        <v>1183</v>
      </c>
    </row>
    <row r="169" spans="1:3" ht="30" x14ac:dyDescent="0.25">
      <c r="A169" s="8" t="s">
        <v>509</v>
      </c>
      <c r="B169" s="8" t="s">
        <v>998</v>
      </c>
      <c r="C169" s="1" t="s">
        <v>1184</v>
      </c>
    </row>
    <row r="170" spans="1:3" ht="30" x14ac:dyDescent="0.25">
      <c r="A170" s="8" t="s">
        <v>475</v>
      </c>
      <c r="B170" s="8" t="s">
        <v>1005</v>
      </c>
      <c r="C170" s="1" t="s">
        <v>1185</v>
      </c>
    </row>
    <row r="171" spans="1:3" ht="30" x14ac:dyDescent="0.25">
      <c r="A171" s="8" t="s">
        <v>527</v>
      </c>
      <c r="B171" s="8" t="s">
        <v>955</v>
      </c>
      <c r="C171" s="1" t="s">
        <v>1193</v>
      </c>
    </row>
    <row r="172" spans="1:3" ht="30" x14ac:dyDescent="0.25">
      <c r="A172" s="8" t="s">
        <v>424</v>
      </c>
      <c r="B172" s="8" t="s">
        <v>999</v>
      </c>
      <c r="C172" s="1" t="s">
        <v>1194</v>
      </c>
    </row>
    <row r="173" spans="1:3" ht="30" x14ac:dyDescent="0.25">
      <c r="A173" s="8" t="s">
        <v>460</v>
      </c>
      <c r="B173" s="8" t="s">
        <v>1000</v>
      </c>
      <c r="C173" s="1" t="s">
        <v>1186</v>
      </c>
    </row>
    <row r="174" spans="1:3" ht="30" x14ac:dyDescent="0.25">
      <c r="A174" s="8" t="s">
        <v>476</v>
      </c>
      <c r="B174" s="8" t="s">
        <v>1001</v>
      </c>
      <c r="C174" s="1" t="s">
        <v>1195</v>
      </c>
    </row>
    <row r="175" spans="1:3" ht="30" x14ac:dyDescent="0.25">
      <c r="A175" s="8" t="s">
        <v>534</v>
      </c>
      <c r="B175" s="8" t="s">
        <v>1026</v>
      </c>
      <c r="C175" s="1" t="s">
        <v>1196</v>
      </c>
    </row>
    <row r="176" spans="1:3" ht="30" x14ac:dyDescent="0.25">
      <c r="A176" s="8" t="s">
        <v>431</v>
      </c>
      <c r="B176" s="8" t="s">
        <v>431</v>
      </c>
      <c r="C176" s="1" t="s">
        <v>1187</v>
      </c>
    </row>
    <row r="177" spans="1:3" ht="30" x14ac:dyDescent="0.25">
      <c r="A177" s="8" t="s">
        <v>381</v>
      </c>
      <c r="B177" s="8" t="s">
        <v>1015</v>
      </c>
      <c r="C177" s="1" t="s">
        <v>1188</v>
      </c>
    </row>
    <row r="178" spans="1:3" ht="45" x14ac:dyDescent="0.25">
      <c r="A178" s="8" t="s">
        <v>469</v>
      </c>
      <c r="B178" s="8" t="s">
        <v>1027</v>
      </c>
      <c r="C178" s="1" t="s">
        <v>1197</v>
      </c>
    </row>
    <row r="179" spans="1:3" ht="30" x14ac:dyDescent="0.25">
      <c r="A179" s="8" t="s">
        <v>387</v>
      </c>
      <c r="B179" s="8" t="s">
        <v>1028</v>
      </c>
      <c r="C179" s="1" t="s">
        <v>1198</v>
      </c>
    </row>
    <row r="180" spans="1:3" ht="30" x14ac:dyDescent="0.25">
      <c r="A180" s="8" t="s">
        <v>536</v>
      </c>
      <c r="B180" s="8" t="s">
        <v>1002</v>
      </c>
      <c r="C180" s="1" t="s">
        <v>1199</v>
      </c>
    </row>
    <row r="181" spans="1:3" ht="30" x14ac:dyDescent="0.25">
      <c r="A181" s="8" t="s">
        <v>549</v>
      </c>
      <c r="B181" s="8" t="s">
        <v>1029</v>
      </c>
      <c r="C181" s="1" t="s">
        <v>1200</v>
      </c>
    </row>
    <row r="182" spans="1:3" ht="30" x14ac:dyDescent="0.25">
      <c r="A182" s="8" t="s">
        <v>420</v>
      </c>
      <c r="B182" s="8" t="s">
        <v>1003</v>
      </c>
      <c r="C182" s="1" t="s">
        <v>1189</v>
      </c>
    </row>
    <row r="183" spans="1:3" ht="45" x14ac:dyDescent="0.25">
      <c r="A183" s="8" t="s">
        <v>453</v>
      </c>
      <c r="B183" s="8" t="s">
        <v>1004</v>
      </c>
      <c r="C183" s="1" t="s">
        <v>1201</v>
      </c>
    </row>
    <row r="184" spans="1:3" ht="30" x14ac:dyDescent="0.25">
      <c r="A184" s="8" t="s">
        <v>388</v>
      </c>
      <c r="B184" s="8" t="s">
        <v>1005</v>
      </c>
      <c r="C184" s="1" t="s">
        <v>1202</v>
      </c>
    </row>
    <row r="185" spans="1:3" ht="30" x14ac:dyDescent="0.25">
      <c r="A185" s="8" t="s">
        <v>498</v>
      </c>
      <c r="B185" s="8" t="s">
        <v>1006</v>
      </c>
      <c r="C185" s="1" t="s">
        <v>1203</v>
      </c>
    </row>
    <row r="186" spans="1:3" ht="30" x14ac:dyDescent="0.25">
      <c r="A186" s="8" t="s">
        <v>444</v>
      </c>
      <c r="B186" s="8" t="s">
        <v>1007</v>
      </c>
      <c r="C186" s="1" t="s">
        <v>1204</v>
      </c>
    </row>
    <row r="187" spans="1:3" ht="45" x14ac:dyDescent="0.25">
      <c r="A187" s="8" t="s">
        <v>493</v>
      </c>
      <c r="B187" s="8" t="s">
        <v>1030</v>
      </c>
      <c r="C187" s="1" t="s">
        <v>1205</v>
      </c>
    </row>
    <row r="188" spans="1:3" ht="45" x14ac:dyDescent="0.25">
      <c r="A188" s="8" t="s">
        <v>380</v>
      </c>
      <c r="B188" s="8" t="s">
        <v>1008</v>
      </c>
      <c r="C188" s="1" t="s">
        <v>1206</v>
      </c>
    </row>
    <row r="189" spans="1:3" ht="30" x14ac:dyDescent="0.25">
      <c r="A189" s="8" t="s">
        <v>452</v>
      </c>
      <c r="B189" s="8" t="s">
        <v>1009</v>
      </c>
      <c r="C189" s="1" t="s">
        <v>1207</v>
      </c>
    </row>
    <row r="190" spans="1:3" ht="30" x14ac:dyDescent="0.25">
      <c r="A190" s="8" t="s">
        <v>378</v>
      </c>
      <c r="B190" s="8" t="s">
        <v>862</v>
      </c>
      <c r="C190" s="1" t="s">
        <v>1208</v>
      </c>
    </row>
    <row r="191" spans="1:3" ht="30" x14ac:dyDescent="0.25">
      <c r="A191" s="8" t="s">
        <v>440</v>
      </c>
      <c r="B191" s="8" t="s">
        <v>1010</v>
      </c>
      <c r="C191" s="1" t="s">
        <v>1209</v>
      </c>
    </row>
    <row r="192" spans="1:3" ht="45" x14ac:dyDescent="0.25">
      <c r="A192" s="8" t="s">
        <v>404</v>
      </c>
      <c r="B192" s="8" t="s">
        <v>1011</v>
      </c>
      <c r="C192" s="1" t="s">
        <v>1210</v>
      </c>
    </row>
    <row r="193" spans="1:3" ht="45" x14ac:dyDescent="0.25">
      <c r="A193" s="8" t="s">
        <v>542</v>
      </c>
      <c r="B193" s="8" t="s">
        <v>1012</v>
      </c>
      <c r="C193" s="1" t="s">
        <v>1226</v>
      </c>
    </row>
    <row r="194" spans="1:3" ht="30" x14ac:dyDescent="0.25">
      <c r="A194" s="8" t="s">
        <v>447</v>
      </c>
      <c r="B194" s="8" t="s">
        <v>1013</v>
      </c>
      <c r="C194" s="1" t="s">
        <v>1227</v>
      </c>
    </row>
    <row r="195" spans="1:3" ht="30" x14ac:dyDescent="0.25">
      <c r="A195" s="8" t="s">
        <v>544</v>
      </c>
      <c r="B195" s="8" t="s">
        <v>1014</v>
      </c>
      <c r="C195" s="1" t="s">
        <v>1228</v>
      </c>
    </row>
    <row r="196" spans="1:3" ht="30" x14ac:dyDescent="0.25">
      <c r="A196" s="8" t="s">
        <v>571</v>
      </c>
      <c r="B196" s="8" t="s">
        <v>879</v>
      </c>
      <c r="C196" s="1" t="s">
        <v>1190</v>
      </c>
    </row>
    <row r="197" spans="1:3" ht="45" x14ac:dyDescent="0.25">
      <c r="A197" s="8" t="s">
        <v>384</v>
      </c>
      <c r="B197" s="8" t="s">
        <v>1016</v>
      </c>
      <c r="C197" s="1" t="s">
        <v>1211</v>
      </c>
    </row>
    <row r="198" spans="1:3" ht="45" x14ac:dyDescent="0.25">
      <c r="A198" s="8" t="s">
        <v>429</v>
      </c>
      <c r="B198" s="8" t="s">
        <v>429</v>
      </c>
      <c r="C198" s="1" t="s">
        <v>1229</v>
      </c>
    </row>
    <row r="199" spans="1:3" ht="30" x14ac:dyDescent="0.25">
      <c r="A199" s="8" t="s">
        <v>564</v>
      </c>
      <c r="B199" s="8" t="s">
        <v>1017</v>
      </c>
      <c r="C199" s="1" t="s">
        <v>1230</v>
      </c>
    </row>
    <row r="200" spans="1:3" ht="45" x14ac:dyDescent="0.25">
      <c r="A200" s="8" t="s">
        <v>557</v>
      </c>
      <c r="B200" s="8" t="s">
        <v>1031</v>
      </c>
      <c r="C200" s="1" t="s">
        <v>1231</v>
      </c>
    </row>
    <row r="201" spans="1:3" ht="30" x14ac:dyDescent="0.25">
      <c r="A201" s="8" t="s">
        <v>543</v>
      </c>
      <c r="B201" s="8" t="s">
        <v>1018</v>
      </c>
      <c r="C201" s="1" t="s">
        <v>1232</v>
      </c>
    </row>
    <row r="202" spans="1:3" ht="30" x14ac:dyDescent="0.25">
      <c r="A202" s="8" t="s">
        <v>523</v>
      </c>
      <c r="B202" s="8" t="s">
        <v>1032</v>
      </c>
      <c r="C202" s="1" t="s">
        <v>1212</v>
      </c>
    </row>
    <row r="203" spans="1:3" ht="30" x14ac:dyDescent="0.25">
      <c r="A203" s="8" t="s">
        <v>393</v>
      </c>
      <c r="B203" s="8" t="s">
        <v>872</v>
      </c>
      <c r="C203" s="1" t="s">
        <v>1233</v>
      </c>
    </row>
    <row r="204" spans="1:3" ht="30" x14ac:dyDescent="0.25">
      <c r="A204" s="8" t="s">
        <v>565</v>
      </c>
      <c r="B204" s="8" t="s">
        <v>1033</v>
      </c>
      <c r="C204" s="1" t="s">
        <v>1213</v>
      </c>
    </row>
    <row r="205" spans="1:3" ht="45" x14ac:dyDescent="0.25">
      <c r="A205" s="8" t="s">
        <v>519</v>
      </c>
      <c r="B205" s="8" t="s">
        <v>1019</v>
      </c>
      <c r="C205" s="1" t="s">
        <v>1234</v>
      </c>
    </row>
    <row r="206" spans="1:3" ht="30" x14ac:dyDescent="0.25">
      <c r="A206" s="8" t="s">
        <v>538</v>
      </c>
      <c r="B206" s="8" t="s">
        <v>1034</v>
      </c>
      <c r="C206" s="1" t="s">
        <v>1235</v>
      </c>
    </row>
    <row r="207" spans="1:3" ht="30" x14ac:dyDescent="0.25">
      <c r="A207" s="8" t="s">
        <v>374</v>
      </c>
      <c r="B207" s="8" t="s">
        <v>1020</v>
      </c>
      <c r="C207" s="1" t="s">
        <v>1236</v>
      </c>
    </row>
    <row r="208" spans="1:3" ht="30" x14ac:dyDescent="0.25">
      <c r="A208" s="8" t="s">
        <v>438</v>
      </c>
      <c r="B208" s="8" t="s">
        <v>1021</v>
      </c>
      <c r="C208" s="1" t="s">
        <v>1237</v>
      </c>
    </row>
    <row r="209" spans="1:3" ht="45" x14ac:dyDescent="0.25">
      <c r="A209" s="8" t="s">
        <v>474</v>
      </c>
      <c r="B209" s="8" t="s">
        <v>1022</v>
      </c>
      <c r="C209" s="1" t="s">
        <v>1238</v>
      </c>
    </row>
  </sheetData>
  <mergeCells count="1">
    <mergeCell ref="A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G4" sqref="G4"/>
    </sheetView>
  </sheetViews>
  <sheetFormatPr defaultRowHeight="15" x14ac:dyDescent="0.25"/>
  <cols>
    <col min="1" max="1" width="11" style="35"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62" t="s">
        <v>1242</v>
      </c>
      <c r="B2" s="64"/>
      <c r="C2" s="64"/>
      <c r="D2" s="64"/>
      <c r="E2" s="64"/>
      <c r="F2" s="64"/>
      <c r="G2" s="64"/>
    </row>
    <row r="3" spans="1:7" x14ac:dyDescent="0.25">
      <c r="A3" s="35" t="s">
        <v>1239</v>
      </c>
      <c r="B3" s="6" t="s">
        <v>755</v>
      </c>
      <c r="C3" t="s">
        <v>1240</v>
      </c>
      <c r="D3" s="6" t="s">
        <v>1243</v>
      </c>
      <c r="E3" t="s">
        <v>1309</v>
      </c>
      <c r="F3" t="s">
        <v>849</v>
      </c>
      <c r="G3" t="s">
        <v>1241</v>
      </c>
    </row>
    <row r="4" spans="1:7" s="8" customFormat="1" ht="180" x14ac:dyDescent="0.25">
      <c r="A4" s="2">
        <f>'NSW Thematic Analysis'!$H10</f>
        <v>1</v>
      </c>
      <c r="B4" s="1" t="str">
        <f>'NSW Thematic Analysis'!$D10</f>
        <v>Duplication
Disparate systems
Outdated infrastructure</v>
      </c>
      <c r="C4" s="1" t="str">
        <f>'NSW Thematic Analysis'!$F10</f>
        <v>Collaboration and Communication
Operational Effectiveness and Efficiency
Infrastructure and Hardware Management</v>
      </c>
      <c r="D4" s="1" t="str">
        <f>'NSW Thematic Analysis'!$E10</f>
        <v>Streamlined processes
Unified platform
Modernization</v>
      </c>
      <c r="E4" s="1" t="s">
        <v>1244</v>
      </c>
      <c r="F4" s="1" t="s">
        <v>1310</v>
      </c>
      <c r="G4" s="1" t="str">
        <f>'NSW Thematic Analysis'!$C10</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8" customFormat="1" ht="120" x14ac:dyDescent="0.25">
      <c r="A5" s="2">
        <f>'NSW Thematic Analysis'!$H11</f>
        <v>2</v>
      </c>
      <c r="B5" s="1" t="str">
        <f>'NSW Thematic Analysis'!$D11</f>
        <v>Data sharing
Performance monitoring
Maintenance costs</v>
      </c>
      <c r="C5" s="1" t="str">
        <f>'NSW Thematic Analysis'!$F11</f>
        <v>Compliance and Governance
System Maintenance and Support
Financial Management and Budgeting</v>
      </c>
      <c r="D5" s="1" t="str">
        <f>'NSW Thematic Analysis'!$E11</f>
        <v>Secure exchange
Analytics tools
Budget control</v>
      </c>
      <c r="E5" s="1" t="s">
        <v>1245</v>
      </c>
      <c r="F5" s="1" t="s">
        <v>1311</v>
      </c>
      <c r="G5" s="1" t="str">
        <f>'NSW Thematic Analysis'!$C11</f>
        <v>Because of all this, it's hard to share patient info and coordinate care properly. Managers struggle to get accurate info on how well the systems are doing. And keeping them running costs a lot of money.</v>
      </c>
    </row>
    <row r="6" spans="1:7" s="8" customFormat="1" ht="150" x14ac:dyDescent="0.25">
      <c r="A6" s="2">
        <f>'NSW Thematic Analysis'!$H12</f>
        <v>3</v>
      </c>
      <c r="B6" s="1" t="str">
        <f>'NSW Thematic Analysis'!$D12</f>
        <v>Alignment
Sustainability
Program effectiveness
System Support</v>
      </c>
      <c r="C6" s="1" t="str">
        <f>'NSW Thematic Analysis'!$F12</f>
        <v>Business Alignment
Policy and Organizational Reform
Operational Effectiveness and Efficiency
System and Technology Improvement</v>
      </c>
      <c r="D6" s="1" t="str">
        <f>'NSW Thematic Analysis'!$E12</f>
        <v>Strategic fit
Green practices
KPI tracking
Helpdesk services</v>
      </c>
      <c r="E6" s="1" t="s">
        <v>1246</v>
      </c>
      <c r="F6" s="1" t="s">
        <v>1312</v>
      </c>
      <c r="G6" s="1" t="str">
        <f>'NSW Thematic Analysis'!$C12</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8" customFormat="1" ht="165" x14ac:dyDescent="0.25">
      <c r="A7" s="2">
        <f>'NSW Thematic Analysis'!$H13</f>
        <v>4</v>
      </c>
      <c r="B7" s="1" t="str">
        <f>'NSW Thematic Analysis'!$D13</f>
        <v>Fragmentation
Outdated systems
Compatibility</v>
      </c>
      <c r="C7" s="1" t="str">
        <f>'NSW Thematic Analysis'!$F13</f>
        <v>Compliance and Governance
System and Technology Improvement
Standardization and Streamlining Processes</v>
      </c>
      <c r="D7" s="1" t="str">
        <f>'NSW Thematic Analysis'!$E13</f>
        <v>Centralized management
Upgrades
Standard protocols</v>
      </c>
      <c r="E7" s="1" t="s">
        <v>1247</v>
      </c>
      <c r="F7" s="1" t="s">
        <v>1313</v>
      </c>
      <c r="G7" s="1" t="str">
        <f>'NSW Thematic Analysis'!$C13</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8" customFormat="1" ht="120" x14ac:dyDescent="0.25">
      <c r="A8" s="2">
        <f>'NSW Thematic Analysis'!$H14</f>
        <v>5</v>
      </c>
      <c r="B8" s="1" t="str">
        <f>'NSW Thematic Analysis'!$D14</f>
        <v>Alignment
Effectiveness
Integration
Sustainability
Compliance</v>
      </c>
      <c r="C8" s="1" t="str">
        <f>'NSW Thematic Analysis'!$F14</f>
        <v>Business Alignment
Consumer Experience and Support
System Deployment and Integration
Policy and Organizational Reform
Compliance and Governance</v>
      </c>
      <c r="D8" s="1" t="str">
        <f>'NSW Thematic Analysis'!$E14</f>
        <v>Strategic fit
Performance review
System unification
Green practices
Regulatory adherence</v>
      </c>
      <c r="E8" s="1" t="s">
        <v>1248</v>
      </c>
      <c r="F8" s="1" t="s">
        <v>1314</v>
      </c>
      <c r="G8" s="1" t="str">
        <f>'NSW Thematic Analysis'!$C14</f>
        <v>Clinical Systems Strategy
Corporate Systems Strategy
Business Information Strategy
Sustainable Infrastructure Strategy
Whole of Government ICT Strategic Directions</v>
      </c>
    </row>
    <row r="9" spans="1:7" s="8" customFormat="1" ht="90" x14ac:dyDescent="0.25">
      <c r="A9" s="2">
        <f>'NSW Thematic Analysis'!$H15</f>
        <v>6</v>
      </c>
      <c r="B9" s="1" t="str">
        <f>'NSW Thematic Analysis'!$D15</f>
        <v>Access to information
Consistency
Predictability</v>
      </c>
      <c r="C9" s="1" t="str">
        <f>'NSW Thematic Analysis'!$F15</f>
        <v>Data and Information Management
Standardization and Streamlining Processes
Strategic Planning and Development</v>
      </c>
      <c r="D9" s="1" t="str">
        <f>'NSW Thematic Analysis'!$E15</f>
        <v>User portals
Standard procedures
Forecasting models</v>
      </c>
      <c r="E9" s="1" t="s">
        <v>1249</v>
      </c>
      <c r="F9" s="1" t="s">
        <v>1315</v>
      </c>
      <c r="G9" s="1" t="str">
        <f>'NSW Thematic Analysis'!$C15</f>
        <v>They're making care safer and better by giving clinicians the info they need and setting up systems for consistent, predictable processes across the state.</v>
      </c>
    </row>
    <row r="10" spans="1:7" s="8" customFormat="1" ht="135" x14ac:dyDescent="0.25">
      <c r="A10" s="2">
        <f>'NSW Thematic Analysis'!$H16</f>
        <v>7</v>
      </c>
      <c r="B10" s="1" t="str">
        <f>'NSW Thematic Analysis'!$D16</f>
        <v>Collaboration
Interoperability
Information flow</v>
      </c>
      <c r="C10" s="1" t="str">
        <f>'NSW Thematic Analysis'!$F16</f>
        <v>Collaboration and Communication
System Deployment and Integration
Infrastructure and Hardware Management</v>
      </c>
      <c r="D10" s="1" t="str">
        <f>'NSW Thematic Analysis'!$E16</f>
        <v>Teamwork tools
API integration
Data pipelines</v>
      </c>
      <c r="E10" s="1" t="s">
        <v>1250</v>
      </c>
      <c r="F10" s="1" t="s">
        <v>1316</v>
      </c>
      <c r="G10" s="1" t="str">
        <f>'NSW Thematic Analysis'!$C16</f>
        <v>They're improving teamwork among health agencies in NSW, as well as with private companies and nationally, so everyone can work together better. This means info flows more smoothly, helping patients and making things more efficient.</v>
      </c>
    </row>
    <row r="11" spans="1:7" s="8" customFormat="1" ht="165" x14ac:dyDescent="0.25">
      <c r="A11" s="2">
        <f>'NSW Thematic Analysis'!$H17</f>
        <v>8</v>
      </c>
      <c r="B11" s="1" t="str">
        <f>'NSW Thematic Analysis'!$D17</f>
        <v>Efficient structures
System deployment &amp; Integration
Sustainability
Minimizing impact
Streamlined training processes</v>
      </c>
      <c r="C11" s="1" t="str">
        <f>'NSW Thematic Analysis'!$F17</f>
        <v>Program and Project Management
System Deployment and Integration
Policy and Organizational Reform
Operational Effectiveness and Efficiency
Employee Training and Development</v>
      </c>
      <c r="D11" s="1" t="str">
        <f>'NSW Thematic Analysis'!$E17</f>
        <v>Lean management
Project management
Green practices
Mitigation strategies
E-learning</v>
      </c>
      <c r="E11" s="1" t="s">
        <v>1251</v>
      </c>
      <c r="F11" s="1" t="s">
        <v>1317</v>
      </c>
      <c r="G11" s="1" t="str">
        <f>'NSW Thematic Analysis'!$C17</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8" customFormat="1" ht="330" x14ac:dyDescent="0.25">
      <c r="A12" s="2">
        <f>'NSW Thematic Analysis'!$H18</f>
        <v>9</v>
      </c>
      <c r="B12" s="1" t="str">
        <f>'NSW Thematic Analysis'!$D18</f>
        <v>Support for users
Alignment with initiatives
Cost savings</v>
      </c>
      <c r="C12" s="1" t="str">
        <f>'NSW Thematic Analysis'!$F18</f>
        <v>Consumer Experience and Support
Business Alignment
Financial Management and Budgeting</v>
      </c>
      <c r="D12" s="1" t="str">
        <f>'NSW Thematic Analysis'!$E18</f>
        <v>User training
Goal alignment
Expense reduction</v>
      </c>
      <c r="E12" s="1" t="s">
        <v>1252</v>
      </c>
      <c r="F12" s="1" t="s">
        <v>1318</v>
      </c>
      <c r="G12" s="1" t="str">
        <f>'NSW Thematic Analysis'!$C18</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8" customFormat="1" ht="210" x14ac:dyDescent="0.25">
      <c r="A13" s="2">
        <f>'NSW Thematic Analysis'!$H19</f>
        <v>10</v>
      </c>
      <c r="B13" s="1" t="str">
        <f>'NSW Thematic Analysis'!$D19</f>
        <v>ICT Alignment
Governance
Investment plans
Business strategy</v>
      </c>
      <c r="C13" s="1" t="str">
        <f>'NSW Thematic Analysis'!$F19</f>
        <v>Business Alignment
Consumer Experience and Support
Financial Management and Budgeting
Compliance and Governance</v>
      </c>
      <c r="D13" s="1" t="str">
        <f>'NSW Thematic Analysis'!$E19</f>
        <v>IT strategy
Policy framework
Capital allocation
Market analysis</v>
      </c>
      <c r="E13" s="1" t="s">
        <v>1253</v>
      </c>
      <c r="F13" s="1" t="s">
        <v>1319</v>
      </c>
      <c r="G13" s="1" t="str">
        <f>'NSW Thematic Analysis'!$C19</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8" customFormat="1" ht="390" x14ac:dyDescent="0.25">
      <c r="A14" s="2">
        <f>'NSW Thematic Analysis'!$H20</f>
        <v>11</v>
      </c>
      <c r="B14" s="1" t="str">
        <f>'NSW Thematic Analysis'!$D20</f>
        <v>ICT Alignment
Risk Identification
Dependency</v>
      </c>
      <c r="C14" s="1" t="str">
        <f>'NSW Thematic Analysis'!$F20</f>
        <v>Business Alignment
Risk Identification and Management
System Deployment and Integration</v>
      </c>
      <c r="D14" s="1" t="str">
        <f>'NSW Thematic Analysis'!$E20</f>
        <v>IT strategy
Risk assessment
Contingency planning</v>
      </c>
      <c r="E14" s="1" t="s">
        <v>1254</v>
      </c>
      <c r="F14" s="1" t="s">
        <v>1320</v>
      </c>
      <c r="G14" s="1" t="str">
        <f>'NSW Thematic Analysis'!$C20</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8" customFormat="1" ht="255" x14ac:dyDescent="0.25">
      <c r="A15" s="2">
        <f>'NSW Thematic Analysis'!$H21</f>
        <v>12</v>
      </c>
      <c r="B15" s="1" t="str">
        <f>'NSW Thematic Analysis'!$D21</f>
        <v>Evaluation criteria</v>
      </c>
      <c r="C15" s="1" t="str">
        <f>'NSW Thematic Analysis'!$F21</f>
        <v>Consumer Experience and Support</v>
      </c>
      <c r="D15" s="1" t="str">
        <f>'NSW Thematic Analysis'!$E21</f>
        <v>Performance metrics</v>
      </c>
      <c r="E15" s="8" t="s">
        <v>856</v>
      </c>
      <c r="F15" s="8" t="s">
        <v>1040</v>
      </c>
      <c r="G15" s="1" t="str">
        <f>'NSW Thematic Analysis'!$C21</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8" customFormat="1" ht="75" x14ac:dyDescent="0.25">
      <c r="A16" s="2">
        <f>'NSW Thematic Analysis'!$H22</f>
        <v>13</v>
      </c>
      <c r="B16" s="1" t="str">
        <f>'NSW Thematic Analysis'!$D22</f>
        <v>Inclusion
Replacement
Procurement</v>
      </c>
      <c r="C16" s="1" t="str">
        <f>'NSW Thematic Analysis'!$F22</f>
        <v>Data and Information Management
Resource Management and Utilization
Policy and Organizational Reform</v>
      </c>
      <c r="D16" s="1" t="str">
        <f>'NSW Thematic Analysis'!$E22</f>
        <v>Diversity programs
System swaps
Vendor management</v>
      </c>
      <c r="E16" s="1" t="s">
        <v>1255</v>
      </c>
      <c r="F16" s="1" t="s">
        <v>1321</v>
      </c>
      <c r="G16" s="1" t="str">
        <f>'NSW Thematic Analysis'!$C22</f>
        <v>They should only add new projects to their investment plan. When it's time to replace old systems, they can handle it through contracts with vendors.</v>
      </c>
    </row>
    <row r="17" spans="1:7" s="8" customFormat="1" ht="165" x14ac:dyDescent="0.25">
      <c r="A17" s="2">
        <f>'NSW Thematic Analysis'!$H23</f>
        <v>14</v>
      </c>
      <c r="B17" s="1" t="str">
        <f>'NSW Thematic Analysis'!$D23</f>
        <v>Implementation timeline
Systems implementation
Support for Consumers
Management information</v>
      </c>
      <c r="C17" s="1" t="str">
        <f>'NSW Thematic Analysis'!$F23</f>
        <v>Future Planning and System Demand
System Deployment and Integration
Consumer Experience and Support
Data and Information Management</v>
      </c>
      <c r="D17" s="1" t="str">
        <f>'NSW Thematic Analysis'!$E23</f>
        <v>Schedule adherence
Rollout plan
Customer service
BI systems</v>
      </c>
      <c r="E17" s="1" t="s">
        <v>1256</v>
      </c>
      <c r="F17" s="1" t="s">
        <v>1322</v>
      </c>
      <c r="G17" s="1" t="str">
        <f>'NSW Thematic Analysis'!$C23</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8" customFormat="1" ht="165" x14ac:dyDescent="0.25">
      <c r="A18" s="2">
        <f>'NSW Thematic Analysis'!$H24</f>
        <v>15</v>
      </c>
      <c r="B18" s="1" t="str">
        <f>'NSW Thematic Analysis'!$D24</f>
        <v>Collaboration
Consumer support
Employee management</v>
      </c>
      <c r="C18" s="1" t="str">
        <f>'NSW Thematic Analysis'!$F24</f>
        <v>Collaboration and Communication
Collaboration and Communication
Financial Management and Budgeting</v>
      </c>
      <c r="D18" s="1" t="str">
        <f>'NSW Thematic Analysis'!$E24</f>
        <v>Teamwork tools
Helpdesk
HR systems</v>
      </c>
      <c r="E18" s="1" t="s">
        <v>1257</v>
      </c>
      <c r="F18" s="1" t="s">
        <v>1323</v>
      </c>
      <c r="G18" s="1" t="str">
        <f>'NSW Thematic Analysis'!$C24</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8" customFormat="1" ht="165" x14ac:dyDescent="0.25">
      <c r="A19" s="2">
        <f>'NSW Thematic Analysis'!$H25</f>
        <v>16</v>
      </c>
      <c r="B19" s="1" t="str">
        <f>'NSW Thematic Analysis'!$D25</f>
        <v>User optimization
Information accessibility
Time efficiency</v>
      </c>
      <c r="C19" s="1" t="str">
        <f>'NSW Thematic Analysis'!$F25</f>
        <v>Consumer Experience and Support
Data and Information Management
Operational Effectiveness and Efficiency</v>
      </c>
      <c r="D19" s="1" t="str">
        <f>'NSW Thematic Analysis'!$E25</f>
        <v>UX design
Open data
Time tracking</v>
      </c>
      <c r="E19" s="1" t="s">
        <v>1258</v>
      </c>
      <c r="F19" s="1" t="s">
        <v>1324</v>
      </c>
      <c r="G19" s="1" t="str">
        <f>'NSW Thematic Analysis'!$C25</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8" customFormat="1" ht="105" x14ac:dyDescent="0.25">
      <c r="A20" s="2">
        <f>'NSW Thematic Analysis'!$H26</f>
        <v>17</v>
      </c>
      <c r="B20" s="1" t="str">
        <f>'NSW Thematic Analysis'!$D26</f>
        <v>Resource management
Capacity optimization
Planning</v>
      </c>
      <c r="C20" s="1" t="str">
        <f>'NSW Thematic Analysis'!$F26</f>
        <v>Resource Management and Utilization
Compliance and Governance
Strategic Planning and Development</v>
      </c>
      <c r="D20" s="1" t="str">
        <f>'NSW Thematic Analysis'!$E26</f>
        <v>Asset allocation
Utilization metrics
Roadmap creation</v>
      </c>
      <c r="E20" s="1" t="s">
        <v>1259</v>
      </c>
      <c r="F20" s="1" t="s">
        <v>1325</v>
      </c>
      <c r="G20" s="1" t="str">
        <f>'NSW Thematic Analysis'!$C26</f>
        <v>Nursing Unit Manager (NUM) can plan patient care better when they know all the demands and resources. This includes patients from the emergency room, post-surgery, and transfers, as well as available beds and staff skills.</v>
      </c>
    </row>
    <row r="21" spans="1:7" s="8" customFormat="1" ht="105" x14ac:dyDescent="0.25">
      <c r="A21" s="2">
        <f>'NSW Thematic Analysis'!$H27</f>
        <v>18</v>
      </c>
      <c r="B21" s="1" t="str">
        <f>'NSW Thematic Analysis'!$D27</f>
        <v>Integrated analysis &amp; System outcome indicators
Resource availability
Financial management</v>
      </c>
      <c r="C21" s="1" t="str">
        <f>'NSW Thematic Analysis'!$F27</f>
        <v>Compliance and Governance
Resource Management and Utilization
Future Planning and System Demand</v>
      </c>
      <c r="D21" s="1" t="str">
        <f>'NSW Thematic Analysis'!$E27</f>
        <v>BI dashboards
Inventory tracking
Accounting software</v>
      </c>
      <c r="E21" s="1" t="s">
        <v>1260</v>
      </c>
      <c r="F21" s="1" t="s">
        <v>1326</v>
      </c>
      <c r="G21" s="1" t="str">
        <f>'NSW Thematic Analysis'!$C27</f>
        <v>At hospital, area, and department executive levels, having a complete portfolio lets them look at health outcomes, service demand, resources, performance, and finances all together.</v>
      </c>
    </row>
    <row r="22" spans="1:7" s="8" customFormat="1" ht="105" x14ac:dyDescent="0.25">
      <c r="A22" s="2">
        <f>'NSW Thematic Analysis'!$H28</f>
        <v>19</v>
      </c>
      <c r="B22" s="1" t="str">
        <f>'NSW Thematic Analysis'!$D28</f>
        <v>Priority areas &amp; Resource allocation
Funding availability
Core function delivery &amp; Urgent issue resolution</v>
      </c>
      <c r="C22" s="1" t="str">
        <f>'NSW Thematic Analysis'!$F28</f>
        <v>Risk Identification and Management
Compliance and Governance
Collaboration and Communication</v>
      </c>
      <c r="D22" s="1" t="str">
        <f>'NSW Thematic Analysis'!$E28</f>
        <v>Strategic planning
Budgeting
Crisis management</v>
      </c>
      <c r="E22" s="1" t="s">
        <v>1261</v>
      </c>
      <c r="F22" s="1" t="s">
        <v>1327</v>
      </c>
      <c r="G22" s="1" t="str">
        <f>'NSW Thematic Analysis'!$C28</f>
        <v>The ICT Strategy focuses on key areas and will address them as resources allow. Other initiatives will only be added if they don't affect these core functions or if there's an urgent need.</v>
      </c>
    </row>
    <row r="23" spans="1:7" s="8" customFormat="1" ht="105" x14ac:dyDescent="0.25">
      <c r="A23" s="2">
        <f>'NSW Thematic Analysis'!$H29</f>
        <v>20</v>
      </c>
      <c r="B23" s="1" t="str">
        <f>'NSW Thematic Analysis'!$D29</f>
        <v>Workflow improvement
Decision support
Resource management
Information accessibility</v>
      </c>
      <c r="C23" s="1" t="str">
        <f>'NSW Thematic Analysis'!$F29</f>
        <v>Operational Effectiveness and Efficiency
Resource Management and Utilization
Resource Management and Utilization
Data and Information Management</v>
      </c>
      <c r="D23" s="1" t="str">
        <f>'NSW Thematic Analysis'!$E29</f>
        <v>Process optimization
AI tools
Asset allocation
Open data</v>
      </c>
      <c r="E23" s="1" t="s">
        <v>1262</v>
      </c>
      <c r="F23" s="1" t="s">
        <v>1328</v>
      </c>
      <c r="G23" s="1" t="str">
        <f>'NSW Thematic Analysis'!$C29</f>
        <v>By 2011, clinical departments will have improved systems for workflow, decision-making support, and accessing necessary information. This helps clinicians make better decisions for patients, leading to safer care</v>
      </c>
    </row>
    <row r="24" spans="1:7" s="8" customFormat="1" ht="105" x14ac:dyDescent="0.25">
      <c r="A24" s="2">
        <f>'NSW Thematic Analysis'!$H30</f>
        <v>21</v>
      </c>
      <c r="B24" s="1" t="str">
        <f>'NSW Thematic Analysis'!$D30</f>
        <v>Integration of core systems
Information accessibility
Resource management</v>
      </c>
      <c r="C24" s="1" t="str">
        <f>'NSW Thematic Analysis'!$F30</f>
        <v>System Deployment and Integration
Data and Information Management
Resource Management and Utilization</v>
      </c>
      <c r="D24" s="1" t="str">
        <f>'NSW Thematic Analysis'!$E30</f>
        <v>Middleware
Open data
Asset allocation</v>
      </c>
      <c r="E24" s="1" t="s">
        <v>1263</v>
      </c>
      <c r="F24" s="1" t="s">
        <v>1329</v>
      </c>
      <c r="G24" s="1" t="str">
        <f>'NSW Thematic Analysis'!$C30</f>
        <v>Integrated hospital systems mean information is collected once and available to all, reducing handover issues and improving resource management for smoother patient care.</v>
      </c>
    </row>
    <row r="25" spans="1:7" s="8" customFormat="1" ht="240" x14ac:dyDescent="0.25">
      <c r="A25" s="2">
        <f>'NSW Thematic Analysis'!$H31</f>
        <v>22</v>
      </c>
      <c r="B25" s="1" t="str">
        <f>'NSW Thematic Analysis'!$D31</f>
        <v>Integration of systems
Information accessibility
Resource management
Standardized information
Collaboration</v>
      </c>
      <c r="C25" s="1" t="str">
        <f>'NSW Thematic Analysis'!$F31</f>
        <v>System Deployment and Integration
Data and Information Management
Resource Management and Utilization
Data and Information Management
Collaboration and Communication</v>
      </c>
      <c r="D25" s="1" t="str">
        <f>'NSW Thematic Analysis'!$E31</f>
        <v>System merger
Open data
Asset allocation
Data governance
Teamwork tools</v>
      </c>
      <c r="E25" s="1" t="s">
        <v>1264</v>
      </c>
      <c r="F25" s="1" t="s">
        <v>1330</v>
      </c>
      <c r="G25" s="1" t="str">
        <f>'NSW Thematic Analysis'!$C31</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8" customFormat="1" ht="180" x14ac:dyDescent="0.25">
      <c r="A26" s="2">
        <f>'NSW Thematic Analysis'!$H32</f>
        <v>23</v>
      </c>
      <c r="B26" s="1" t="str">
        <f>'NSW Thematic Analysis'!$D32</f>
        <v>Systems implementation
Standardized information access
Resource utilization
Management of future demand</v>
      </c>
      <c r="C26" s="1" t="str">
        <f>'NSW Thematic Analysis'!$F32</f>
        <v>System Deployment and Integration
Data and Information Management
Resource Management and Utilization
Future Planning and System Demand</v>
      </c>
      <c r="D26" s="1" t="str">
        <f>'NSW Thematic Analysis'!$E32</f>
        <v>Rollout plan
Uniform interfaces
Efficient usage
Forecasting</v>
      </c>
      <c r="E26" s="1" t="s">
        <v>1265</v>
      </c>
      <c r="F26" s="1" t="s">
        <v>1331</v>
      </c>
      <c r="G26" s="1" t="str">
        <f>'NSW Thematic Analysis'!$C32</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8" customFormat="1" ht="150" x14ac:dyDescent="0.25">
      <c r="A27" s="2">
        <f>'NSW Thematic Analysis'!$H33</f>
        <v>24</v>
      </c>
      <c r="B27" s="1" t="str">
        <f>'NSW Thematic Analysis'!$D33</f>
        <v>Increased services demand
Service delivery
System projections</v>
      </c>
      <c r="C27" s="1" t="str">
        <f>'NSW Thematic Analysis'!$F33</f>
        <v>Data and Information Management
Consumer Experience and Support
Future Planning and System Demand</v>
      </c>
      <c r="D27" s="1" t="str">
        <f>'NSW Thematic Analysis'!$E33</f>
        <v>Scalability
Operational efficiency
Futureproofing</v>
      </c>
      <c r="E27" s="1" t="s">
        <v>1266</v>
      </c>
      <c r="F27" s="1" t="s">
        <v>1332</v>
      </c>
      <c r="G27" s="1" t="str">
        <f>'NSW Thematic Analysis'!$C33</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8" customFormat="1" ht="60" x14ac:dyDescent="0.25">
      <c r="A28" s="2">
        <f>'NSW Thematic Analysis'!$H34</f>
        <v>25</v>
      </c>
      <c r="B28" s="1" t="str">
        <f>'NSW Thematic Analysis'!$D34</f>
        <v>Staff shortages
Critical areas
User capacity</v>
      </c>
      <c r="C28" s="1" t="str">
        <f>'NSW Thematic Analysis'!$F34</f>
        <v>System Maintenance and Support
Data and Information Management
System and Technology Improvement</v>
      </c>
      <c r="D28" s="1" t="str">
        <f>'NSW Thematic Analysis'!$E34</f>
        <v>Recruitment
Focus areas
Data expansion</v>
      </c>
      <c r="E28" s="1" t="s">
        <v>1267</v>
      </c>
      <c r="F28" s="1" t="s">
        <v>1333</v>
      </c>
      <c r="G28" s="1" t="str">
        <f>'NSW Thematic Analysis'!$C34</f>
        <v>Staff shortages in critical areas such as nursing and medicine Hospitals running at maximum capacity</v>
      </c>
    </row>
    <row r="29" spans="1:7" s="8" customFormat="1" ht="120" x14ac:dyDescent="0.25">
      <c r="A29" s="2">
        <f>'NSW Thematic Analysis'!$H35</f>
        <v>26</v>
      </c>
      <c r="B29" s="1" t="str">
        <f>'NSW Thematic Analysis'!$D35</f>
        <v>Increase database
Rising system usage
Future system demand</v>
      </c>
      <c r="C29" s="1" t="str">
        <f>'NSW Thematic Analysis'!$F35</f>
        <v>Data and Information Management
Data and Information Management
Infrastructure and Hardware Management</v>
      </c>
      <c r="D29" s="1" t="str">
        <f>'NSW Thematic Analysis'!$E35</f>
        <v>Load balancing
Capacity planning
Knowledge base</v>
      </c>
      <c r="E29" s="1" t="s">
        <v>1268</v>
      </c>
      <c r="F29" s="1" t="s">
        <v>1334</v>
      </c>
      <c r="G29" s="1" t="str">
        <f>'NSW Thematic Analysis'!$C35</f>
        <v>The rate of chronic diseases like heart disease, lung disease, diabetes, and cancer is rising. Obesity is becoming more common among young people, and our increasingly globalized society raises the risk of pandemics.</v>
      </c>
    </row>
    <row r="30" spans="1:7" s="8" customFormat="1" ht="60" x14ac:dyDescent="0.25">
      <c r="A30" s="2">
        <f>'NSW Thematic Analysis'!$H36</f>
        <v>27</v>
      </c>
      <c r="B30" s="1" t="str">
        <f>'NSW Thematic Analysis'!$D36</f>
        <v>Knowledge management
IT system advancement</v>
      </c>
      <c r="C30" s="1" t="str">
        <f>'NSW Thematic Analysis'!$F36</f>
        <v>Data and Information Management
System and Technology Improvement</v>
      </c>
      <c r="D30" s="1" t="str">
        <f>'NSW Thematic Analysis'!$E36</f>
        <v>Technological innovation
Cost-benefit analysis</v>
      </c>
      <c r="E30" s="1" t="s">
        <v>1269</v>
      </c>
      <c r="F30" s="1" t="s">
        <v>1335</v>
      </c>
      <c r="G30" s="1" t="str">
        <f>'NSW Thematic Analysis'!$C36</f>
        <v>An increasing body of medical knowledge that staff cannot manage and
use without advanced IT systems</v>
      </c>
    </row>
    <row r="31" spans="1:7" s="8" customFormat="1" ht="60" x14ac:dyDescent="0.25">
      <c r="A31" s="2">
        <f>'NSW Thematic Analysis'!$H37</f>
        <v>28</v>
      </c>
      <c r="B31" s="1" t="str">
        <f>'NSW Thematic Analysis'!$D37</f>
        <v>Expensive technologies
Costly materials</v>
      </c>
      <c r="C31" s="1" t="str">
        <f>'NSW Thematic Analysis'!$F37</f>
        <v>Future Planning and System Demand
Financial Management and Budgeting</v>
      </c>
      <c r="D31" s="1" t="str">
        <f>'NSW Thematic Analysis'!$E37</f>
        <v>Cost control
Education</v>
      </c>
      <c r="E31" s="1" t="s">
        <v>1270</v>
      </c>
      <c r="F31" s="1" t="s">
        <v>1336</v>
      </c>
      <c r="G31" s="1" t="str">
        <f>'NSW Thematic Analysis'!$C37</f>
        <v>Health services are increasingly challenged by more expensive medical technologies and pharmaceuticals</v>
      </c>
    </row>
    <row r="32" spans="1:7" s="8" customFormat="1" ht="60" x14ac:dyDescent="0.25">
      <c r="A32" s="2">
        <f>'NSW Thematic Analysis'!$H38</f>
        <v>29</v>
      </c>
      <c r="B32" s="1" t="str">
        <f>'NSW Thematic Analysis'!$D38</f>
        <v>Informed consumers
High expectations
Complex needs problems</v>
      </c>
      <c r="C32" s="1" t="str">
        <f>'NSW Thematic Analysis'!$F38</f>
        <v>System Deployment and Integration
Business Alignment
Operational Effectiveness and Efficiency</v>
      </c>
      <c r="D32" s="1" t="str">
        <f>'NSW Thematic Analysis'!$E38</f>
        <v>Customer satisfaction
Problem-solving
Compliance audits</v>
      </c>
      <c r="E32" s="1" t="s">
        <v>1271</v>
      </c>
      <c r="F32" s="1" t="s">
        <v>1337</v>
      </c>
      <c r="G32" s="1" t="str">
        <f>'NSW Thematic Analysis'!$C38</f>
        <v>Consumers are becoming more informed, have higher expectations and more complex problems</v>
      </c>
    </row>
    <row r="33" spans="1:7" s="8" customFormat="1" ht="165" x14ac:dyDescent="0.25">
      <c r="A33" s="2">
        <f>'NSW Thematic Analysis'!$H39</f>
        <v>30</v>
      </c>
      <c r="B33" s="1" t="str">
        <f>'NSW Thematic Analysis'!$D39</f>
        <v>Quality &amp; Safety standards
High user rates
Safe working capacity</v>
      </c>
      <c r="C33" s="1" t="str">
        <f>'NSW Thematic Analysis'!$F39</f>
        <v>Operational Effectiveness and Efficiency
Business Alignment
System and Technology Improvement</v>
      </c>
      <c r="D33" s="1" t="str">
        <f>'NSW Thematic Analysis'!$E39</f>
        <v>Load testing
Occupational safety
SOPs</v>
      </c>
      <c r="E33" s="1" t="s">
        <v>1272</v>
      </c>
      <c r="F33" s="1" t="s">
        <v>1338</v>
      </c>
      <c r="G33" s="1" t="str">
        <f>'NSW Thematic Analysis'!$C39</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8" customFormat="1" ht="105" x14ac:dyDescent="0.25">
      <c r="A34" s="2">
        <f>'NSW Thematic Analysis'!$H40</f>
        <v>31</v>
      </c>
      <c r="B34" s="1" t="str">
        <f>'NSW Thematic Analysis'!$D40</f>
        <v>Communication
Policies &amp; Procedures
Skills and competence
Work scheduling</v>
      </c>
      <c r="C34" s="1" t="str">
        <f>'NSW Thematic Analysis'!$F40</f>
        <v>Standardization and Streamlining Processes
Strategic Planning and Development
Employee Training and Development
Program and Project Management</v>
      </c>
      <c r="D34" s="1" t="str">
        <f>'NSW Thematic Analysis'!$E40</f>
        <v>Collaboration tools
Training programs
Roster management
System investment</v>
      </c>
      <c r="E34" s="1" t="s">
        <v>1273</v>
      </c>
      <c r="F34" s="1" t="s">
        <v>1339</v>
      </c>
      <c r="G34" s="1" t="str">
        <f>'NSW Thematic Analysis'!$C40</f>
        <v>The key factors that cause these adverse events are:
_x0001_ Communication
_x0001_ Policies and procedures
_x0001_ Knowledge, skills and competence issues
_x0001_ Work scheduling</v>
      </c>
    </row>
    <row r="35" spans="1:7" s="8" customFormat="1" ht="105" x14ac:dyDescent="0.25">
      <c r="A35" s="2">
        <f>'NSW Thematic Analysis'!$H41</f>
        <v>32</v>
      </c>
      <c r="B35" s="1" t="str">
        <f>'NSW Thematic Analysis'!$D41</f>
        <v>Lack of core ICT systems
System reform</v>
      </c>
      <c r="C35" s="1" t="str">
        <f>'NSW Thematic Analysis'!$F41</f>
        <v>System and Technology Improvement
Policy and Organizational Reform</v>
      </c>
      <c r="D35" s="1" t="str">
        <f>'NSW Thematic Analysis'!$E41</f>
        <v>Overhaul
Budget reallocation</v>
      </c>
      <c r="E35" s="1" t="s">
        <v>1274</v>
      </c>
      <c r="F35" s="1" t="s">
        <v>1340</v>
      </c>
      <c r="G35" s="1" t="str">
        <f>'NSW Thematic Analysis'!$C41</f>
        <v>Clinical ICT is becoming an increasingly important enabler of health
system reform, yet the core systems to underpin reform are not
currently in place.</v>
      </c>
    </row>
    <row r="36" spans="1:7" s="8" customFormat="1" ht="150" x14ac:dyDescent="0.25">
      <c r="A36" s="2">
        <f>'NSW Thematic Analysis'!$H42</f>
        <v>33</v>
      </c>
      <c r="B36" s="1" t="str">
        <f>'NSW Thematic Analysis'!$D42</f>
        <v>Constraints in funding
Skilled project management
Capacity for large-scale change</v>
      </c>
      <c r="C36" s="1" t="str">
        <f>'NSW Thematic Analysis'!$F42</f>
        <v>Consumer Experience and Support
Program and Project Management
Resource Management and Utilization</v>
      </c>
      <c r="D36" s="1" t="str">
        <f>'NSW Thematic Analysis'!$E42</f>
        <v>PMP certification
Change management
Prioritization</v>
      </c>
      <c r="E36" s="1" t="s">
        <v>1275</v>
      </c>
      <c r="F36" s="1" t="s">
        <v>1341</v>
      </c>
      <c r="G36" s="1" t="str">
        <f>'NSW Thematic Analysis'!$C42</f>
        <v>Constraints in capital and recurrent funding, skilled project
management and implementation resources and capacity of the health
systems to accommodate large scale change all restrict the potential
speed of implementation of core systems.</v>
      </c>
    </row>
    <row r="37" spans="1:7" s="8" customFormat="1" ht="105" x14ac:dyDescent="0.25">
      <c r="A37" s="2">
        <f>'NSW Thematic Analysis'!$H43</f>
        <v>34</v>
      </c>
      <c r="B37" s="1" t="str">
        <f>'NSW Thematic Analysis'!$D43</f>
        <v>Competing demands for ICT funds
Priority determination
Project scheduling complexity</v>
      </c>
      <c r="C37" s="1" t="str">
        <f>'NSW Thematic Analysis'!$F43</f>
        <v>Consumer Experience and Support
Risk Identification and Management
Operational Effectiveness and Efficiency</v>
      </c>
      <c r="D37" s="1" t="str">
        <f>'NSW Thematic Analysis'!$E43</f>
        <v>Value assessment
Gantt charts
Problem clustering</v>
      </c>
      <c r="E37" s="1" t="s">
        <v>1276</v>
      </c>
      <c r="F37" s="1" t="s">
        <v>1342</v>
      </c>
      <c r="G37" s="1" t="str">
        <f>'NSW Thematic Analysis'!$C43</f>
        <v>There are many competing demands for ICT funds. Deciding which projects to prioritize and schedule is complex and needs ongoing review to ensure funds are allocated where they will be most beneficial.</v>
      </c>
    </row>
    <row r="38" spans="1:7" s="8" customFormat="1" ht="105" x14ac:dyDescent="0.25">
      <c r="A38" s="2">
        <f>'NSW Thematic Analysis'!$H44</f>
        <v>35</v>
      </c>
      <c r="B38" s="1" t="str">
        <f>'NSW Thematic Analysis'!$D44</f>
        <v>Convergence of issues
Significant risk environment
Need for service delivery change</v>
      </c>
      <c r="C38" s="1" t="str">
        <f>'NSW Thematic Analysis'!$F44</f>
        <v>Consumer Experience and Support
Risk Identification and Management
Operational Effectiveness and Efficiency</v>
      </c>
      <c r="D38" s="1" t="str">
        <f>'NSW Thematic Analysis'!$E44</f>
        <v>Risk mitigation
Transformation
Talent acquisition</v>
      </c>
      <c r="E38" s="1" t="s">
        <v>1277</v>
      </c>
      <c r="F38" s="1" t="s">
        <v>1343</v>
      </c>
      <c r="G38" s="1" t="str">
        <f>'NSW Thematic Analysis'!$C44</f>
        <v>NSW Health needs to change how it delivers services to meet these challenges. They've started a big reform program and need the right IT solutions to support staff and make these changes last</v>
      </c>
    </row>
    <row r="39" spans="1:7" s="8" customFormat="1" ht="135" x14ac:dyDescent="0.25">
      <c r="A39" s="2">
        <f>'NSW Thematic Analysis'!$H45</f>
        <v>36</v>
      </c>
      <c r="B39" s="1" t="str">
        <f>'NSW Thematic Analysis'!$D45</f>
        <v>Demand for services
Workforce shortages
Government priorities
ICT strategies</v>
      </c>
      <c r="C39" s="1" t="str">
        <f>'NSW Thematic Analysis'!$F45</f>
        <v>Consumer Experience and Support
Operational Effectiveness and Efficiency
Consumer Experience and Support
Implementation Challenges and Delays</v>
      </c>
      <c r="D39" s="1" t="str">
        <f>'NSW Thematic Analysis'!$E45</f>
        <v>Policy alignment
Talent acquisition
Policy alignment
IT roadmaps</v>
      </c>
      <c r="E39" s="1" t="s">
        <v>1278</v>
      </c>
      <c r="F39" s="1" t="s">
        <v>1344</v>
      </c>
      <c r="G39" s="1" t="str">
        <f>'NSW Thematic Analysis'!$C45</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8" customFormat="1" ht="135" x14ac:dyDescent="0.25">
      <c r="A40" s="2">
        <f>'NSW Thematic Analysis'!$H46</f>
        <v>37</v>
      </c>
      <c r="B40" s="1" t="str">
        <f>'NSW Thematic Analysis'!$D46</f>
        <v>Alignment with Results and Services Plan
Support for strategic programs
Alignment with reform programs
Consideration of whole-of-government strategies</v>
      </c>
      <c r="C40" s="1" t="str">
        <f>'NSW Thematic Analysis'!$F46</f>
        <v>Business Alignment
Policy and Organizational Reform
Business Alignment
Standardization and Streamlining Processes</v>
      </c>
      <c r="D40" s="1" t="str">
        <f>'NSW Thematic Analysis'!$E46</f>
        <v>Goal alignment
Strategic backing
Change alignment
Holistic approach</v>
      </c>
      <c r="E40" s="1" t="s">
        <v>1279</v>
      </c>
      <c r="F40" s="1" t="s">
        <v>1345</v>
      </c>
      <c r="G40" s="1" t="str">
        <f>'NSW Thematic Analysis'!$C46</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8" customFormat="1" ht="345" x14ac:dyDescent="0.25">
      <c r="A41" s="2">
        <f>'NSW Thematic Analysis'!$H47</f>
        <v>38</v>
      </c>
      <c r="B41" s="1" t="str">
        <f>'NSW Thematic Analysis'!$D47</f>
        <v>Preventative solutions
User experience
Future benefits
Strengthening relationships
Costs of services
Sustainable Workforce
New risk potential</v>
      </c>
      <c r="C41" s="1" t="str">
        <f>'NSW Thematic Analysis'!$F47</f>
        <v>Financial Management and Budgeting
Consumer Experience and Support
Compliance and Governance
Collaboration and Communication
Collaboration and Communication
System Maintenance and Support
Risk Identification and Management</v>
      </c>
      <c r="D41" s="1" t="str">
        <f>'NSW Thematic Analysis'!$E47</f>
        <v>Proactive measures
UX design
Long-term planning
Stakeholder engagement
Expense management
HR planning
Risk forecasting</v>
      </c>
      <c r="E41" s="1" t="s">
        <v>1280</v>
      </c>
      <c r="F41" s="1" t="s">
        <v>1346</v>
      </c>
      <c r="G41" s="1" t="str">
        <f>'NSW Thematic Analysis'!$C47</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8" customFormat="1" ht="150" x14ac:dyDescent="0.25">
      <c r="A42" s="2">
        <f>'NSW Thematic Analysis'!$H48</f>
        <v>39</v>
      </c>
      <c r="B42" s="1" t="str">
        <f>'NSW Thematic Analysis'!$D48</f>
        <v>Reducing risk factors
Preventing consumer issues
Interventions for high-risk consumers</v>
      </c>
      <c r="C42" s="1" t="str">
        <f>'NSW Thematic Analysis'!$F48</f>
        <v>Risk Identification and Management
Operational Effectiveness and Efficiency
Consumer Experience and Support</v>
      </c>
      <c r="D42" s="1" t="str">
        <f>'NSW Thematic Analysis'!$E48</f>
        <v>Preventive measures
Customer care
Targeted support</v>
      </c>
      <c r="E42" s="1" t="s">
        <v>1281</v>
      </c>
      <c r="F42" s="1" t="s">
        <v>1347</v>
      </c>
      <c r="G42" s="1" t="str">
        <f>'NSW Thematic Analysis'!$C48</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8" customFormat="1" ht="150" x14ac:dyDescent="0.25">
      <c r="A43" s="2">
        <f>'NSW Thematic Analysis'!$H49</f>
        <v>40</v>
      </c>
      <c r="B43" s="1" t="str">
        <f>'NSW Thematic Analysis'!$D49</f>
        <v>Availability of services
Effectiveness of services
Coordination of care
Supporting new care models
Sustainability of reform
Information flow along consumer journey
Consumer experience improvement
Appropriate consumer delivery</v>
      </c>
      <c r="C43" s="1" t="str">
        <f>'NSW Thematic Analysis'!$F49</f>
        <v>Business Alignment
Consumer Experience and Support
Collaboration and Communication
Consumer Experience and Support
Policy and Organizational Reform
Infrastructure and Hardware Management
Consumer Experience and Support
Resource Management and Utilization</v>
      </c>
      <c r="D43" s="1" t="str">
        <f>'NSW Thematic Analysis'!$E49</f>
        <v>Service uptime
Performance metrics
Integrated care
Innovative healthcare
Continuous improvement
Data mapping
UX enhancement
Tailored services</v>
      </c>
      <c r="E43" s="1" t="s">
        <v>1282</v>
      </c>
      <c r="F43" s="1" t="s">
        <v>1348</v>
      </c>
      <c r="G43" s="1" t="str">
        <f>'NSW Thematic Analysis'!$C49</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8" customFormat="1" ht="120" x14ac:dyDescent="0.25">
      <c r="A44" s="2">
        <f>'NSW Thematic Analysis'!$H50</f>
        <v>41</v>
      </c>
      <c r="B44" s="1" t="str">
        <f>'NSW Thematic Analysis'!$D50</f>
        <v>Complexity and duplication in service delivery
Need for improved collaboration
Enhancement of coordination
Quality and safety improvement
Appropriate resource utilization</v>
      </c>
      <c r="C44" s="1" t="str">
        <f>'NSW Thematic Analysis'!$F50</f>
        <v>Compliance and Governance
Collaboration and Communication
Financial Management and Budgeting
Operational Effectiveness and Efficiency
Consumer Experience and Support</v>
      </c>
      <c r="D44" s="1" t="str">
        <f>'NSW Thematic Analysis'!$E50</f>
        <v>Process simplification
Teamwork enhancement
Integrated systems
Quality assurance
Optimal allocation</v>
      </c>
      <c r="E44" s="1" t="s">
        <v>1283</v>
      </c>
      <c r="F44" s="1" t="s">
        <v>1349</v>
      </c>
      <c r="G44" s="1" t="str">
        <f>'NSW Thematic Analysis'!$C50</f>
        <v>NSW Health aims to improve healthcare by working better together. They're using tech to help everyone collaborate and use resources wisely. That means better tools for healthcare workers and making sure everyone gets great care.</v>
      </c>
    </row>
    <row r="45" spans="1:7" s="8" customFormat="1" ht="90" x14ac:dyDescent="0.25">
      <c r="A45" s="2">
        <f>'NSW Thematic Analysis'!$H51</f>
        <v>42</v>
      </c>
      <c r="B45" s="1" t="str">
        <f>'NSW Thematic Analysis'!$D51</f>
        <v>Constraints and opportunities
Alignment with national initiatives</v>
      </c>
      <c r="C45" s="1" t="str">
        <f>'NSW Thematic Analysis'!$F51</f>
        <v>Financial Management and Budgeting
Business Alignment</v>
      </c>
      <c r="D45" s="1" t="str">
        <f>'NSW Thematic Analysis'!$E51</f>
        <v>SWOT analysis
Policy coherence</v>
      </c>
      <c r="E45" s="1" t="s">
        <v>1284</v>
      </c>
      <c r="F45" s="1" t="s">
        <v>1350</v>
      </c>
      <c r="G45" s="1" t="str">
        <f>'NSW Thematic Analysis'!$C51</f>
        <v>The NSW Government's IT setup influences NSW Health's ICT plan. They aim to make sure NSW initiatives match up with and sometimes even help shape national and statewide plans</v>
      </c>
    </row>
    <row r="46" spans="1:7" s="8" customFormat="1" ht="240" x14ac:dyDescent="0.25">
      <c r="A46" s="2">
        <f>'NSW Thematic Analysis'!$H52</f>
        <v>43</v>
      </c>
      <c r="B46" s="1" t="str">
        <f>'NSW Thematic Analysis'!$D52</f>
        <v>New directions for IT
Primary goals of Executive Council</v>
      </c>
      <c r="C46" s="1" t="str">
        <f>'NSW Thematic Analysis'!$F52</f>
        <v>System and Technology Improvement
Operational Effectiveness and Efficiency</v>
      </c>
      <c r="D46" s="1" t="str">
        <f>'NSW Thematic Analysis'!$E52</f>
        <v>Tech trends
Leadership vision</v>
      </c>
      <c r="E46" s="1" t="s">
        <v>1285</v>
      </c>
      <c r="F46" s="1" t="s">
        <v>1351</v>
      </c>
      <c r="G46" s="1" t="str">
        <f>'NSW Thematic Analysis'!$C52</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8" customFormat="1" ht="180" x14ac:dyDescent="0.25">
      <c r="A47" s="2">
        <f>'NSW Thematic Analysis'!$H53</f>
        <v>44</v>
      </c>
      <c r="B47" s="1" t="str">
        <f>'NSW Thematic Analysis'!$D53</f>
        <v>Government priorities
Reform agenda
Business reform
Improvements to Indigenous consumers
Preventative services</v>
      </c>
      <c r="C47" s="1" t="str">
        <f>'NSW Thematic Analysis'!$F53</f>
        <v>Consumer Experience and Support
Policy and Organizational Reform
Business Alignment
Data and Information Management
Strategic Planning and Development</v>
      </c>
      <c r="D47" s="1" t="str">
        <f>'NSW Thematic Analysis'!$E53</f>
        <v>Policy alignment
Change strategy
Organizational change
Inclusive services
Early intervention</v>
      </c>
      <c r="E47" s="1" t="s">
        <v>1286</v>
      </c>
      <c r="F47" s="1" t="s">
        <v>1352</v>
      </c>
      <c r="G47" s="1" t="str">
        <f>'NSW Thematic Analysis'!$C53</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8" customFormat="1" ht="255" x14ac:dyDescent="0.25">
      <c r="A48" s="2">
        <f>'NSW Thematic Analysis'!$H54</f>
        <v>45</v>
      </c>
      <c r="B48" s="1" t="str">
        <f>'NSW Thematic Analysis'!$D54</f>
        <v>Collaboration across jurisdictions
Consistency in systems approaches
National information network
Regulatory frameworks</v>
      </c>
      <c r="C48" s="1" t="str">
        <f>'NSW Thematic Analysis'!$F54</f>
        <v>Collaboration and Communication
Standardization and Streamlining Processes
Data and Information Management
Compliance and Governance</v>
      </c>
      <c r="D48" s="1" t="str">
        <f>'NSW Thematic Analysis'!$E54</f>
        <v>Cross-border teamwork
Uniform methods
Centralized data
Legal compliance</v>
      </c>
      <c r="E48" s="1" t="s">
        <v>1287</v>
      </c>
      <c r="F48" s="1" t="s">
        <v>1353</v>
      </c>
      <c r="G48" s="1" t="str">
        <f>'NSW Thematic Analysis'!$C54</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8" customFormat="1" ht="210" x14ac:dyDescent="0.25">
      <c r="A49" s="2">
        <f>'NSW Thematic Analysis'!$H55</f>
        <v>46</v>
      </c>
      <c r="B49" s="1" t="str">
        <f>'NSW Thematic Analysis'!$D55</f>
        <v>ICT standards
ICT strategic plan
Interoperability
Standardized information
Unique Identifiers
Individual Electronic Record
Identity management standards
Secure messaging
Supply chain management</v>
      </c>
      <c r="C49" s="1" t="str">
        <f>'NSW Thematic Analysis'!$F55</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'NSW Thematic Analysis'!$E55</f>
        <v>Protocol adherence
IT blueprint
API integration
Data governance
Identity codes
Personal data
Security protocols
Encrypted communication
Logistics control</v>
      </c>
      <c r="E49" s="1" t="s">
        <v>1288</v>
      </c>
      <c r="F49" s="1" t="s">
        <v>1354</v>
      </c>
      <c r="G49" s="1" t="str">
        <f>'NSW Thematic Analysis'!$C55</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8" customFormat="1" ht="120" x14ac:dyDescent="0.25">
      <c r="A50" s="2">
        <f>'NSW Thematic Analysis'!$H56</f>
        <v>47</v>
      </c>
      <c r="B50" s="1" t="str">
        <f>'NSW Thematic Analysis'!$D56</f>
        <v>Corporate reform program
ICT reform program
Implementation of IT solutions</v>
      </c>
      <c r="C50" s="1" t="str">
        <f>'NSW Thematic Analysis'!$F56</f>
        <v>Financial Management and Budgeting
Data Security, Quality and Privacy
Consumer Experience and Support</v>
      </c>
      <c r="D50" s="1" t="str">
        <f>'NSW Thematic Analysis'!$E56</f>
        <v>Business transformation
IT overhaul
Tech deployment</v>
      </c>
      <c r="E50" s="1" t="s">
        <v>1289</v>
      </c>
      <c r="F50" s="1" t="s">
        <v>1355</v>
      </c>
      <c r="G50" s="1" t="str">
        <f>'NSW Thematic Analysis'!$C56</f>
        <v>To tackle challenges and prepare for the future, NSW Health is changing how it delivers services. Implementing IT solutions to support staff and integrate business processes is key for sustainable service delivery changes.</v>
      </c>
    </row>
    <row r="51" spans="1:7" s="8" customFormat="1" ht="195" x14ac:dyDescent="0.25">
      <c r="A51" s="2">
        <f>'NSW Thematic Analysis'!$H57</f>
        <v>48</v>
      </c>
      <c r="B51" s="1" t="str">
        <f>'NSW Thematic Analysis'!$D57</f>
        <v>Development of ICT strategy
Investment priorities
Budget negotiation
Program delivery</v>
      </c>
      <c r="C51" s="1" t="str">
        <f>'NSW Thematic Analysis'!$F57</f>
        <v>Collaboration and Communication
Financial Management and Budgeting
Business Alignment
Compliance and Governance</v>
      </c>
      <c r="D51" s="1" t="str">
        <f>'NSW Thematic Analysis'!$E57</f>
        <v>IT planning
Capital focus
Financial planning
Execution</v>
      </c>
      <c r="E51" s="1" t="s">
        <v>1290</v>
      </c>
      <c r="F51" s="1" t="s">
        <v>1356</v>
      </c>
      <c r="G51" s="1" t="str">
        <f>'NSW Thematic Analysis'!$C57</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8" customFormat="1" ht="150" x14ac:dyDescent="0.25">
      <c r="A52" s="2">
        <f>'NSW Thematic Analysis'!$H58</f>
        <v>49</v>
      </c>
      <c r="B52" s="1" t="str">
        <f>'NSW Thematic Analysis'!$D58</f>
        <v>Responsibilities of Support Services
Implementation of system
Maintenance of systems
Support for Consumers
Hardware management
Software management</v>
      </c>
      <c r="C52" s="1" t="str">
        <f>'NSW Thematic Analysis'!$F58</f>
        <v>Policy and Organizational Reform
Data and Information Management
System Maintenance and Support
Consumer Experience and Support
Business Alignment
Data and Information Management</v>
      </c>
      <c r="D52" s="1" t="str">
        <f>'NSW Thematic Analysis'!$E58</f>
        <v>Service scope
System rollout
Upkeep
Customer service
Device control
Application administration</v>
      </c>
      <c r="E52" s="1" t="s">
        <v>1291</v>
      </c>
      <c r="F52" s="1" t="s">
        <v>1357</v>
      </c>
      <c r="G52" s="1" t="str">
        <f>'NSW Thematic Analysis'!$C58</f>
        <v>Health Support Services sets up and maintains key computer systems for healthcare. They give specific IT help to Area Health Services as defined by the law. This includes managing computers, software, and helping with setting up systems.</v>
      </c>
    </row>
    <row r="53" spans="1:7" s="8" customFormat="1" ht="105" x14ac:dyDescent="0.25">
      <c r="A53" s="2">
        <f>'NSW Thematic Analysis'!$H59</f>
        <v>50</v>
      </c>
      <c r="B53" s="1" t="str">
        <f>'NSW Thematic Analysis'!$D59</f>
        <v>Responsibilities of Services
Local implementations
Change management
Staff training
Benefits realization</v>
      </c>
      <c r="C53" s="1" t="str">
        <f>'NSW Thematic Analysis'!$F59</f>
        <v>Policy and Organizational Reform
System Deployment and Integration
Collaboration and Communication
Employee Training and Development
Resource Management and Utilization</v>
      </c>
      <c r="D53" s="1" t="str">
        <f>'NSW Thematic Analysis'!$E59</f>
        <v>Service tasks
Regional rollout
Transition planning
Employee development
Outcome tracking</v>
      </c>
      <c r="E53" s="1" t="s">
        <v>1292</v>
      </c>
      <c r="F53" s="1" t="s">
        <v>1358</v>
      </c>
      <c r="G53" s="1" t="str">
        <f>'NSW Thematic Analysis'!$C59</f>
        <v>Area Health Services are responsible for the management of local
implementations, change management and training of staff and benefits
realisation.</v>
      </c>
    </row>
    <row r="54" spans="1:7" s="8" customFormat="1" ht="120" x14ac:dyDescent="0.25">
      <c r="A54" s="2">
        <f>'NSW Thematic Analysis'!$H60</f>
        <v>51</v>
      </c>
      <c r="B54" s="1" t="str">
        <f>'NSW Thematic Analysis'!$D60</f>
        <v>Prioritization of programs and projects
Sound investment decisions
Benefit to the organization
Common processes across ICT
Collaborative framework</v>
      </c>
      <c r="C54" s="1" t="str">
        <f>'NSW Thematic Analysis'!$F60</f>
        <v>Risk Identification and Management
Financial Management and Budgeting
Business Alignment
Collaboration and Communication
Collaboration and Communication</v>
      </c>
      <c r="D54" s="1" t="str">
        <f>'NSW Thematic Analysis'!$E60</f>
        <v>Strategic focus
ROI analysis
Value creation
Standardization
Team structure</v>
      </c>
      <c r="E54" s="1" t="s">
        <v>1293</v>
      </c>
      <c r="F54" s="1" t="s">
        <v>1359</v>
      </c>
      <c r="G54" s="1" t="str">
        <f>'NSW Thematic Analysis'!$C60</f>
        <v>They pick the most important projects and invest wisely for the health system. We work together on ICT stuff and have clear rules. This helps us decide what to build and how to run things</v>
      </c>
    </row>
    <row r="55" spans="1:7" s="8" customFormat="1" ht="105" x14ac:dyDescent="0.25">
      <c r="A55" s="2">
        <f>'NSW Thematic Analysis'!$H61</f>
        <v>52</v>
      </c>
      <c r="B55" s="1" t="str">
        <f>'NSW Thematic Analysis'!$D61</f>
        <v>Evaluation criteria
Prioritization
Monitoring
Achieving business priorities</v>
      </c>
      <c r="C55" s="1" t="str">
        <f>'NSW Thematic Analysis'!$F61</f>
        <v>Consumer Experience and Support
Program and Project Management
System Maintenance and Support
Business Alignment</v>
      </c>
      <c r="D55" s="1" t="str">
        <f>'NSW Thematic Analysis'!$E61</f>
        <v>Performance metrics
Task ranking
Supervision
Goal fulfillment</v>
      </c>
      <c r="E55" s="1" t="s">
        <v>1294</v>
      </c>
      <c r="F55" s="1" t="s">
        <v>1360</v>
      </c>
      <c r="G55" s="1" t="str">
        <f>'NSW Thematic Analysis'!$C61</f>
        <v>NSW Health uses a coordinated approach to manage ICT projects. This helps us evaluate, prioritize, select, and monitor programs and projects. We adjust as needed to meet our business goals.</v>
      </c>
    </row>
    <row r="56" spans="1:7" s="8" customFormat="1" ht="60" x14ac:dyDescent="0.25">
      <c r="A56" s="2">
        <f>'NSW Thematic Analysis'!$H62</f>
        <v>53</v>
      </c>
      <c r="B56" s="1" t="str">
        <f>'NSW Thematic Analysis'!$D62</f>
        <v>Standardizing processes across ICT
Guidelines application</v>
      </c>
      <c r="C56" s="1" t="str">
        <f>'NSW Thematic Analysis'!$F62</f>
        <v>Standardization and Streamlining Processes
Business Alignment</v>
      </c>
      <c r="D56" s="1" t="str">
        <f>'NSW Thematic Analysis'!$E62</f>
        <v>Uniform methods
Best practices</v>
      </c>
      <c r="E56" s="1" t="s">
        <v>1295</v>
      </c>
      <c r="F56" s="1" t="s">
        <v>1361</v>
      </c>
      <c r="G56" s="1" t="str">
        <f>'NSW Thematic Analysis'!$C62</f>
        <v>They have set ways of doing things that support our ICT plan. These cover every step of a project's life.</v>
      </c>
    </row>
    <row r="57" spans="1:7" s="8" customFormat="1" ht="135" x14ac:dyDescent="0.25">
      <c r="A57" s="2">
        <f>'NSW Thematic Analysis'!$H63</f>
        <v>54</v>
      </c>
      <c r="B57" s="1" t="str">
        <f>'NSW Thematic Analysis'!$D63</f>
        <v>Collaborative implementation
Integration of governance models
Consistency in application development</v>
      </c>
      <c r="C57" s="1" t="str">
        <f>'NSW Thematic Analysis'!$F63</f>
        <v>Standardization and Streamlining Processes
Compliance and Governance
Standardization and Streamlining Processes</v>
      </c>
      <c r="D57" s="1" t="str">
        <f>'NSW Thematic Analysis'!$E63</f>
        <v>Joint execution
Unified policies
Standard coding</v>
      </c>
      <c r="E57" s="1" t="s">
        <v>1296</v>
      </c>
      <c r="F57" s="1" t="s">
        <v>1362</v>
      </c>
      <c r="G57" s="1" t="str">
        <f>'NSW Thematic Analysis'!$C63</f>
        <v>To make the strategy work, NSW Health collaborates with the Department of Health, Area Health Services, Health Technology, and third-party providers, using shared decision-making processes and building core applications at the state level</v>
      </c>
    </row>
    <row r="58" spans="1:7" s="8" customFormat="1" ht="150" x14ac:dyDescent="0.25">
      <c r="A58" s="2">
        <f>'NSW Thematic Analysis'!$H64</f>
        <v>55</v>
      </c>
      <c r="B58" s="1" t="str">
        <f>'NSW Thematic Analysis'!$D64</f>
        <v>Classification of applications
Management of applications
Resource management
Achieving outcomes</v>
      </c>
      <c r="C58" s="1" t="str">
        <f>'NSW Thematic Analysis'!$F64</f>
        <v>Collaboration and Communication
System Maintenance and Support
Resource Management and Utilization
Operational Effectiveness and Efficiency</v>
      </c>
      <c r="D58" s="1" t="str">
        <f>'NSW Thematic Analysis'!$E64</f>
        <v>App taxonomy
App lifecycle
Asset allocation
Results tracking</v>
      </c>
      <c r="E58" s="1" t="s">
        <v>1297</v>
      </c>
      <c r="F58" s="1" t="s">
        <v>1363</v>
      </c>
      <c r="G58" s="1" t="str">
        <f>'NSW Thematic Analysis'!$C64</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8" customFormat="1" ht="150" x14ac:dyDescent="0.25">
      <c r="A59" s="2">
        <f>'NSW Thematic Analysis'!$H65</f>
        <v>56</v>
      </c>
      <c r="B59" s="1" t="str">
        <f>'NSW Thematic Analysis'!$D65</f>
        <v>Alignment with business benefits
Risk Identification
Disconnect of strategy and implementation</v>
      </c>
      <c r="C59" s="1" t="str">
        <f>'NSW Thematic Analysis'!$F65</f>
        <v>Business Alignment
Risk Identification and Management
Compliance and Governance</v>
      </c>
      <c r="D59" s="1" t="str">
        <f>'NSW Thematic Analysis'!$E65</f>
        <v>Strategic alignment
Risk assessment
Execution gap</v>
      </c>
      <c r="E59" s="1" t="s">
        <v>1298</v>
      </c>
      <c r="F59" s="1" t="s">
        <v>1364</v>
      </c>
      <c r="G59" s="1" t="str">
        <f>'NSW Thematic Analysis'!$C65</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8" customFormat="1" ht="150" x14ac:dyDescent="0.25">
      <c r="A60" s="2">
        <f>'NSW Thematic Analysis'!$H66</f>
        <v>57</v>
      </c>
      <c r="B60" s="1" t="str">
        <f>'NSW Thematic Analysis'!$D66</f>
        <v>Development process
Integration with existing methodology
Informed decision-making</v>
      </c>
      <c r="C60" s="1" t="str">
        <f>'NSW Thematic Analysis'!$F66</f>
        <v>System Deployment and Integration
System Deployment and Integration
System Deployment and Integration</v>
      </c>
      <c r="D60" s="1" t="str">
        <f>'NSW Thematic Analysis'!$E66</f>
        <v>Workflow
Seamless adoption
Data-driven choices</v>
      </c>
      <c r="E60" s="1" t="s">
        <v>1299</v>
      </c>
      <c r="F60" s="1" t="s">
        <v>1365</v>
      </c>
      <c r="G60" s="1" t="str">
        <f>'NSW Thematic Analysis'!$C66</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8" customFormat="1" ht="240" x14ac:dyDescent="0.25">
      <c r="A61" s="2">
        <f>'NSW Thematic Analysis'!$H67</f>
        <v>58</v>
      </c>
      <c r="B61" s="1" t="str">
        <f>'NSW Thematic Analysis'!$D67</f>
        <v>Large content management
Resource constraints
Skills / Training
Scope creep</v>
      </c>
      <c r="C61" s="1" t="str">
        <f>'NSW Thematic Analysis'!$F67</f>
        <v>Data and Information Management
Resource Management and Utilization
Employee Training and Development
Program and Project Management</v>
      </c>
      <c r="D61" s="1" t="str">
        <f>'NSW Thematic Analysis'!$E67</f>
        <v>CMS
Limited resources
Competence building
Project control</v>
      </c>
      <c r="E61" s="1" t="s">
        <v>1300</v>
      </c>
      <c r="F61" s="1" t="s">
        <v>1366</v>
      </c>
      <c r="G61" s="1" t="str">
        <f>'NSW Thematic Analysis'!$C67</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8" customFormat="1" ht="165" x14ac:dyDescent="0.25">
      <c r="A62" s="2">
        <f>'NSW Thematic Analysis'!$H68</f>
        <v>59</v>
      </c>
      <c r="B62" s="1" t="str">
        <f>'NSW Thematic Analysis'!$D68</f>
        <v>Equal system participation
Change control process
Core functionality vs area-specific needs</v>
      </c>
      <c r="C62" s="1" t="str">
        <f>'NSW Thematic Analysis'!$F68</f>
        <v>Standardization and Streamlining Processes
Compliance and Governance
Compliance and Governance</v>
      </c>
      <c r="D62" s="1" t="str">
        <f>'NSW Thematic Analysis'!$E68</f>
        <v>Inclusive access
Process governance
Customization</v>
      </c>
      <c r="E62" s="1" t="s">
        <v>1301</v>
      </c>
      <c r="F62" s="1" t="s">
        <v>1367</v>
      </c>
      <c r="G62" s="1" t="str">
        <f>'NSW Thematic Analysis'!$C68</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8" customFormat="1" ht="165" x14ac:dyDescent="0.25">
      <c r="A63" s="2">
        <f>'NSW Thematic Analysis'!$H69</f>
        <v>60</v>
      </c>
      <c r="B63" s="1" t="str">
        <f>'NSW Thematic Analysis'!$D69</f>
        <v>Alignment
Implementation delays
Allocation of resources</v>
      </c>
      <c r="C63" s="1" t="str">
        <f>'NSW Thematic Analysis'!$F69</f>
        <v>Business Alignment
Consumer Experience and Support
Consumer Experience and Support</v>
      </c>
      <c r="D63" s="1" t="str">
        <f>'NSW Thematic Analysis'!$E69</f>
        <v>Strategic fit
Time management
Resource planning</v>
      </c>
      <c r="E63" s="1" t="s">
        <v>1302</v>
      </c>
      <c r="F63" s="1" t="s">
        <v>1368</v>
      </c>
      <c r="G63" s="1" t="str">
        <f>'NSW Thematic Analysis'!$C69</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8" customFormat="1" ht="165" x14ac:dyDescent="0.25">
      <c r="A64" s="2">
        <f>'NSW Thematic Analysis'!$H70</f>
        <v>61</v>
      </c>
      <c r="B64" s="1" t="str">
        <f>'NSW Thematic Analysis'!$D70</f>
        <v>Management of programs
Integration of systems
Compatibility between systems</v>
      </c>
      <c r="C64" s="1" t="str">
        <f>'NSW Thematic Analysis'!$F70</f>
        <v>Program and Project Management
System Deployment and Integration
Financial Management and Budgeting</v>
      </c>
      <c r="D64" s="1" t="str">
        <f>'NSW Thematic Analysis'!$E70</f>
        <v>Program oversight
System merger
System harmony</v>
      </c>
      <c r="E64" s="1" t="s">
        <v>1303</v>
      </c>
      <c r="F64" s="1" t="s">
        <v>1369</v>
      </c>
      <c r="G64" s="1" t="str">
        <f>'NSW Thematic Analysis'!$C70</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8" customFormat="1" ht="135" x14ac:dyDescent="0.25">
      <c r="A65" s="2">
        <f>'NSW Thematic Analysis'!$H71</f>
        <v>62</v>
      </c>
      <c r="B65" s="1" t="str">
        <f>'NSW Thematic Analysis'!$D71</f>
        <v>Integration of unified systems
Disruption to processes
Data security
Data privacy</v>
      </c>
      <c r="C65" s="1" t="str">
        <f>'NSW Thematic Analysis'!$F71</f>
        <v>System Deployment and Integration
Resource Management and Utilization
Data and Information Management
Data Security, Quality and Privacy</v>
      </c>
      <c r="D65" s="1" t="str">
        <f>'NSW Thematic Analysis'!$E71</f>
        <v>Single platform
Smooth transitions
Protection
Confidentiality</v>
      </c>
      <c r="E65" s="1" t="s">
        <v>1304</v>
      </c>
      <c r="F65" s="1" t="s">
        <v>1370</v>
      </c>
      <c r="G65" s="1" t="str">
        <f>'NSW Thematic Analysis'!$C71</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8" customFormat="1" ht="180" x14ac:dyDescent="0.25">
      <c r="A66" s="2">
        <f>'NSW Thematic Analysis'!$H72</f>
        <v>63</v>
      </c>
      <c r="B66" s="1" t="str">
        <f>'NSW Thematic Analysis'!$D72</f>
        <v>Timeliness
Accuracy of data
Accuracy of Reporting
Integration of data
Unified platform
Data accessibility
Data privacy</v>
      </c>
      <c r="C66" s="1" t="str">
        <f>'NSW Thematic Analysis'!$F72</f>
        <v>Operational Effectiveness and Efficiency
Data Security, Quality and Privacy
Data Security, Quality and Privacy
System Deployment and Integration
System Deployment and Integration
Data and Information Management
Data Security, Quality and Privacy</v>
      </c>
      <c r="D66" s="1" t="str">
        <f>'NSW Thematic Analysis'!$E72</f>
        <v>Punctuality
Data integrity
Precise reports
Data fusion
Single interface
Easy access
Confidentiality</v>
      </c>
      <c r="E66" s="1" t="s">
        <v>1305</v>
      </c>
      <c r="F66" s="1" t="s">
        <v>1371</v>
      </c>
      <c r="G66" s="1" t="str">
        <f>'NSW Thematic Analysis'!$C72</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8" customFormat="1" ht="150" x14ac:dyDescent="0.25">
      <c r="A67" s="2">
        <f>'NSW Thematic Analysis'!$H73</f>
        <v>64</v>
      </c>
      <c r="B67" s="1" t="str">
        <f>'NSW Thematic Analysis'!$D73</f>
        <v>Prioritization
Alignment
Monitoring</v>
      </c>
      <c r="C67" s="1" t="str">
        <f>'NSW Thematic Analysis'!$F73</f>
        <v>Program and Project Management
Business Alignment
System Maintenance and Support</v>
      </c>
      <c r="D67" s="1" t="str">
        <f>'NSW Thematic Analysis'!$E73</f>
        <v>Task ranking
Strategic fit
Supervision</v>
      </c>
      <c r="E67" s="1" t="s">
        <v>1306</v>
      </c>
      <c r="F67" s="1" t="s">
        <v>1372</v>
      </c>
      <c r="G67" s="1" t="str">
        <f>'NSW Thematic Analysis'!$C73</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8" customFormat="1" ht="120" x14ac:dyDescent="0.25">
      <c r="A68" s="2">
        <f>'NSW Thematic Analysis'!$H74</f>
        <v>65</v>
      </c>
      <c r="B68" s="1" t="str">
        <f>'NSW Thematic Analysis'!$D74</f>
        <v>Infrastructure efficiency
Standardized information
Resource optimization</v>
      </c>
      <c r="C68" s="1" t="str">
        <f>'NSW Thematic Analysis'!$F74</f>
        <v>Data and Information Management
Data and Information Management
Resource Management and Utilization</v>
      </c>
      <c r="D68" s="1" t="str">
        <f>'NSW Thematic Analysis'!$E74</f>
        <v>Optimal systems
Data governance
Best use</v>
      </c>
      <c r="E68" s="1" t="s">
        <v>1307</v>
      </c>
      <c r="F68" s="1" t="s">
        <v>1373</v>
      </c>
      <c r="G68" s="1" t="str">
        <f>'NSW Thematic Analysis'!$C74</f>
        <v>The Sustainable Infrastructure program aims to streamline technical infrastructure, establish and uphold standards and architecture for statewide ICT initiatives, and ensure maximum benefit from ICT investments.</v>
      </c>
    </row>
    <row r="69" spans="1:7" s="8" customFormat="1" ht="105" x14ac:dyDescent="0.25">
      <c r="A69" s="2">
        <f>'NSW Thematic Analysis'!$H75</f>
        <v>66</v>
      </c>
      <c r="B69" s="1" t="str">
        <f>'NSW Thematic Analysis'!$D75</f>
        <v>Infrastructure coherence
Standard adherence
Data quality</v>
      </c>
      <c r="C69" s="1" t="str">
        <f>'NSW Thematic Analysis'!$F75</f>
        <v>System Deployment and Integration
Data and Information Management
Data and Information Management</v>
      </c>
      <c r="D69" s="1" t="str">
        <f>'NSW Thematic Analysis'!$E75</f>
        <v>Protocol compliance
High standards
High standards</v>
      </c>
      <c r="E69" s="1" t="s">
        <v>1308</v>
      </c>
      <c r="F69" s="1" t="s">
        <v>1374</v>
      </c>
      <c r="G69" s="1" t="str">
        <f>'NSW Thematic Analysis'!$C75</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Tech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TechConcept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NSW Thematic Analysis</vt:lpstr>
      <vt:lpstr>Glossary</vt:lpstr>
      <vt:lpstr>Calculation One</vt:lpstr>
      <vt:lpstr>Calculation Two</vt:lpstr>
      <vt:lpstr>Model Calc</vt:lpstr>
      <vt:lpstr>Model</vt:lpstr>
      <vt:lpstr>Tech Concepts</vt:lpstr>
      <vt:lpstr>Tool Data</vt:lpstr>
      <vt:lpstr>Concerns</vt:lpstr>
      <vt:lpstr>Concerns_List</vt:lpstr>
      <vt:lpstr>ModelData</vt:lpstr>
      <vt:lpstr>Organizational_Values</vt:lpstr>
      <vt:lpstr>Possible_Solutions</vt:lpstr>
      <vt:lpstr>Possible_solutions_Unique</vt:lpstr>
      <vt:lpstr>Tech_Concepts</vt:lpstr>
      <vt:lpstr>Tech_Layers</vt:lpstr>
      <vt:lpstr>Tech_Solutions</vt:lpstr>
      <vt:lpstr>ThemeAcceptValue</vt:lpstr>
      <vt:lpstr>TopConcernValue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 Galbraith [ncg33] (he/him)</cp:lastModifiedBy>
  <dcterms:created xsi:type="dcterms:W3CDTF">2015-06-05T18:17:20Z</dcterms:created>
  <dcterms:modified xsi:type="dcterms:W3CDTF">2024-06-19T01:37:26Z</dcterms:modified>
</cp:coreProperties>
</file>