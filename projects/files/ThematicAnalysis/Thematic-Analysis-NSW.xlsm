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D:\Documents\GitHub\nigelgalbraith.github.io\projects\files\ThematicAnalysis\"/>
    </mc:Choice>
  </mc:AlternateContent>
  <xr:revisionPtr revIDLastSave="0" documentId="13_ncr:1_{6B629446-22E6-4733-923B-C85A07E7704F}" xr6:coauthVersionLast="47" xr6:coauthVersionMax="47" xr10:uidLastSave="{00000000-0000-0000-0000-000000000000}"/>
  <bookViews>
    <workbookView xWindow="-120" yWindow="-120" windowWidth="29040" windowHeight="15840" xr2:uid="{00000000-000D-0000-FFFF-FFFF00000000}"/>
  </bookViews>
  <sheets>
    <sheet name="Thematic Analysis" sheetId="1" r:id="rId1"/>
    <sheet name="Glossary" sheetId="2" r:id="rId2"/>
    <sheet name="Tech Concepts" sheetId="8" r:id="rId3"/>
    <sheet name="Tool Data" sheetId="9" r:id="rId4"/>
  </sheets>
  <functionGroups builtInGroupCount="19"/>
  <definedNames>
    <definedName name="Concept">Table6[Tech Concepts]</definedName>
    <definedName name="Concerns_List">Table2[Concerns]</definedName>
    <definedName name="Factors">'Thematic Analysis'!$E$7:$E$72</definedName>
    <definedName name="Groups">'Thematic Analysis'!$F$7:$F$72</definedName>
    <definedName name="Solution_Layers">Table6[Tech Layers]</definedName>
    <definedName name="Solutions">Table6[Possible Solution]</definedName>
    <definedName name="Sub_Group">'Thematic Analysis'!$G$7:$G$72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9" l="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5" i="9"/>
  <c r="A6" i="8"/>
  <c r="A7" i="8"/>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5" i="8"/>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I33" i="1"/>
  <c r="I8" i="1"/>
  <c r="I16" i="1"/>
  <c r="I40" i="1"/>
  <c r="I20" i="1"/>
  <c r="I67" i="1"/>
  <c r="I34" i="1"/>
  <c r="I42" i="1"/>
  <c r="I58" i="1"/>
  <c r="I29" i="1"/>
  <c r="I44" i="1"/>
  <c r="I57" i="1"/>
  <c r="I10" i="1"/>
  <c r="I27" i="1"/>
  <c r="I30" i="1"/>
  <c r="I12" i="1"/>
  <c r="I39" i="1"/>
  <c r="I7" i="1"/>
  <c r="I50" i="1"/>
  <c r="I41" i="1"/>
  <c r="I46" i="1"/>
  <c r="I54" i="1"/>
  <c r="I21" i="1"/>
  <c r="I28" i="1"/>
  <c r="I11" i="1"/>
  <c r="I19" i="1"/>
  <c r="I35" i="1"/>
  <c r="I55" i="1"/>
  <c r="I64" i="1"/>
  <c r="I36" i="1"/>
  <c r="I52" i="1"/>
  <c r="I48" i="1"/>
  <c r="I14" i="1"/>
  <c r="I37" i="1"/>
  <c r="I53" i="1"/>
  <c r="I63" i="1"/>
  <c r="I24" i="1"/>
  <c r="I9" i="1"/>
  <c r="I47" i="1"/>
  <c r="I62" i="1"/>
  <c r="I43" i="1"/>
  <c r="I45" i="1"/>
  <c r="I60" i="1"/>
  <c r="I22" i="1"/>
  <c r="I71" i="1"/>
  <c r="I59" i="1"/>
  <c r="I56" i="1"/>
  <c r="I13" i="1"/>
  <c r="I70" i="1"/>
  <c r="I68" i="1"/>
  <c r="I38" i="1"/>
  <c r="I15" i="1"/>
  <c r="I31" i="1"/>
  <c r="I32" i="1"/>
  <c r="I65" i="1"/>
  <c r="I25" i="1"/>
  <c r="I69" i="1"/>
  <c r="I61" i="1"/>
  <c r="I23" i="1"/>
  <c r="I66" i="1"/>
  <c r="I49" i="1"/>
  <c r="I51" i="1"/>
  <c r="I72" i="1"/>
  <c r="I18" i="1"/>
  <c r="I26" i="1"/>
  <c r="I17" i="1"/>
  <c r="A6" i="2" l="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alcChain>
</file>

<file path=xl/sharedStrings.xml><?xml version="1.0" encoding="utf-8"?>
<sst xmlns="http://schemas.openxmlformats.org/spreadsheetml/2006/main" count="1842" uniqueCount="1329">
  <si>
    <t>Thematic analysis and coding template</t>
  </si>
  <si>
    <t>What are you looking for? What is your discovery question/purpose</t>
  </si>
  <si>
    <t>Notes/Additional</t>
  </si>
  <si>
    <t>Page 6</t>
  </si>
  <si>
    <t>Page 8</t>
  </si>
  <si>
    <t>Concerns</t>
  </si>
  <si>
    <t>Possible Solutions</t>
  </si>
  <si>
    <t>Page 5/6</t>
  </si>
  <si>
    <t>As a result it is difficult to share patient information and coordinate patient
care. From a management perspective, it is difficult to obtain accurate
information on system performance. From a financial perspective, the
systems are expensive to maintain</t>
  </si>
  <si>
    <t>This situation will undermine the long-term sustainability of the Clinical
Services Redesign and Corporate Shared Services reform programs. The
ICT program has been realigned and refocussed to meet the long terms
needs of the reform program. The focus will be on connecting islands of
information and technology and rapidly supporting clinical and corporate
reform</t>
  </si>
  <si>
    <t>The Integrated Clinical Information Program (ICIP) was established in 2000
as a result of recommendations of the NSW Health Council and its objective
is to deal with the issues outlined above in a defined forward strategy. The
program aims to address these issues by providing core clinical
functionality across NSW. Significant progress has been made in the
implementation of patient administration, clinical and corporate systems.</t>
  </si>
  <si>
    <t>Improved quality and safety by ensuring that clinicians have access
to information they need to provide safe care and by providing systems
to embed consistent, predictable processes across the state to improve
quality and safety</t>
  </si>
  <si>
    <t>Page 9</t>
  </si>
  <si>
    <t>Page 10</t>
  </si>
  <si>
    <t>Page 11</t>
  </si>
  <si>
    <t>Page 12</t>
  </si>
  <si>
    <t>The ICT Strategic Plan is driven by the overarching priorities of NSW Health
as defined by the Results and Services Plan and NSW Health Plan. To
ensure that the ICT portfolio is closely aligned with the RSP and Corporate
Plan, NSW Health has taken the following steps:
From the RSP:
• Selected those results and associated services which will be dependent
on the ICT assets working well
• Identified ICT asset-related risks which may prevent achievement of
services and results
• Identified those services and service measures which will depend on
the ICT assets working well.
From the NSW Health Corporate Plan identified:
• The ultimate goal or vision for the community
• The contribution NSW Health will make towards achieving this goal or
vision
• The focus for achieving the goal or vision, including intended
outcomes, risks and strategies
• Strategies for measuring where performance targets have been met
• The cost of achieving the goal or vision and meeting performance
targets.
The outcome of this has informed the development of the ICT portfolio
aimed at effectively supporting services needs.</t>
  </si>
  <si>
    <t>Page 13</t>
  </si>
  <si>
    <t>Page 14</t>
  </si>
  <si>
    <t>The strategy benefits the patient as it means that all the information
clinicians need to deliver the best possible care, with an optimal outcome is
easily available whenever and wherever it is needed.
This helps clinicians by reducing the time they spend trying to locate
information or unnecessarily repeating tests, increasing the time they have
available for direct patient care.</t>
  </si>
  <si>
    <t>Page 15</t>
  </si>
  <si>
    <t>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t>
  </si>
  <si>
    <t>Page 15/16</t>
  </si>
  <si>
    <t>Page 16</t>
  </si>
  <si>
    <t>Page 17</t>
  </si>
  <si>
    <t>To meet and prepare for these challenges NSW Health must change the
way it delivers services. NSW Health is implementing a major combined
clinical and corporate and ICT reform program to address these issues.
Implementation of IT solutions to support staff and embed business
processes is critical to ensuring change to delivery of services is
sustainable. To be successful this requires a change in the way that ICT
solutions are procured, designed and implemented.
Historic investment decisions and decision-making have resulted in Area
Health Services developing disparate clinical and corporate applications,
supporting mixed infrastructure and integration approaches. This has
resulted in:
• Very high integration cost and difficulty gaining a comprehensive
clinical or management information;
• Duplication of effort and little reuse of technology assets;
• Existence of information gaps and overlaps;
• Different clinical specialty systems making it difficult to effectively
manage the patient journey and give clinicians a single view of their
patients;
• Twenty-nine systems support basic HR functions;
• Systems that are more than 20 years old and have limited support.</t>
  </si>
  <si>
    <t>2.4 Criteria for inclusion in ICT Strategy and Investment
Plan
ICT priorities are set and reviewed annually. Each initiative is evaluated
against 5 principles to determine the priority of the project and its position
in the investment program. The principles are:
• Level of contribution to major service reform agendas and
alignment with planned NSW Health Results and Services, priorities
and plans.
• Extent to which the project supports the patient journey across
multiple care settings and improves the quality and safety of health
care for the largest number of people.
• Capacity to deliver improvements in efficiency and effectiveness in
healthcare delivery and workforce utilisation.
• Degree of conformance with state ICT strategic planning
requirements.
• Level of potential to generate a positive return on investment.</t>
  </si>
  <si>
    <t>3.1 Benefits to the individual patient and clinician
From a clinical perspective, the end-goal of the strategy is to achieve a
‘single view of the patient’. The single view of the patient means that every
clinician involved in the patients care (doctors, nurses, pharmacists,
physiotherapists etc…) have a full understanding of the patients complete
care needs and medical history. They can understand what other
practitioners’ roles and contributions are and can work together effectively
as a team across all parts of the system. Corporate systems are in place to
effectively support the delivery of clinical care and support s single
employee view.</t>
  </si>
  <si>
    <t>At Hospital, Area and Department executive levels, a complete portfolio
allows an integrated analysis of health outcome indicators, demand for
services, resource availability, clinical and support services performance
and financial management.</t>
  </si>
  <si>
    <t>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t>
  </si>
  <si>
    <t>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t>
  </si>
  <si>
    <t>Information &amp; Communication Technology (ICT) Strategy Where we want to be in 2011
15
For example a Nursing Unit Manager (NUM) on a ward can more effectively
plan and care for patients with a full understanding of all demands, such as
patients waiting in the ED, coming from surgery and being transferred in,
and of ward capacity such as current available beds, pending available
beds, quarantined beds and staff availability and skills sets.
At Hospital, Area and Department executive levels, a complete portfolio
allows an integrated analysis of health outcome indicators, demand for
services, resource availability, clinical and support services performance
and financial management.
The ICT Strategy is focused on the priority areas or activities required to
underpin these and will be addressing them in its forward strategy as
resources and funding become available. Other initiatives will only be
added to the ICT work plan if they do not compromise delivery of these
core functions, or to address an urgent issue.
3.2 Department level benefits
By 2011 clinical departments will have access to systems that improve work
flow within the Department, provide decision support for clinicians and
access to information needed to support the most effective management of
resources. This will mean that clinicians will have immediate access to
critical information to make sure that the right decisions are made for
patients. This, combined with rules built into clinical systems and better
communication between staff in the department, will mean better and safer
care for patients.
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
3.4 Area level benefits
Areas will benefit from the implementation of these systems as they will
have access to standardised information from all facilities to manage their
resources more effectively, support planning and demand management and
management of patient transfers between hospitals in their Area with
Information &amp; Communication Technology (ICT) Strategy Where we want to be in 2011
16
minimum duplication of diagnostic procedures and delays for patients.
Improved communication between hospitals and clinicians in the
community will support patient care better once they leave hospital and
reduce the risk of readmission</t>
  </si>
  <si>
    <t>3.5 State level benefits
Implementation of core systems across NSW will deliver significant
benefits. While benefits are derived at each level, the full value of ICT will
be achieved when these systems are implemented across all Areas.
Standardised clinical and corporate information, collected as a by product
of patient care, provides support for NSW Health to achieve the targets set
under the Results and Services Plan by improving patient journeys across
the health system, improving timely access to services, strengthening co-
ordination and integration across the health system. Accurate information
will allow better utilisation of resources and management of future
demand.</t>
  </si>
  <si>
    <t>1.3 Planned outcomes
The ICT Strategy has been realigned with the core reform strategies of
Clinical Services Redesign and Corporate Shared Services. Five major ICT
strategies have been defined to support these broader strategic priorities.
These are the:
• Clinical Systems Strategy
• Corporate Systems Strategy
• Business Information Strategy
• Sustainable Infrastructure strategy and
• Whole of Government ICT Strategic directions</t>
  </si>
  <si>
    <t>2 The ICT Strategic Management Framework
2.1 Strategic Themes
In summary, the ICT Strategy revolves around three strategic themes:
• Significantly improved support for clinicians and patient care
• Strategic alignment to major NSW Health initiatives; and
• Considerable cost savings.
These themes are expressed in terms of five Strategic Objectives
1. Use of ICT to enable major clinical reform programs;
2. Reduce the duplication and cost in administrative systems
3. Deliver a core set of high quality information to all levels of the
organisation
4. Build an ICT Infrastructure that is available and responsive and
supports the requirements of the clinical and corporate systems
reforms; and
5. Adopt a coordinated, portfolio approach to the management of ICT to
ensure that the maximum benefit is gained from NSW Health’s
investment in ICT</t>
  </si>
  <si>
    <t>2.2 Describing the ICT Strategic Management Framework
This document provides the central description of NSW Health’s ICT
Strategy for the period 2006-2011.
It is supported by a number of more specific documents covering:
• The ICT Asset Management Strategy;
• NSW Health’s Enterprise Architecture. This document forms the core of
NSW Health’s ICT Architecture documents, that are specific to:
_x0001_ The Clinical Systems Architecture
_x0001_ The Corporate Systems Architecture and Strategy
_x0001_ The Business Information Strategy
_x0001_ The Infrastructure Strategy; and
_x0001_ The Integration architecture strategy
• The ICT Governance Framework
• The ICT Portfolio Management and Program of work
• The ICT Investment Plan 2006-2017.</t>
  </si>
  <si>
    <t>2.5 Upgrade process
It is intended that only new initiatives should be included in the forward
investment program. The ongoing requirement to replace existing systems
should be addressed through the procurement and contractual process to
ensure NSW Health has access to future product upgrades through the
support and maintenance agreements formulated with vendors.</t>
  </si>
  <si>
    <t>3 Where we want to be in 2011
By 2011 we plan to have implemented the core clinical and corporate
systems across NSW to support patient journeys through the health system
and to provide the corporate systems and management information needed
to manage the health system efficiently.
Implementation of the ICT Strategy will deliver benefits at five levels –
individual patients and clinicians, Clinical Departments, Hospital, Area wide
and State.</t>
  </si>
  <si>
    <t>Improved collaboration within health and other related agencies within NSW, with the private
sector and nationally to increase interoperability and better information flow to support improved
patient outcomes and increased efficiency.</t>
  </si>
  <si>
    <t>Significant savings – new structures, governance arrangements
and development and deployment methods 
_x0001_ Rapid deployment of core programs will reduce overall project
management costs, which are the major cost component
_x0001_ Potential to integrate with the change management activities
already in train with CSRP and Corporate Shared Services, reducing
cost and increasing value of the change management process.
This will also help to embed the ICT processes within the clinical
and corporate reform programs to ensure that the change is
sustainable.
_x0001_ Minimises duration of impact on clinicians in AHS’ and increases the
speed to delivery of benefits for clinical care
_x0001_ Reduced training costs (can train once for all components, not
multiple times for each individual component)</t>
  </si>
  <si>
    <t>3.3 Hospital level benefits The implementation of well integrated core systems across a hospital, including for
example Results Reporting, Order Management, Patient Administration Systems, Scheduling and Human
Resources means that information can be collected once and be accessible to all who need it. This will
minimise problems at handover and allow enterprise wide management of human and other resources to increase efficiency and
reduce access block as patient’s move between departments. Good
information allows the patient journey to be more efficient allowing time to
see more patients.</t>
  </si>
  <si>
    <t>A steady increase in demand for services from an ageing population. In
NSW, the proportion of people over 65 is increasing rapidly. In every
year between 2012 and 2028, the aged share of the Australian
population is projected to increase by more than 0.35 percentage
points – an increase around 4 times the long term average.</t>
  </si>
  <si>
    <t>Staff shortages in critical areas such as nursing and medicine
Hospitals running at maximum capacity</t>
  </si>
  <si>
    <t>The rate of chronic diseases including heart diseases, pulmonary
diseases, diabetes and cancer is increasing. The rate of obesity in our
younger population is on the rise and our increasingly globalised
society increases the risk of pandemics</t>
  </si>
  <si>
    <t>An increasing body of medical knowledge that staff cannot manage and
use without advanced IT systems</t>
  </si>
  <si>
    <t>Health services are increasingly challenged by more expensive medical technologies and pharmaceuticals</t>
  </si>
  <si>
    <t>Consumers are becoming more informed, have higher expectations and more complex problems</t>
  </si>
  <si>
    <t>Quality and safety standards are challenged as demands increase and
there are fewer staff to manage them. For example, from 2000 to 2005
the average occupancy for NSW hospitals stood at a high 93%. Some
metropolitan hospitals’ surgical and medical wards average 95-98%,
when 85% is generally considered a much safer working capacity for
these beds.</t>
  </si>
  <si>
    <t>In the period July to December 2007 57,808 incidents were reported.
The key factors that cause these adverse events are:
_x0001_ Communication
_x0001_ Policies and procedures
_x0001_ Knowledge, skills and competence issues
_x0001_ Work scheduling</t>
  </si>
  <si>
    <t>Clinical ICT is becoming an increasingly important enabler of health
system reform, yet the core systems to underpin reform are not
currently in place.</t>
  </si>
  <si>
    <t>Constraints in capital and recurrent funding, skilled project
management and implementation resources and capacity of the health
systems to accommodate large scale change all restrict the potential
speed of implementation of core systems.</t>
  </si>
  <si>
    <t>There are many competing demands for the funds that are available
for ICT. Determining priority and scheduling projects into the forward
program is complex and requires ongoing review to ensure funds
continue to be allocated in areas of greatest potential benefit.</t>
  </si>
  <si>
    <t>Page 18</t>
  </si>
  <si>
    <t>When considered collectively, the convergence of issues creates an
environment of significant risk that must be addressed. The only way NSW
Health can realistically meet these challenges is to change the way it
delivers services. NSW Health has embarked on a major clinical and
corporate reform program to address these issues. The implementation of
appropriate IT solutions to support staff and embed business processes is
critical to ensuring this change is sustainable</t>
  </si>
  <si>
    <t>Inclusion
Replacement
Procurement</t>
  </si>
  <si>
    <t>Competing demands for ICT funds
Priority determination
Project scheduling complexity</t>
  </si>
  <si>
    <t>Convergence of issues
Significant risk environment
Need for service delivery change</t>
  </si>
  <si>
    <t>Page 19</t>
  </si>
  <si>
    <t>5 Strategic Response to Key Challenges
5.1 NSW Health Strategic Framework
There are a number of key drivers that are influencing NSW Health
strategic directions. These relate to both the demand for health services,
driven by factors such as the aging population, and supply within health,
for example workforce shortages in key areas of the health system. The
wider government priorities and directions, such as the Council of
Australian Government priorities around Mental Health and Health
workforce and whole of government ICT strategies also drive the strategic
directions and investment decisions of NSW Health</t>
  </si>
  <si>
    <t>At the highest level, the Results and Services Plan sets the strategic
directions for all NSW Health Programs. This is supported by a number of
strategic programs aimed at delivering the Results and Services Plan.
The ICT Strategic Plan aims to support the Results and Services Plan by
ensuring close alignment with the reform programs and strategies
underpinning the Results and Services Plan. All levels of NSW Health
planning take into consideration the NSW whole of government and
National strategies</t>
  </si>
  <si>
    <t>Alignment with Results and Services Plan
Support for strategic programs
Alignment with reform programs
Consideration of whole-of-government strategies</t>
  </si>
  <si>
    <t>5.2 Results and Services Plan (RSP)
The RSP represents NSW Health’s primary strategic response to the
challenges faced by NSW Health. NSW Health has four primary goals:
1. To keep people healthy
2. To provide the health care that people need
3. To deliver high quality services
4. To manage health services well
These are underpinned by seven key strategic directions:
• Make prevention everybody’s business
• Create better experiences for people using health services
• Strengthen primary health and continuing care in the community
• Build regional and other partnerships for health.
Make smart choices about costs and benefits of health services
• Build a sustainable the health workforce
• Be ready for new risks and opportunities</t>
  </si>
  <si>
    <t>Page 20/21</t>
  </si>
  <si>
    <t>Page 21</t>
  </si>
  <si>
    <t>5.2.1 Strategic Goal 1: To keep people healthy
Reducing risk factors in the population is a major strategic objective for
NSW Health. NSW Health is increasing the focus on health promotion and
preventing illness and implementing strategies to increase immunisation
rates, reduce the impact of chronic disease, reduce diabetes through
interventions for people at high risk. ICT can support many of these
strategies by providing automatic alerts about risk factors, such as gaps in
immunisations, or overdue screening or check ups.'</t>
  </si>
  <si>
    <t>Page 21/22</t>
  </si>
  <si>
    <t>5.2.2 Strategic Goal 2 : To provide the healthcare people need
Health services need to be available when needed, are effective and co-
ordinated to meet each individual’s needs. ICT plays a major role in
providing the tools that are needed to underpin new models of care and
make clinical reform sustainable. Supporting information flow along the
patient journey plays a large part in improving the experience of people as
they move along the journey, and making sure that the care they receive is
appropriate</t>
  </si>
  <si>
    <t>Page 23/24</t>
  </si>
  <si>
    <t>5.2.3 Strategic Goal 3: To deliver high quality health services
There are currently three levels of government and multiple agencies
involved in funding and delivering health services, resulting in complexity
and duplication. Improved collaboration within and beyond the health
system is vital to improve the links and improve co-ordination and the
quality of services provided across the health system. ICT provides the
infrastructure and tools needed to improve this level of collaboration.
Quality and safety will also be enhanced through decision support tools for
clinicians through the Electronic Medical Record, and by more appropriate
use of resources through rostering and other HR tools.</t>
  </si>
  <si>
    <t>Page 24</t>
  </si>
  <si>
    <t>5.3 NSW and National ICT Government Drivers
The NSW Government IT environment feeds into, and, to some extent,
constrains the NSW Health ICT strategic plan. This program aims to
ensure that NSW strategic initiatives align with, and where possible have
the opportunity to inform, national and broader state initiatives</t>
  </si>
  <si>
    <t>Page 25</t>
  </si>
  <si>
    <t>5.3.1 NSW GCIO ICT Strategic Plan
The NSW Government has set new directions for IT through the NSW
Government CIO Executive Council. Primary goals include:
• Using IT to reduce back-end service costs while maintaining frontline
services
• Increasing investment in frontline service technologies
• Delivering savings through IT strategies in both capital costs and
recurrent costs
• Reducing the total cost of IT
The Government has proposed a number of new measures to achieve its
primary goals including:
• A single capital fund for IT
• A statewide IT plan
A focus on fewer software applications, shared infrastructure, common
processes and aggregated purchasing</t>
  </si>
  <si>
    <t>5.3.2 Council of Australian Governments
The Council of Australian Governments (COAG) has identified significant
areas of national interest including mental health, health workforce, action
plans for influenza pandemics and progress towards electronic health
records. ICT is an enabler for many of the COAG priorities. COAG has an
ambitious health and ageing reform agenda proposed for implementation
from 2009. This includes a program of hospital reform, improvements to
Indigenous health, chronic disease management and preventative health
care. The ICT program outlined in this strategy directly supports the COAG
reform agenda, through its focus on the implementation of systems that
will enable clinical reform in both acute and community settings.</t>
  </si>
  <si>
    <t>Page 26</t>
  </si>
  <si>
    <t>5.3.4 NEHTA
NEHTA’s primary goal is the development of national health information
management and communications technology standards and specifications.
NEHTA is progressing a number of work programs that will have a direct
impact on NSW Health’s ICT strategic plan.
These include:
eHealth interoperability: developing a Framework for Interoperability to
enable efficient and secure electronic exchange of information between
health organisations.
Clinical communications: NEHTA is undertaking a program of
standardisation of key clinical information. It is intended that the format
of, and data contained in, clinical communications such as patient referrals
and hospital discharge summaries will be standardised across all health IT
systems, according to the specifications set by NEHTA. These specifications
will be built upon existing standards, extending these as necessary. This
work includes the establishment of a common, coded clinical language
(clinical terminology).
Unique Healthcare Identifiers – This program is developing a single
National identifier for individuals accessing healthcare services, providers
within the public and private healthcare systems and health organisations.
At least initially, the individual identifier is not expected to be used as the
primary identifier by most jurisdictions.
Individual Electronic Health Record: NEHTA are preparing the data
and interoperability standards and business case for the development and
implementation of a national electronic health record.
Identity management: Standards to ensure the accurate identification
and secure access of individuals to clinical information.
Secure messaging: NEHTA is working to define national standards and
shared infrastructure to ensure that the electronic exchange of clinical
information between healthcare providers is reliable and secure.
Supply chain: NEHTA has established a National Product Catalogue (NPC)
to provide a central source of data for the purchase of healthcare products
within health departments in each State and Territory.</t>
  </si>
  <si>
    <t>Page 27</t>
  </si>
  <si>
    <t>6..1 Approach to delivery of ICT in NSW
To meet and prepare for the challenges it faces NSW Health is
implementing changes to the way it delivers services. NSW Health has
embarked on a major combined clinical and corporate and ICT reform
program to address these issues. Implementation of IT solutions to
support staff and embed business processes is critical to ensuring change
to delivery of services is sustainable</t>
  </si>
  <si>
    <t>Strategic Information Management (SIM)
SIM is responsible for the development of ICT strategy, working with
stakeholders to determine investment priorities, budget negotiation and
ensuring overall program delivery. SIM’s role includes:
• Development and maintenance of the NSW ICT Strategic Plan and
investment program
• Interface with Area Health Services and other key stakeholder
groups
• Business case development and review of Area IM&amp;T proposals
• overseeing the delivery of the IM&amp;T strategy,
• Ensuring compliance with government, Departmental and Branch
standards, architecture and policies
• Identify, assess and address the enterprise architecture needs of
NSW Health by developing and maintaining appropriate policies,
standards and procedures for information management.
• Managing, planning and developing integration strategies,
architecture, standards and policies to enable effective and
consistent integration of a wide range of systems throughout NSW
Health.</t>
  </si>
  <si>
    <t>Health Support Services
Health Support Services is responsible for the implementation and ongoing
support and maintenance of core clinical and corporate systems. Health
Support Services are responsible for providing specific clinical and
corporate IT services to the Area Health Services as defined under s126G
of the Health Services Act 1997. This includes the provision of hardware
and hardware asset management, software, application support systems
and system implementation management.</t>
  </si>
  <si>
    <t>Page 28</t>
  </si>
  <si>
    <t>Area Health Services
Area Health Services are responsible for the management of local
implementations, change management and training of staff and benefits
realisation.</t>
  </si>
  <si>
    <t>Page 31</t>
  </si>
  <si>
    <t>6.2 Approach to delivery
A portfolio management approach is used as the basis for prioritising,
selecting and monitoring programs and projects and making sound
investment decisions that provide the greatest benefit to the health system.
It is underpinned by common processes across ICT at a Departmental and
Area level. The ICT portfolio is managed within a collaborative framework
that defines:
• Processes to determine, develop and manage core, common and
divergent applications
• Application of integrated governance models at Area Health Services
and the Department
• State based build approach to core applications to support a faster,
more cost effective implementation and to underpin predictable
processes across the whole of NSW.</t>
  </si>
  <si>
    <t>Page 32</t>
  </si>
  <si>
    <t>6.4 Standard processes adopted across the ICT portfolio
Core processes and standard guidelines for operation underpin the delivery
of the ICT Strategic Plan. The processes relate to the stages of the project
lifecycle, while the guidelines identified in the diagram below apply to the
portfolio as a whole and to individual projects within the portfolio. Details
for each of these processes, guidelines and templates can be found on the
SIM website at http://internal.health.nsw.gov.au/sim</t>
  </si>
  <si>
    <t>Page 33</t>
  </si>
  <si>
    <t>6.5 A framework for Partnership
For NSW Health to effectively implement this strategy it must be done as a
collaboration between the Department of Health, Area Health Services,
Health Technology and third party providers.
There are three key components of the collaboration framework. These
are:
• Processes to determine, develop and manage core, common and
divergent applications;
• Application of integrated governance models at AHSs and the
Department;
• State based build approach to core applications to support a faster,
more cost effective implementation and to underpin predictable
processes across the whole of NSW</t>
  </si>
  <si>
    <t>6.5.1 Core, Common and Divergent
All applications and associated projects are classified as core, common or
divergent. This classification will influence how each project will be
prioritised, governed, funded, procured, implemented and managed.
Core: Applications and projects that are expected to provide all
state wide core functions. These will be directed,
controlled and funded by the Department.
Common: These applications provide common solutions across a
collaborative group. They will be controlled collaboratively
to achieve the desired outcomes for the group.
Divergent: Applications aimed at innovative solutions to localised
groups to enable design flexibility to explore new solutions
to specific requirements</t>
  </si>
  <si>
    <t>The purpose of the Project Governance framework is to ensure that
projects remain relevant and deliver the stated business benefits. Effective
governance should ensure both that the NSW Health focuses on “doing the
right projects”, and that the right people focus on “doing the projects
right”. The governance structure is intended to reduce the risk to the
portfolio that would occur if there were to be a complete disconnect
between strategy and delivery.</t>
  </si>
  <si>
    <t>Page 34/35</t>
  </si>
  <si>
    <t>Page 36</t>
  </si>
  <si>
    <t>1. Content Development
This phase is characterised by an intense design and build of a prototype,
followed by a series of clinical review sessions. A methodology for the
design and build of SBB content has previously been developed and
utilised. The Fast Track methodology leverages this approach and adds in
the more efficient prototype model. The prototype assists clinicians in
gaining a better understanding of the application and offers the opportunity
to view the process as part of an integrated workflow. This approach
facilitates informed decision-making.</t>
  </si>
  <si>
    <t>2. Implementation
The implementation phase is designed around the State defined content.
Although this introduces a large amount of content in a single project, it
achieves greater benefit and is more cost effective. The Fast Track Metho
reduces the time, cost and complexity of implementation by using a
standard design with State Build content. Resource constraints and the
extended learning curve to get AHS staff up to speed that were an inherent
part of the old methodology, are minimised by the new approach. The
implementation team assigned to the project have the application
knowledge to build the database. A rapid implementation also eliminates
the inevitable scope creep that occurs during any long IT project.</t>
  </si>
  <si>
    <t>Page 36/37</t>
  </si>
  <si>
    <t>3. SBB Maturity Model
The SBB uses a maturity model to progressively enhance the functionality
of the application as the experience and expectations of users increase.
The maturity model is based on the following principles:
• All Area Health Services contribute to the development of each version
of the SBB.
• Version 1.0 of any application is implemented as the SBB.
Enhancements can be proposed by any Area Health Service, but must
be endorsed by the majority of members of the Application Advisory
Group (AAG).
• Every Area Health Service has equal weight in the AAG.
• Every proposed change must go through a formal change control
process and be reviewed by the AAG, even those that are specific to
one Area (eg establishing the facility codes for hospitals in that Area).
• The primary function of the AAG is to consider and endorse changes
for each version of the SBB. New versions will be released on an
annual basis.
SBB functionality can be classified as:
• Required core: required content and functionality to support common
business and application functions, including standardised KPIs and
reporting and a consistent user interface for mobile staff. Required
content must be consistent across all implementations.
• Modifiable within guidelines to support area specific clinical processes,
assessments and third party applications
• Localised content where site specific information is required in the build
(eg code table for local facilities)</t>
  </si>
  <si>
    <t>Page 37/38</t>
  </si>
  <si>
    <t>Page 39</t>
  </si>
  <si>
    <t>Information &amp; Communication Technology (ICT) Strategy Priority ICT strategies
39
7 Priority ICT strategies
The ICT Strategy has been realigned with the core reform strategies of
Clinical Services Redesign and Corporate Shared Services. Five major ICT
strategies have been defined to support the broader strategic priorities.
These are the Clinical Systems Strategy, the Corporate Systems Strategy,
Business Information Strategy, Sustainable Infrastructure strategy and
Whole of Government ICT Strategic directions.
This section outlines:
• the initiatives that are being delivered in this stage of the ICT
Strategic Plan (2006-2011)
• initiatives scheduled for the second phase of the 10 year plan,
between 2012 and 2016.
7.1 Clinical Systems Strategy
7.1.1 Objective
The Clinical Systems Strategy will implement the core clinical systems
needed to underpin the Clinical Services Redesign Program, Quality and
Safety initiatives and clinical program areas.
The focus will be on systems to improve communication, minimise delays,
reduce handover problems and support the patient journey. Systems will
support the flexible allocation of resources to ensure services meet patient
needs.</t>
  </si>
  <si>
    <t>7.1.2 Programs supporting this strategy
Three programs support the Clinical Systems Strategy. These are:
• Electronic Medical Record program to implement the core
departmental systems needed to manage patients effectively in an
acute environment.
• Primary, Community and Outpatient Care program to implement
the infrastructure and systems to support patient care in the
community, outpatient and primary care environment. It includes
referrals and interaction with other human services, and the pilot for
the Electronic Health Record program.
• Clinical Support program to implement core support systems such
as Patient Administration systems and diagnostic systems.</t>
  </si>
  <si>
    <t>Page 42</t>
  </si>
  <si>
    <t>7.2 Corporate Systems Strategy
7.2.1 Objective
The Corporate Systems Strategy will implement the core systems needed
to underpin the Corporate Shared Services reform program. This program
aims to reduce the duplication and cost in administrative functions to
increase funds available for frontline care. This strategy is underpinned by
the Corporate Systems program.</t>
  </si>
  <si>
    <t>Page 43</t>
  </si>
  <si>
    <t>7.3 Business Information Strategy
7.3.1 Objectives
The Business Information Strategy aims to make a core set of high quality
information available at all levels of the organisation in a timely manner
and to develop a performance culture around it. This has the potential to
transform operational data into management insight, and support decisions
that drive real results for the Department and its stakeholders. Business
information must integrate NSW health’s strategic objectives with front line
service delivery, drive management accountability and be driven by the
overall program and change management approach</t>
  </si>
  <si>
    <t>7.3.2 Programs supporting this strategy
There are three major programs under the Business Information Strategy.
These are:
Create value for
decision makers at
the front line
The primary aim of this program is to provide
timely, relevant information in a user friendly way
to clinicians and decision makers in front line
services.
Governance and
performance
management
Aimed at integrating NSW Health’s strategic and
planning frameworks and developing overall
value and cost effectiveness performance
measures.
Enabling
infrastructure and
support
Making sure that the source systems are capable
of providing the major indicators, that the data
sets are standardised and implemented to
provide consistent information and the technical
infrastructure is in place</t>
  </si>
  <si>
    <t>Prioritization
Alignment
Monitoring</t>
  </si>
  <si>
    <t>Page 44</t>
  </si>
  <si>
    <t>7.4 Sustainable infrastructure program
7.4.1 Objectives
This program aims to rationalise the technical infrastructure and develop
and maintain standards and architecture needed to support state wide ICT
initiatives and to ensure the maximum benefit is gained from the
investment in ICT.</t>
  </si>
  <si>
    <t>7.4.2 Programs supporting this strategy
The infrastructure strategy incorporates the following programs:
Infrastructure Defining and implementing the
telecommunications and technical infrastructure
to support the clinical and corporate strategies.
Architecture and
Standards
Providing the enterprise architecture enterprise
integration layer and core technical standards
required to manage NSW information assets.
Information
management
Ensuring that uniform data standards are
developed and applied across state based builds
and other systems as appropriate and that data
quality strategies are in place to ensure
maximum value from the information collected
across NSW.</t>
  </si>
  <si>
    <t>Infrastructure coherence
Standard adherence
Data quality</t>
  </si>
  <si>
    <t>Corporate reform program
ICT reform program
Implementation of IT solutions</t>
  </si>
  <si>
    <t>Development of ICT strategy
Investment priorities
Budget negotiation
Program delivery</t>
  </si>
  <si>
    <t>Alignment
Effectiveness
Integration
Sustainability
Compliance</t>
  </si>
  <si>
    <t>Support for users
Alignment with initiatives
Cost savings</t>
  </si>
  <si>
    <t>User optimization
Information accessibility
Time efficiency</t>
  </si>
  <si>
    <t>Staff shortages
Critical areas
User capacity</t>
  </si>
  <si>
    <t>Knowledge management
IT system advancement</t>
  </si>
  <si>
    <t>Expensive technologies
Costly materials</t>
  </si>
  <si>
    <t>Informed consumers
High expectations
Complex needs problems</t>
  </si>
  <si>
    <t>Lack of core ICT systems
System reform</t>
  </si>
  <si>
    <t>Demand for services
Workforce shortages
Government priorities
ICT strategies</t>
  </si>
  <si>
    <t>Availability of services
Effectiveness of services
Coordination of care
Supporting new care models
Sustainability of reform
Information flow along consumer journey
Consumer experience improvement
Appropriate consumer delivery</t>
  </si>
  <si>
    <t>Complexity and duplication in service delivery
Need for improved collaboration
Enhancement of coordination
Quality and safety improvement
Appropriate resource utilization</t>
  </si>
  <si>
    <t>Constraints and opportunities
Alignment with national initiatives</t>
  </si>
  <si>
    <t>New directions for IT
Primary goals of Executive Council</t>
  </si>
  <si>
    <t>Collaboration across jurisdictions
Consistency in systems approaches
National information network
Regulatory frameworks</t>
  </si>
  <si>
    <t>Prioritization of programs and projects
Sound investment decisions
Benefit to the organization
Common processes across ICT
Collaborative framework</t>
  </si>
  <si>
    <t>Standardizing processes across ICT
Guidelines application</t>
  </si>
  <si>
    <t>Collaborative implementation
Integration of governance models
Consistency in application development</t>
  </si>
  <si>
    <t>Development process
Integration with existing methodology
Informed decision-making</t>
  </si>
  <si>
    <t>Large content management
Resource constraints
Skills / Training
Scope creep</t>
  </si>
  <si>
    <t>Equal system participation
Change control process
Core functionality vs area-specific needs</t>
  </si>
  <si>
    <t>Management of programs
Integration of systems
Compatibility between systems</t>
  </si>
  <si>
    <t>Integration of unified systems
Disruption to processes
Data security
Data privacy</t>
  </si>
  <si>
    <t>Reducing risk factors
Preventing consumer issues
Interventions for high-risk consumers</t>
  </si>
  <si>
    <t>Implementation timeline
Systems implementation
Support for Consumers
Management information</t>
  </si>
  <si>
    <t>Collaboration
Consumer support
Employee management</t>
  </si>
  <si>
    <t>Disparate systems</t>
  </si>
  <si>
    <t>Duplication</t>
  </si>
  <si>
    <t>Outdated infrastructure</t>
  </si>
  <si>
    <t>Data sharing</t>
  </si>
  <si>
    <t>Performance monitoring</t>
  </si>
  <si>
    <t>Maintenance costs</t>
  </si>
  <si>
    <t>Sustainability</t>
  </si>
  <si>
    <t>Program effectiveness</t>
  </si>
  <si>
    <t>Fragmentation</t>
  </si>
  <si>
    <t>Outdated systems</t>
  </si>
  <si>
    <t>Alignment</t>
  </si>
  <si>
    <t>Effectiveness</t>
  </si>
  <si>
    <t>Integration</t>
  </si>
  <si>
    <t>Compliance</t>
  </si>
  <si>
    <t>Access to information</t>
  </si>
  <si>
    <t>Consistency</t>
  </si>
  <si>
    <t>Predictability</t>
  </si>
  <si>
    <t>Collaboration</t>
  </si>
  <si>
    <t>Interoperability</t>
  </si>
  <si>
    <t>Information flow</t>
  </si>
  <si>
    <t>Efficient structures</t>
  </si>
  <si>
    <t>Governance</t>
  </si>
  <si>
    <t>Minimizing impact</t>
  </si>
  <si>
    <t>Streamlined training processes</t>
  </si>
  <si>
    <t>Support for users</t>
  </si>
  <si>
    <t>Alignment with initiatives</t>
  </si>
  <si>
    <t>Cost savings</t>
  </si>
  <si>
    <t>ICT Alignment</t>
  </si>
  <si>
    <t>Investment plans</t>
  </si>
  <si>
    <t>Dependency</t>
  </si>
  <si>
    <t>Risk Identification</t>
  </si>
  <si>
    <t>Evaluation criteria</t>
  </si>
  <si>
    <t>Inclusion</t>
  </si>
  <si>
    <t>Replacement</t>
  </si>
  <si>
    <t>Procurement</t>
  </si>
  <si>
    <t>Implementation timeline</t>
  </si>
  <si>
    <t>Systems implementation</t>
  </si>
  <si>
    <t>Support for Consumers</t>
  </si>
  <si>
    <t>Management information</t>
  </si>
  <si>
    <t>Consumer support</t>
  </si>
  <si>
    <t>Employee management</t>
  </si>
  <si>
    <t>User optimization</t>
  </si>
  <si>
    <t>Information accessibility</t>
  </si>
  <si>
    <t>Time efficiency</t>
  </si>
  <si>
    <t>Resource management</t>
  </si>
  <si>
    <t>Capacity optimization</t>
  </si>
  <si>
    <t>Resource availability</t>
  </si>
  <si>
    <t>Financial management</t>
  </si>
  <si>
    <t>Funding availability</t>
  </si>
  <si>
    <t>Workflow improvement</t>
  </si>
  <si>
    <t>Decision support</t>
  </si>
  <si>
    <t>Integration of core systems</t>
  </si>
  <si>
    <t>Communication</t>
  </si>
  <si>
    <t>Standardized information access</t>
  </si>
  <si>
    <t>Resource utilization</t>
  </si>
  <si>
    <t>Management of future demand</t>
  </si>
  <si>
    <t>Increased services demand</t>
  </si>
  <si>
    <t>System projections</t>
  </si>
  <si>
    <t>Staff shortages</t>
  </si>
  <si>
    <t>Critical areas</t>
  </si>
  <si>
    <t>User capacity</t>
  </si>
  <si>
    <t>Increase database</t>
  </si>
  <si>
    <t>Future system demand</t>
  </si>
  <si>
    <t>Knowledge management</t>
  </si>
  <si>
    <t>IT system advancement</t>
  </si>
  <si>
    <t>Expensive technologies</t>
  </si>
  <si>
    <t>Costly materials</t>
  </si>
  <si>
    <t>Informed consumers</t>
  </si>
  <si>
    <t>High expectations</t>
  </si>
  <si>
    <t>Complex needs problems</t>
  </si>
  <si>
    <t>High user rates</t>
  </si>
  <si>
    <t>Safe working capacity</t>
  </si>
  <si>
    <t>Lack of core ICT systems</t>
  </si>
  <si>
    <t>System reform</t>
  </si>
  <si>
    <t>Constraints in funding</t>
  </si>
  <si>
    <t>Skilled project management</t>
  </si>
  <si>
    <t>Capacity for large-scale change</t>
  </si>
  <si>
    <t>Competing demands for ICT funds</t>
  </si>
  <si>
    <t>Priority determination</t>
  </si>
  <si>
    <t>Project scheduling complexity</t>
  </si>
  <si>
    <t>Convergence of issues</t>
  </si>
  <si>
    <t>Significant risk environment</t>
  </si>
  <si>
    <t>Need for service delivery change</t>
  </si>
  <si>
    <t>Demand for services</t>
  </si>
  <si>
    <t>Workforce shortages</t>
  </si>
  <si>
    <t>Government priorities</t>
  </si>
  <si>
    <t>ICT strategies</t>
  </si>
  <si>
    <t>Alignment with Results and Services Plan</t>
  </si>
  <si>
    <t>Support for strategic programs</t>
  </si>
  <si>
    <t>Alignment with reform programs</t>
  </si>
  <si>
    <t>Consideration of whole-of-government strategies</t>
  </si>
  <si>
    <t>Reducing risk factors</t>
  </si>
  <si>
    <t>Preventing consumer issues</t>
  </si>
  <si>
    <t>Interventions for high-risk consumers</t>
  </si>
  <si>
    <t>Availability of services</t>
  </si>
  <si>
    <t>Effectiveness of services</t>
  </si>
  <si>
    <t>Coordination of care</t>
  </si>
  <si>
    <t>Supporting new care models</t>
  </si>
  <si>
    <t>Sustainability of reform</t>
  </si>
  <si>
    <t>Information flow along consumer journey</t>
  </si>
  <si>
    <t>Consumer experience improvement</t>
  </si>
  <si>
    <t>Appropriate consumer delivery</t>
  </si>
  <si>
    <t>Complexity and duplication in service delivery</t>
  </si>
  <si>
    <t>Need for improved collaboration</t>
  </si>
  <si>
    <t>Enhancement of coordination</t>
  </si>
  <si>
    <t>Quality and safety improvement</t>
  </si>
  <si>
    <t>Appropriate resource utilization</t>
  </si>
  <si>
    <t>Constraints and opportunities</t>
  </si>
  <si>
    <t>Alignment with national initiatives</t>
  </si>
  <si>
    <t>New directions for IT</t>
  </si>
  <si>
    <t>Primary goals of Executive Council</t>
  </si>
  <si>
    <t>Reform agenda</t>
  </si>
  <si>
    <t>Business reform</t>
  </si>
  <si>
    <t>Improvements to Indigenous consumers</t>
  </si>
  <si>
    <t>Preventative services</t>
  </si>
  <si>
    <t>Collaboration across jurisdictions</t>
  </si>
  <si>
    <t>Consistency in systems approaches</t>
  </si>
  <si>
    <t>National information network</t>
  </si>
  <si>
    <t>Regulatory frameworks</t>
  </si>
  <si>
    <t>ICT standards</t>
  </si>
  <si>
    <t>ICT strategic plan</t>
  </si>
  <si>
    <t>Unique Identifiers</t>
  </si>
  <si>
    <t>Individual Electronic Record</t>
  </si>
  <si>
    <t>Identity management standards</t>
  </si>
  <si>
    <t>Secure messaging</t>
  </si>
  <si>
    <t>Supply chain management</t>
  </si>
  <si>
    <t>Corporate reform program</t>
  </si>
  <si>
    <t>ICT reform program</t>
  </si>
  <si>
    <t>Implementation of IT solutions</t>
  </si>
  <si>
    <t>Development of ICT strategy</t>
  </si>
  <si>
    <t>Investment priorities</t>
  </si>
  <si>
    <t>Budget negotiation</t>
  </si>
  <si>
    <t>Program delivery</t>
  </si>
  <si>
    <t>Responsibilities of Support Services</t>
  </si>
  <si>
    <t>Implementation of system</t>
  </si>
  <si>
    <t>Hardware management</t>
  </si>
  <si>
    <t>Software management</t>
  </si>
  <si>
    <t>Local implementations</t>
  </si>
  <si>
    <t>Change management</t>
  </si>
  <si>
    <t>Staff training</t>
  </si>
  <si>
    <t>Benefits realization</t>
  </si>
  <si>
    <t>Prioritization of programs and projects</t>
  </si>
  <si>
    <t>Sound investment decisions</t>
  </si>
  <si>
    <t>Benefit to the organization</t>
  </si>
  <si>
    <t>Common processes across ICT</t>
  </si>
  <si>
    <t>Collaborative framework</t>
  </si>
  <si>
    <t>Achieving business priorities</t>
  </si>
  <si>
    <t>Standardizing processes across ICT</t>
  </si>
  <si>
    <t>Guidelines application</t>
  </si>
  <si>
    <t>Collaborative implementation</t>
  </si>
  <si>
    <t>Integration of governance models</t>
  </si>
  <si>
    <t>Consistency in application development</t>
  </si>
  <si>
    <t>Classification of applications</t>
  </si>
  <si>
    <t>Management of applications</t>
  </si>
  <si>
    <t>Achieving outcomes</t>
  </si>
  <si>
    <t>Alignment with business benefits</t>
  </si>
  <si>
    <t>Disconnect of strategy and implementation</t>
  </si>
  <si>
    <t>Development process</t>
  </si>
  <si>
    <t>Integration with existing methodology</t>
  </si>
  <si>
    <t>Informed decision-making</t>
  </si>
  <si>
    <t>Large content management</t>
  </si>
  <si>
    <t>Resource constraints</t>
  </si>
  <si>
    <t>Skills / Training</t>
  </si>
  <si>
    <t>Scope creep</t>
  </si>
  <si>
    <t>Equal system participation</t>
  </si>
  <si>
    <t>Change control process</t>
  </si>
  <si>
    <t>Core functionality vs area-specific needs</t>
  </si>
  <si>
    <t>Implementation delays</t>
  </si>
  <si>
    <t>Allocation of resources</t>
  </si>
  <si>
    <t>Management of programs</t>
  </si>
  <si>
    <t>Integration of systems</t>
  </si>
  <si>
    <t>Compatibility between systems</t>
  </si>
  <si>
    <t>Integration of unified systems</t>
  </si>
  <si>
    <t>Disruption to processes</t>
  </si>
  <si>
    <t>Data security</t>
  </si>
  <si>
    <t>Data privacy</t>
  </si>
  <si>
    <t>Timeliness</t>
  </si>
  <si>
    <t>Accuracy of data</t>
  </si>
  <si>
    <t>Accuracy of Reporting</t>
  </si>
  <si>
    <t>Integration of data</t>
  </si>
  <si>
    <t>Unified platform</t>
  </si>
  <si>
    <t>Data accessibility</t>
  </si>
  <si>
    <t>Prioritization</t>
  </si>
  <si>
    <t>Monitoring</t>
  </si>
  <si>
    <t>Infrastructure efficiency</t>
  </si>
  <si>
    <t>Resource optimization</t>
  </si>
  <si>
    <t>Infrastructure coherence</t>
  </si>
  <si>
    <t>Standard adherence</t>
  </si>
  <si>
    <t>Data quality</t>
  </si>
  <si>
    <t>Fragmentation
Outdated systems
Compatibility</t>
  </si>
  <si>
    <t>Access to information
Consistency
Predictability</t>
  </si>
  <si>
    <t>Efficient structures
System deployment &amp; Integration
Sustainability
Minimizing impact
Streamlined training processes</t>
  </si>
  <si>
    <t>ICT Alignment
Governance
Investment plans
Business strategy</t>
  </si>
  <si>
    <t>ICT Alignment
Risk Identification
Dependency</t>
  </si>
  <si>
    <t>Resource management
Capacity optimization
Planning</t>
  </si>
  <si>
    <t>Integrated analysis &amp; System outcome indicators
Resource availability
Financial management</t>
  </si>
  <si>
    <t>Priority areas &amp; Resource allocation
Funding availability
Core function delivery &amp; Urgent issue resolution</t>
  </si>
  <si>
    <t>Integration of core systems
Information accessibility
Resource management</t>
  </si>
  <si>
    <t>Increased services demand
Service delivery
System projections</t>
  </si>
  <si>
    <t>Quality &amp; Safety standards
High user rates
Safe working capacity</t>
  </si>
  <si>
    <t>Communication
Policies &amp; Procedures
Skills and competence
Work scheduling</t>
  </si>
  <si>
    <t>Constraints in funding
Skilled project management
Capacity for large-scale change</t>
  </si>
  <si>
    <t>System Support</t>
  </si>
  <si>
    <t>Compatibility</t>
  </si>
  <si>
    <t>System deployment &amp; Integration</t>
  </si>
  <si>
    <t>Business strategy</t>
  </si>
  <si>
    <t>Planning</t>
  </si>
  <si>
    <t>Integrated analysis &amp; System outcome indicators</t>
  </si>
  <si>
    <t>Priority areas &amp; Resource allocation</t>
  </si>
  <si>
    <t>Core function delivery &amp; Urgent issue resolution</t>
  </si>
  <si>
    <t>Service delivery</t>
  </si>
  <si>
    <t>Rising system usage</t>
  </si>
  <si>
    <t>Quality &amp; Safety standards</t>
  </si>
  <si>
    <t>Policies &amp; Procedures</t>
  </si>
  <si>
    <t>Skills and competence</t>
  </si>
  <si>
    <t>Work scheduling</t>
  </si>
  <si>
    <t>Preventative solutions</t>
  </si>
  <si>
    <t>User experience</t>
  </si>
  <si>
    <t>Future benefits</t>
  </si>
  <si>
    <t>Strengthening relationships</t>
  </si>
  <si>
    <t>Costs of services</t>
  </si>
  <si>
    <t>Sustainable Workforce</t>
  </si>
  <si>
    <t>New risk potential</t>
  </si>
  <si>
    <t>Maintenance of systems</t>
  </si>
  <si>
    <t>Responsibilities of Services</t>
  </si>
  <si>
    <t>Standardized information</t>
  </si>
  <si>
    <t>High standards</t>
  </si>
  <si>
    <t>Capacity planning</t>
  </si>
  <si>
    <t>Streamlined processes</t>
  </si>
  <si>
    <t>Modernization</t>
  </si>
  <si>
    <t>Secure exchange</t>
  </si>
  <si>
    <t>Analytics tools</t>
  </si>
  <si>
    <t>Budget control</t>
  </si>
  <si>
    <t>Green practices</t>
  </si>
  <si>
    <t>KPI tracking</t>
  </si>
  <si>
    <t>Helpdesk services</t>
  </si>
  <si>
    <t>Centralized management</t>
  </si>
  <si>
    <t>Upgrades</t>
  </si>
  <si>
    <t>Standard protocols</t>
  </si>
  <si>
    <t>Strategic fit</t>
  </si>
  <si>
    <t>Performance review</t>
  </si>
  <si>
    <t>System unification</t>
  </si>
  <si>
    <t>Regulatory adherence</t>
  </si>
  <si>
    <t>User portals</t>
  </si>
  <si>
    <t>Standard procedures</t>
  </si>
  <si>
    <t>Forecasting models</t>
  </si>
  <si>
    <t>Teamwork tools</t>
  </si>
  <si>
    <t>API integration</t>
  </si>
  <si>
    <t>Data pipelines</t>
  </si>
  <si>
    <t>Lean management</t>
  </si>
  <si>
    <t>Project management</t>
  </si>
  <si>
    <t>Mitigation strategies</t>
  </si>
  <si>
    <t>E-learning</t>
  </si>
  <si>
    <t>User training</t>
  </si>
  <si>
    <t>Goal alignment</t>
  </si>
  <si>
    <t>Expense reduction</t>
  </si>
  <si>
    <t>IT strategy</t>
  </si>
  <si>
    <t>Policy framework</t>
  </si>
  <si>
    <t>Capital allocation</t>
  </si>
  <si>
    <t>Market analysis</t>
  </si>
  <si>
    <t>Risk assessment</t>
  </si>
  <si>
    <t>Contingency planning</t>
  </si>
  <si>
    <t>Performance metrics</t>
  </si>
  <si>
    <t>Diversity programs</t>
  </si>
  <si>
    <t>System swaps</t>
  </si>
  <si>
    <t>Vendor management</t>
  </si>
  <si>
    <t>Schedule adherence</t>
  </si>
  <si>
    <t>Rollout plan</t>
  </si>
  <si>
    <t>Customer service</t>
  </si>
  <si>
    <t>BI systems</t>
  </si>
  <si>
    <t>Helpdesk</t>
  </si>
  <si>
    <t>HR systems</t>
  </si>
  <si>
    <t>UX design</t>
  </si>
  <si>
    <t>Open data</t>
  </si>
  <si>
    <t>Time tracking</t>
  </si>
  <si>
    <t>Asset allocation</t>
  </si>
  <si>
    <t>Utilization metrics</t>
  </si>
  <si>
    <t>Roadmap creation</t>
  </si>
  <si>
    <t>BI dashboards</t>
  </si>
  <si>
    <t>Inventory tracking</t>
  </si>
  <si>
    <t>Accounting software</t>
  </si>
  <si>
    <t>Strategic planning</t>
  </si>
  <si>
    <t>Budgeting</t>
  </si>
  <si>
    <t>Crisis management</t>
  </si>
  <si>
    <t>Process optimization</t>
  </si>
  <si>
    <t>AI tools</t>
  </si>
  <si>
    <t>Middleware</t>
  </si>
  <si>
    <t>Data governance</t>
  </si>
  <si>
    <t>Collaboration tools</t>
  </si>
  <si>
    <t>Uniform interfaces</t>
  </si>
  <si>
    <t>Efficient usage</t>
  </si>
  <si>
    <t>Forecasting</t>
  </si>
  <si>
    <t>Scalability</t>
  </si>
  <si>
    <t>Operational efficiency</t>
  </si>
  <si>
    <t>Futureproofing</t>
  </si>
  <si>
    <t>Recruitment</t>
  </si>
  <si>
    <t>Focus areas</t>
  </si>
  <si>
    <t>Data expansion</t>
  </si>
  <si>
    <t>Load balancing</t>
  </si>
  <si>
    <t>Knowledge base</t>
  </si>
  <si>
    <t>Technological innovation</t>
  </si>
  <si>
    <t>Cost-benefit analysis</t>
  </si>
  <si>
    <t>Cost control</t>
  </si>
  <si>
    <t>Education</t>
  </si>
  <si>
    <t>Customer satisfaction</t>
  </si>
  <si>
    <t>Problem-solving</t>
  </si>
  <si>
    <t>Compliance audits</t>
  </si>
  <si>
    <t>Load testing</t>
  </si>
  <si>
    <t>Occupational safety</t>
  </si>
  <si>
    <t>SOPs</t>
  </si>
  <si>
    <t>Training programs</t>
  </si>
  <si>
    <t>Roster management</t>
  </si>
  <si>
    <t>System investment</t>
  </si>
  <si>
    <t>Overhaul</t>
  </si>
  <si>
    <t>Budget reallocation</t>
  </si>
  <si>
    <t>PMP certification</t>
  </si>
  <si>
    <t>Value assessment</t>
  </si>
  <si>
    <t>Gantt charts</t>
  </si>
  <si>
    <t>Problem clustering</t>
  </si>
  <si>
    <t>Risk mitigation</t>
  </si>
  <si>
    <t>Transformation</t>
  </si>
  <si>
    <t>Talent acquisition</t>
  </si>
  <si>
    <t>Policy alignment</t>
  </si>
  <si>
    <t>IT roadmaps</t>
  </si>
  <si>
    <t>Strategic backing</t>
  </si>
  <si>
    <t>Change alignment</t>
  </si>
  <si>
    <t>Holistic approach</t>
  </si>
  <si>
    <t>Proactive measures</t>
  </si>
  <si>
    <t>Long-term planning</t>
  </si>
  <si>
    <t>Stakeholder engagement</t>
  </si>
  <si>
    <t>Expense management</t>
  </si>
  <si>
    <t>HR planning</t>
  </si>
  <si>
    <t>Risk forecasting</t>
  </si>
  <si>
    <t>Preventive measures</t>
  </si>
  <si>
    <t>Customer care</t>
  </si>
  <si>
    <t>Targeted support</t>
  </si>
  <si>
    <t>Service uptime</t>
  </si>
  <si>
    <t>Integrated care</t>
  </si>
  <si>
    <t>Innovative healthcare</t>
  </si>
  <si>
    <t>Continuous improvement</t>
  </si>
  <si>
    <t>Data mapping</t>
  </si>
  <si>
    <t>UX enhancement</t>
  </si>
  <si>
    <t>Tailored services</t>
  </si>
  <si>
    <t>Process simplification</t>
  </si>
  <si>
    <t>Teamwork enhancement</t>
  </si>
  <si>
    <t>Integrated systems</t>
  </si>
  <si>
    <t>Quality assurance</t>
  </si>
  <si>
    <t>Optimal allocation</t>
  </si>
  <si>
    <t>SWOT analysis</t>
  </si>
  <si>
    <t>Policy coherence</t>
  </si>
  <si>
    <t>Tech trends</t>
  </si>
  <si>
    <t>Leadership vision</t>
  </si>
  <si>
    <t>Change strategy</t>
  </si>
  <si>
    <t>Organizational change</t>
  </si>
  <si>
    <t>Inclusive services</t>
  </si>
  <si>
    <t>Early intervention</t>
  </si>
  <si>
    <t>Cross-border teamwork</t>
  </si>
  <si>
    <t>Uniform methods</t>
  </si>
  <si>
    <t>Centralized data</t>
  </si>
  <si>
    <t>Legal compliance</t>
  </si>
  <si>
    <t>Protocol adherence</t>
  </si>
  <si>
    <t>IT blueprint</t>
  </si>
  <si>
    <t>Identity codes</t>
  </si>
  <si>
    <t>Personal data</t>
  </si>
  <si>
    <t>Security protocols</t>
  </si>
  <si>
    <t>Encrypted communication</t>
  </si>
  <si>
    <t>Logistics control</t>
  </si>
  <si>
    <t>Business transformation</t>
  </si>
  <si>
    <t>IT overhaul</t>
  </si>
  <si>
    <t>Tech deployment</t>
  </si>
  <si>
    <t>IT planning</t>
  </si>
  <si>
    <t>Capital focus</t>
  </si>
  <si>
    <t>Financial planning</t>
  </si>
  <si>
    <t>Execution</t>
  </si>
  <si>
    <t>Service scope</t>
  </si>
  <si>
    <t>System rollout</t>
  </si>
  <si>
    <t>Upkeep</t>
  </si>
  <si>
    <t>Device control</t>
  </si>
  <si>
    <t>Application administration</t>
  </si>
  <si>
    <t>Service tasks</t>
  </si>
  <si>
    <t>Regional rollout</t>
  </si>
  <si>
    <t>Transition planning</t>
  </si>
  <si>
    <t>Employee development</t>
  </si>
  <si>
    <t>Outcome tracking</t>
  </si>
  <si>
    <t>Strategic focus</t>
  </si>
  <si>
    <t>ROI analysis</t>
  </si>
  <si>
    <t>Value creation</t>
  </si>
  <si>
    <t>Standardization</t>
  </si>
  <si>
    <t>Team structure</t>
  </si>
  <si>
    <t>Goal fulfillment</t>
  </si>
  <si>
    <t>Best practices</t>
  </si>
  <si>
    <t>Joint execution</t>
  </si>
  <si>
    <t>Unified policies</t>
  </si>
  <si>
    <t>Standard coding</t>
  </si>
  <si>
    <t>App taxonomy</t>
  </si>
  <si>
    <t>App lifecycle</t>
  </si>
  <si>
    <t>Results tracking</t>
  </si>
  <si>
    <t>Strategic alignment</t>
  </si>
  <si>
    <t>Execution gap</t>
  </si>
  <si>
    <t>Workflow</t>
  </si>
  <si>
    <t>Seamless adoption</t>
  </si>
  <si>
    <t>Data-driven choices</t>
  </si>
  <si>
    <t>CMS</t>
  </si>
  <si>
    <t>Limited resources</t>
  </si>
  <si>
    <t>Competence building</t>
  </si>
  <si>
    <t>Project control</t>
  </si>
  <si>
    <t>Inclusive access</t>
  </si>
  <si>
    <t>Process governance</t>
  </si>
  <si>
    <t>Customization</t>
  </si>
  <si>
    <t>Time management</t>
  </si>
  <si>
    <t>Resource planning</t>
  </si>
  <si>
    <t>Program oversight</t>
  </si>
  <si>
    <t>System merger</t>
  </si>
  <si>
    <t>System harmony</t>
  </si>
  <si>
    <t>Single platform</t>
  </si>
  <si>
    <t>Smooth transitions</t>
  </si>
  <si>
    <t>Protection</t>
  </si>
  <si>
    <t>Confidentiality</t>
  </si>
  <si>
    <t>Punctuality</t>
  </si>
  <si>
    <t>Data integrity</t>
  </si>
  <si>
    <t>Precise reports</t>
  </si>
  <si>
    <t>Data fusion</t>
  </si>
  <si>
    <t>Single interface</t>
  </si>
  <si>
    <t>Easy access</t>
  </si>
  <si>
    <t>Task ranking</t>
  </si>
  <si>
    <t>Supervision</t>
  </si>
  <si>
    <t>Optimal systems</t>
  </si>
  <si>
    <t>Best use</t>
  </si>
  <si>
    <t>Protocol compliance</t>
  </si>
  <si>
    <t>Centralized management
Upgrades
Standard protocols</t>
  </si>
  <si>
    <t>Strategic fit
Performance review
System unification
Green practices
Regulatory adherence</t>
  </si>
  <si>
    <t>User portals
Standard procedures
Forecasting models</t>
  </si>
  <si>
    <t>Lean management
Project management
Green practices
Mitigation strategies
E-learning</t>
  </si>
  <si>
    <t>User training
Goal alignment
Expense reduction</t>
  </si>
  <si>
    <t>IT strategy
Policy framework
Capital allocation
Market analysis</t>
  </si>
  <si>
    <t>IT strategy
Risk assessment
Contingency planning</t>
  </si>
  <si>
    <t>Diversity programs
System swaps
Vendor management</t>
  </si>
  <si>
    <t>Schedule adherence
Rollout plan
Customer service
BI systems</t>
  </si>
  <si>
    <t>Teamwork tools
Helpdesk
HR systems</t>
  </si>
  <si>
    <t>UX design
Open data
Time tracking</t>
  </si>
  <si>
    <t>Asset allocation
Utilization metrics
Roadmap creation</t>
  </si>
  <si>
    <t>BI dashboards
Inventory tracking
Accounting software</t>
  </si>
  <si>
    <t>Strategic planning
Budgeting
Crisis management</t>
  </si>
  <si>
    <t>Middleware
Open data
Asset allocation</t>
  </si>
  <si>
    <t>Scalability
Operational efficiency
Futureproofing</t>
  </si>
  <si>
    <t>Recruitment
Focus areas
Data expansion</t>
  </si>
  <si>
    <t>Technological innovation
Cost-benefit analysis</t>
  </si>
  <si>
    <t>Cost control
Education</t>
  </si>
  <si>
    <t>Customer satisfaction
Problem-solving
Compliance audits</t>
  </si>
  <si>
    <t>Load testing
Occupational safety
SOPs</t>
  </si>
  <si>
    <t>Collaboration tools
Training programs
Roster management
System investment</t>
  </si>
  <si>
    <t>Overhaul
Budget reallocation</t>
  </si>
  <si>
    <t>PMP certification
Change management
Prioritization</t>
  </si>
  <si>
    <t>Value assessment
Gantt charts
Problem clustering</t>
  </si>
  <si>
    <t>Risk mitigation
Transformation
Talent acquisition</t>
  </si>
  <si>
    <t>Policy alignment
Talent acquisition
Policy alignment
IT roadmaps</t>
  </si>
  <si>
    <t>Goal alignment
Strategic backing
Change alignment
Holistic approach</t>
  </si>
  <si>
    <t>Preventive measures
Customer care
Targeted support</t>
  </si>
  <si>
    <t>Service uptime
Performance metrics
Integrated care
Innovative healthcare
Continuous improvement
Data mapping
UX enhancement
Tailored services</t>
  </si>
  <si>
    <t>Process simplification
Teamwork enhancement
Integrated systems
Quality assurance
Optimal allocation</t>
  </si>
  <si>
    <t>SWOT analysis
Policy coherence</t>
  </si>
  <si>
    <t>Tech trends
Leadership vision</t>
  </si>
  <si>
    <t>Cross-border teamwork
Uniform methods
Centralized data
Legal compliance</t>
  </si>
  <si>
    <t>Business transformation
IT overhaul
Tech deployment</t>
  </si>
  <si>
    <t>IT planning
Capital focus
Financial planning
Execution</t>
  </si>
  <si>
    <t>Strategic focus
ROI analysis
Value creation
Standardization
Team structure</t>
  </si>
  <si>
    <t>Uniform methods
Best practices</t>
  </si>
  <si>
    <t>Joint execution
Unified policies
Standard coding</t>
  </si>
  <si>
    <t>Workflow
Seamless adoption
Data-driven choices</t>
  </si>
  <si>
    <t>CMS
Limited resources
Competence building
Project control</t>
  </si>
  <si>
    <t>Inclusive access
Process governance
Customization</t>
  </si>
  <si>
    <t>Program oversight
System merger
System harmony</t>
  </si>
  <si>
    <t>Single platform
Smooth transitions
Protection
Confidentiality</t>
  </si>
  <si>
    <t>Task ranking
Strategic fit
Supervision</t>
  </si>
  <si>
    <t>Protocol compliance
High standards
High standards</t>
  </si>
  <si>
    <t>Increase database
Rising system usage
Future system demand</t>
  </si>
  <si>
    <t>Load balancing
Capacity planning
Knowledge base</t>
  </si>
  <si>
    <t>Preventative solutions
User experience
Future benefits
Strengthening relationships
Costs of services
Sustainable Workforce
New risk potential</t>
  </si>
  <si>
    <t>Proactive measures
UX design
Long-term planning
Stakeholder engagement
Expense management
HR planning
Risk forecasting</t>
  </si>
  <si>
    <t>ICT standards
ICT strategic plan
Interoperability
Standardized information
Unique Identifiers
Individual Electronic Record
Identity management standards
Secure messaging
Supply chain management</t>
  </si>
  <si>
    <t>Responsibilities of Support Services
Implementation of system
Maintenance of systems
Support for Consumers
Hardware management
Software management</t>
  </si>
  <si>
    <t>Responsibilities of Services
Local implementations
Change management
Staff training
Benefits realization</t>
  </si>
  <si>
    <t>Evaluation criteria
Prioritization
Monitoring
Achieving business priorities</t>
  </si>
  <si>
    <t>Classification of applications
Management of applications
Resource management
Achieving outcomes</t>
  </si>
  <si>
    <t>Alignment with business benefits
Risk Identification
Disconnect of strategy and implementation</t>
  </si>
  <si>
    <t>Alignment
Implementation delays
Allocation of resources</t>
  </si>
  <si>
    <t>Infrastructure efficiency
Standardized information
Resource optimization</t>
  </si>
  <si>
    <t>Protocol adherence
IT blueprint
API integration
Data governance
Identity codes
Personal data
Security protocols
Encrypted communication
Logistics control</t>
  </si>
  <si>
    <t>Service scope
System rollout
Upkeep
Customer service
Device control
Application administration</t>
  </si>
  <si>
    <t>Service tasks
Regional rollout
Transition planning
Employee development
Outcome tracking</t>
  </si>
  <si>
    <t>Performance metrics
Task ranking
Supervision
Goal fulfillment</t>
  </si>
  <si>
    <t>App taxonomy
App lifecycle
Asset allocation
Results tracking</t>
  </si>
  <si>
    <t>Strategic alignment
Risk assessment
Execution gap</t>
  </si>
  <si>
    <t>Strategic fit
Time management
Resource planning</t>
  </si>
  <si>
    <t>Optimal systems
Data governance
Best use</t>
  </si>
  <si>
    <t>Timeliness
Accuracy of data
Accuracy of Reporting
Integration of data
Unified platform
Data accessibility
Data privacy</t>
  </si>
  <si>
    <t>Punctuality
Data integrity
Precise reports
Data fusion
Single interface
Easy access
Confidentiality</t>
  </si>
  <si>
    <t>Extract</t>
  </si>
  <si>
    <t>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t>
  </si>
  <si>
    <t>Because of all this, it's hard to share patient info and coordinate care properly. Managers struggle to get accurate info on how well the systems are doing. And keeping them running costs a lot of money.</t>
  </si>
  <si>
    <t>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t>
  </si>
  <si>
    <t>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t>
  </si>
  <si>
    <t>Clinical Systems Strategy
Corporate Systems Strategy
Business Information Strategy
Sustainable Infrastructure Strategy
Whole of Government ICT Strategic Directions</t>
  </si>
  <si>
    <t>They're making care safer and better by giving clinicians the info they need and setting up systems for consistent, predictable processes across the state.</t>
  </si>
  <si>
    <t>They're improving teamwork among health agencies in NSW, as well as with private companies and nationally, so everyone can work together better. This means info flows more smoothly, helping patients and making things more efficient.</t>
  </si>
  <si>
    <t>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t>
  </si>
  <si>
    <t>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t>
  </si>
  <si>
    <t>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t>
  </si>
  <si>
    <t>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t>
  </si>
  <si>
    <t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t>
  </si>
  <si>
    <t>They should only add new projects to their investment plan. When it's time to replace old systems, they can handle it through contracts with vendors.</t>
  </si>
  <si>
    <t>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t>
  </si>
  <si>
    <t>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t>
  </si>
  <si>
    <t>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t>
  </si>
  <si>
    <t>Nursing Unit Manager (NUM) can plan patient care better when they know all the demands and resources. This includes patients from the emergency room, post-surgery, and transfers, as well as available beds and staff skills.</t>
  </si>
  <si>
    <t>At hospital, area, and department executive levels, having a complete portfolio lets them look at health outcomes, service demand, resources, performance, and finances all together.</t>
  </si>
  <si>
    <t>The ICT Strategy focuses on key areas and will address them as resources allow. Other initiatives will only be added if they don't affect these core functions or if there's an urgent need.</t>
  </si>
  <si>
    <t>By 2011, clinical departments will have improved systems for workflow, decision-making support, and accessing necessary information. This helps clinicians make better decisions for patients, leading to safer care</t>
  </si>
  <si>
    <t>Integrated hospital systems mean information is collected once and available to all, reducing handover issues and improving resource management for smoother patient care.</t>
  </si>
  <si>
    <t>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t>
  </si>
  <si>
    <t>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t>
  </si>
  <si>
    <t>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t>
  </si>
  <si>
    <t>Staff shortages in critical areas such as nursing and medicine Hospitals running at maximum capacity</t>
  </si>
  <si>
    <t>The rate of chronic diseases like heart disease, lung disease, diabetes, and cancer is rising. Obesity is becoming more common among young people, and our increasingly globalized society raises the risk of pandemics.</t>
  </si>
  <si>
    <t>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t>
  </si>
  <si>
    <t>The key factors that cause these adverse events are:
_x0001_ Communication
_x0001_ Policies and procedures
_x0001_ Knowledge, skills and competence issues
_x0001_ Work scheduling</t>
  </si>
  <si>
    <t>There are many competing demands for ICT funds. Deciding which projects to prioritize and schedule is complex and needs ongoing review to ensure funds are allocated where they will be most beneficial.</t>
  </si>
  <si>
    <t>NSW Health needs to change how it delivers services to meet these challenges. They've started a big reform program and need the right IT solutions to support staff and make these changes last</t>
  </si>
  <si>
    <t>NSW Health is responding to big challenges like more people needing healthcare and not enough staff. They're looking at what the government wants, like improving mental health and using better technology. That helps them decide what to do next and where to spend money.</t>
  </si>
  <si>
    <t>The Results and Services Plan guides everything in NSW Health. There are other plans helping out too. The ICT Strategic Plan is one of them, making sure it works well with the main plan. They also look at what the whole government and the country are doing.</t>
  </si>
  <si>
    <t>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t>
  </si>
  <si>
    <t>NSW Health wants to prevent sickness and promote good health habits. They're focusing on getting more people vaccinated and helping those at risk for diseases like diabetes. ICT can help by sending alerts about things like missed vaccinations or overdue check-ups</t>
  </si>
  <si>
    <t>NSW Health wants to make sure everyone gets the care they need, when they need it. They're using tech to support new ways of caring for people and making sure changes stick. Better info during your care journey means a better experience and getting the right care.</t>
  </si>
  <si>
    <t>NSW Health aims to improve healthcare by working better together. They're using tech to help everyone collaborate and use resources wisely. That means better tools for healthcare workers and making sure everyone gets great care.</t>
  </si>
  <si>
    <t>The NSW Government's IT setup influences NSW Health's ICT plan. They aim to make sure NSW initiatives match up with and sometimes even help shape national and statewide plans</t>
  </si>
  <si>
    <t>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t>
  </si>
  <si>
    <t>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t>
  </si>
  <si>
    <t>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t>
  </si>
  <si>
    <t>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t>
  </si>
  <si>
    <t>Health Support Services sets up and maintains key computer systems for healthcare. They give specific IT help to Area Health Services as defined by the law. This includes managing computers, software, and helping with setting up systems.</t>
  </si>
  <si>
    <t>Area Health Services are responsible for the management of local
implementations, change management and training of staff and benefits
realisation.</t>
  </si>
  <si>
    <t>They pick the most important projects and invest wisely for the health system. We work together on ICT stuff and have clear rules. This helps us decide what to build and how to run things</t>
  </si>
  <si>
    <t>NSW Health uses a coordinated approach to manage ICT projects. This helps us evaluate, prioritize, select, and monitor programs and projects. We adjust as needed to meet our business goals.</t>
  </si>
  <si>
    <t>They have set ways of doing things that support our ICT plan. These cover every step of a project's life.</t>
  </si>
  <si>
    <t>To make the strategy work, NSW Health collaborates with the Department of Health, Area Health Services, Health Technology, and third-party providers, using shared decision-making processes and building core applications at the state level</t>
  </si>
  <si>
    <t>Applications and projects are categorized as core, common, or divergent, influencing their prioritization, funding, and management, with core ones managed by the Department, common ones collaboratively, and divergent ones allowing for innovative solutions to local needs.</t>
  </si>
  <si>
    <t>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t>
  </si>
  <si>
    <t>In the Content Development phase, they design and build a prototype, then review it with clinicians. We use a method called Fast Track, which makes the process quicker. The prototype helps clinicians understand the application better and decide if it works for them</t>
  </si>
  <si>
    <t>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t>
  </si>
  <si>
    <t>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t>
  </si>
  <si>
    <t>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t>
  </si>
  <si>
    <t>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t>
  </si>
  <si>
    <t>The Corporate Systems Strategy sets up essential systems to support the Corporate Shared Services reform program, cutting duplication and costs in administrative tasks to redirect funds to frontline care, with the Corporate Systems program as its backbone.</t>
  </si>
  <si>
    <t>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t>
  </si>
  <si>
    <t>Three programs support the Business Information Strategy: one delivers useful information to front-line staff, another integrates strategic frameworks and develops performance measures, and the third ensures systems can provide consistent data and sets up technical infrastructure</t>
  </si>
  <si>
    <t>The Sustainable Infrastructure program aims to streamline technical infrastructure, establish and uphold standards and architecture for statewide ICT initiatives, and ensure maximum benefit from ICT investments.</t>
  </si>
  <si>
    <t>The Sustainable Infrastructure program includes three parts: setting up infrastructure, establishing technical standards, and ensuring uniform data standards across systems in NSW.</t>
  </si>
  <si>
    <t>What are the possible solutions that can be implemented to mitigate reaised concerns while maintaing the organizations values ?</t>
  </si>
  <si>
    <t>Government priorities
Reform agenda
Business reform
Improvements to Indigenous consumers
Preventative services</t>
  </si>
  <si>
    <t>What are the possible solutions that can be implemented to mitigate reaised concerns while maintaing the organizations values ?
What are the possible solutions that can be implemented to mitigate raised concerns while maintaining the organizations values ?</t>
  </si>
  <si>
    <t>Collaboration
Interoperability
Information flow</t>
  </si>
  <si>
    <t>Teamwork tools
API integration
Data pipelines</t>
  </si>
  <si>
    <t>Workflow improvement
Decision support
Resource management
Information accessibility</t>
  </si>
  <si>
    <t>Integration of systems
Information accessibility
Resource management
Standardized information
Collaboration</t>
  </si>
  <si>
    <t>Systems implementation
Standardized information access
Resource utilization
Management of future demand</t>
  </si>
  <si>
    <t>Process optimization
AI tools
Asset allocation
Open data</t>
  </si>
  <si>
    <t>System merger
Open data
Asset allocation
Data governance
Teamwork tools</t>
  </si>
  <si>
    <t>Rollout plan
Uniform interfaces
Efficient usage
Forecasting</t>
  </si>
  <si>
    <t>Policy alignment
Change strategy
Organizational change
Inclusive services
Early intervention</t>
  </si>
  <si>
    <t>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t>
  </si>
  <si>
    <t>To tackle challenges and prepare for the future, NSW Health is changing how it delivers services. Implementing IT solutions to support staff and integrate business processes is key for sustainable service delivery changes.</t>
  </si>
  <si>
    <t>Resource Management and Utilization</t>
  </si>
  <si>
    <t>Collaboration and Communication</t>
  </si>
  <si>
    <t>Data and Information Management</t>
  </si>
  <si>
    <t>Business Alignment</t>
  </si>
  <si>
    <t>Consumer Experience and Support</t>
  </si>
  <si>
    <t>Standardization and Streamlining Processes</t>
  </si>
  <si>
    <t>Financial Management and Budgeting</t>
  </si>
  <si>
    <t>Operational Effectiveness and Efficiency</t>
  </si>
  <si>
    <t>Compliance and Governance</t>
  </si>
  <si>
    <t>Future Planning and System Demand</t>
  </si>
  <si>
    <t>Infrastructure and Hardware Management</t>
  </si>
  <si>
    <t>Implementation Challenges and Delays</t>
  </si>
  <si>
    <t>System and Technology Improvement</t>
  </si>
  <si>
    <t>System Deployment and Integration</t>
  </si>
  <si>
    <t>System Maintenance and Support</t>
  </si>
  <si>
    <t>Program and Project Management</t>
  </si>
  <si>
    <t>Risk Identification and Management</t>
  </si>
  <si>
    <t>Strategic Planning and Development</t>
  </si>
  <si>
    <t>Policy and Organizational Reform</t>
  </si>
  <si>
    <t>Employee Training and Development</t>
  </si>
  <si>
    <t>Data Security, Quality and Privacy</t>
  </si>
  <si>
    <t>Concern</t>
  </si>
  <si>
    <t>Compliance and Governance
System and Technology Improvement
Standardization and Streamlining Processes</t>
  </si>
  <si>
    <t>Business Alignment
Consumer Experience and Support
System Deployment and Integration
Policy and Organizational Reform
Compliance and Governance</t>
  </si>
  <si>
    <t>Data and Information Management
Standardization and Streamlining Processes
Strategic Planning and Development</t>
  </si>
  <si>
    <t>Collaboration and Communication
System Deployment and Integration
Infrastructure and Hardware Management</t>
  </si>
  <si>
    <t>Program and Project Management
System Deployment and Integration
Policy and Organizational Reform
Operational Effectiveness and Efficiency
Employee Training and Development</t>
  </si>
  <si>
    <t>Consumer Experience and Support
Business Alignment
Financial Management and Budgeting</t>
  </si>
  <si>
    <t>Business Alignment
Consumer Experience and Support
Financial Management and Budgeting
Compliance and Governance</t>
  </si>
  <si>
    <t>Business Alignment
Risk Identification and Management
System Deployment and Integration</t>
  </si>
  <si>
    <t>Data and Information Management
Resource Management and Utilization
Policy and Organizational Reform</t>
  </si>
  <si>
    <t>Future Planning and System Demand
System Deployment and Integration
Consumer Experience and Support
Data and Information Management</t>
  </si>
  <si>
    <t>Consumer Experience and Support
Data and Information Management
Operational Effectiveness and Efficiency</t>
  </si>
  <si>
    <t>Resource Management and Utilization
Compliance and Governance
Strategic Planning and Development</t>
  </si>
  <si>
    <t>Compliance and Governance
Resource Management and Utilization
Future Planning and System Demand</t>
  </si>
  <si>
    <t>Risk Identification and Management
Compliance and Governance
Collaboration and Communication</t>
  </si>
  <si>
    <t>Operational Effectiveness and Efficiency
Resource Management and Utilization
Resource Management and Utilization
Data and Information Management</t>
  </si>
  <si>
    <t>System Deployment and Integration
Data and Information Management
Resource Management and Utilization</t>
  </si>
  <si>
    <t>System Deployment and Integration
Data and Information Management
Resource Management and Utilization
Data and Information Management
Collaboration and Communication</t>
  </si>
  <si>
    <t>System Deployment and Integration
Data and Information Management
Resource Management and Utilization
Future Planning and System Demand</t>
  </si>
  <si>
    <t>Data and Information Management
Consumer Experience and Support
Future Planning and System Demand</t>
  </si>
  <si>
    <t>System Maintenance and Support
Data and Information Management
System and Technology Improvement</t>
  </si>
  <si>
    <t>Data and Information Management
Data and Information Management
Infrastructure and Hardware Management</t>
  </si>
  <si>
    <t>Data and Information Management
System and Technology Improvement</t>
  </si>
  <si>
    <t>Future Planning and System Demand
Financial Management and Budgeting</t>
  </si>
  <si>
    <t>System Deployment and Integration
Business Alignment
Operational Effectiveness and Efficiency</t>
  </si>
  <si>
    <t>Operational Effectiveness and Efficiency
Business Alignment
System and Technology Improvement</t>
  </si>
  <si>
    <t>Standardization and Streamlining Processes
Strategic Planning and Development
Employee Training and Development
Program and Project Management</t>
  </si>
  <si>
    <t>System and Technology Improvement
Policy and Organizational Reform</t>
  </si>
  <si>
    <t>Consumer Experience and Support
Program and Project Management
Resource Management and Utilization</t>
  </si>
  <si>
    <t>Consumer Experience and Support
Risk Identification and Management
Operational Effectiveness and Efficiency</t>
  </si>
  <si>
    <t>Business Alignment
Policy and Organizational Reform
Business Alignment
Standardization and Streamlining Processes</t>
  </si>
  <si>
    <t>Financial Management and Budgeting
Consumer Experience and Support
Compliance and Governance
Collaboration and Communication
Collaboration and Communication
System Maintenance and Support
Risk Identification and Management</t>
  </si>
  <si>
    <t>Risk Identification and Management
Operational Effectiveness and Efficiency
Consumer Experience and Support</t>
  </si>
  <si>
    <t>Business Alignment
Consumer Experience and Support
Collaboration and Communication
Consumer Experience and Support
Policy and Organizational Reform
Infrastructure and Hardware Management
Consumer Experience and Support
Resource Management and Utilization</t>
  </si>
  <si>
    <t>Compliance and Governance
Collaboration and Communication
Financial Management and Budgeting
Operational Effectiveness and Efficiency
Consumer Experience and Support</t>
  </si>
  <si>
    <t>Financial Management and Budgeting
Business Alignment</t>
  </si>
  <si>
    <t>System and Technology Improvement
Operational Effectiveness and Efficiency</t>
  </si>
  <si>
    <t>Collaboration and Communication
Standardization and Streamlining Processes
Data and Information Management
Compliance and Governance</t>
  </si>
  <si>
    <t>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t>
  </si>
  <si>
    <t>Financial Management and Budgeting
Data Security, Quality and Privacy
Consumer Experience and Support</t>
  </si>
  <si>
    <t>Collaboration and Communication
Financial Management and Budgeting
Business Alignment
Compliance and Governance</t>
  </si>
  <si>
    <t>Policy and Organizational Reform
Data and Information Management
System Maintenance and Support
Consumer Experience and Support
Business Alignment
Data and Information Management</t>
  </si>
  <si>
    <t>Policy and Organizational Reform
System Deployment and Integration
Collaboration and Communication
Employee Training and Development
Resource Management and Utilization</t>
  </si>
  <si>
    <t>Risk Identification and Management
Financial Management and Budgeting
Business Alignment
Collaboration and Communication
Collaboration and Communication</t>
  </si>
  <si>
    <t>Consumer Experience and Support
Program and Project Management
System Maintenance and Support
Business Alignment</t>
  </si>
  <si>
    <t>Standardization and Streamlining Processes
Business Alignment</t>
  </si>
  <si>
    <t>Standardization and Streamlining Processes
Compliance and Governance
Standardization and Streamlining Processes</t>
  </si>
  <si>
    <t>Collaboration and Communication
System Maintenance and Support
Resource Management and Utilization
Operational Effectiveness and Efficiency</t>
  </si>
  <si>
    <t>Business Alignment
Risk Identification and Management
Compliance and Governance</t>
  </si>
  <si>
    <t>System Deployment and Integration
System Deployment and Integration
System Deployment and Integration</t>
  </si>
  <si>
    <t>Data and Information Management
Resource Management and Utilization
Employee Training and Development
Program and Project Management</t>
  </si>
  <si>
    <t>Standardization and Streamlining Processes
Compliance and Governance
Compliance and Governance</t>
  </si>
  <si>
    <t>Business Alignment
Consumer Experience and Support
Consumer Experience and Support</t>
  </si>
  <si>
    <t>Program and Project Management
System Deployment and Integration
Financial Management and Budgeting</t>
  </si>
  <si>
    <t>System Deployment and Integration
Resource Management and Utilization
Data and Information Management
Data Security, Quality and Privacy</t>
  </si>
  <si>
    <t>Operational Effectiveness and Efficiency
Data Security, Quality and Privacy
Data Security, Quality and Privacy
System Deployment and Integration
System Deployment and Integration
Data and Information Management
Data Security, Quality and Privacy</t>
  </si>
  <si>
    <t>Program and Project Management
Business Alignment
System Maintenance and Support</t>
  </si>
  <si>
    <t>Data and Information Management
Data and Information Management
Resource Management and Utilization</t>
  </si>
  <si>
    <t>System Deployment and Integration
Data and Information Management
Data and Information Management</t>
  </si>
  <si>
    <t>Themes (Organizational Values)</t>
  </si>
  <si>
    <t>Tech Concept</t>
  </si>
  <si>
    <t>Tech Layers</t>
  </si>
  <si>
    <t>Investment management software</t>
  </si>
  <si>
    <t>Enterprise architecture tools</t>
  </si>
  <si>
    <t>Open data platforms</t>
  </si>
  <si>
    <t>Collaboration software</t>
  </si>
  <si>
    <t>Workflow automation tools</t>
  </si>
  <si>
    <t>Business intelligence tools</t>
  </si>
  <si>
    <t>Data governance platforms</t>
  </si>
  <si>
    <t>Predictive analytics software</t>
  </si>
  <si>
    <t>Sustainability management software</t>
  </si>
  <si>
    <t>OKR software</t>
  </si>
  <si>
    <t>IT strategy planning tools</t>
  </si>
  <si>
    <t>Helpdesk software</t>
  </si>
  <si>
    <t>Policy management software</t>
  </si>
  <si>
    <t>CRM software</t>
  </si>
  <si>
    <t>UX/UI design tools</t>
  </si>
  <si>
    <t>Data encryption tools</t>
  </si>
  <si>
    <t>Applicant Tracking Systems</t>
  </si>
  <si>
    <t>Task prioritization tools</t>
  </si>
  <si>
    <t>Risk management software</t>
  </si>
  <si>
    <t>Change management software</t>
  </si>
  <si>
    <t>SOP software</t>
  </si>
  <si>
    <t>Project management tools</t>
  </si>
  <si>
    <t>Data integration tools</t>
  </si>
  <si>
    <t>API management platforms</t>
  </si>
  <si>
    <t>Project planning software</t>
  </si>
  <si>
    <t>Monitoring software</t>
  </si>
  <si>
    <t>Performance management systems</t>
  </si>
  <si>
    <t>Strategic planning tools</t>
  </si>
  <si>
    <t>Compliance tools</t>
  </si>
  <si>
    <t>Transformation planning tools</t>
  </si>
  <si>
    <t>Uptime monitoring software</t>
  </si>
  <si>
    <t>Value management software</t>
  </si>
  <si>
    <t>Financial planning software</t>
  </si>
  <si>
    <t>Organizational development tools</t>
  </si>
  <si>
    <t>Knowledge management systems</t>
  </si>
  <si>
    <t>Mobile Device Management</t>
  </si>
  <si>
    <t>Root cause analysis tools</t>
  </si>
  <si>
    <t>EHS software</t>
  </si>
  <si>
    <t>Transition management software</t>
  </si>
  <si>
    <t>Application categorization tools</t>
  </si>
  <si>
    <t>International collaboration tools</t>
  </si>
  <si>
    <t>Organizational chart software</t>
  </si>
  <si>
    <t>Standardization tools</t>
  </si>
  <si>
    <t>Healthcare management systems</t>
  </si>
  <si>
    <t>Crisis management software</t>
  </si>
  <si>
    <t>Expense tracking software</t>
  </si>
  <si>
    <t>IT planning software</t>
  </si>
  <si>
    <t>Engagement tools</t>
  </si>
  <si>
    <t>Market research software</t>
  </si>
  <si>
    <t>Utilization analytics</t>
  </si>
  <si>
    <t>Process management tools</t>
  </si>
  <si>
    <t>Process automation</t>
  </si>
  <si>
    <t>Compliance software</t>
  </si>
  <si>
    <t>Customization platforms</t>
  </si>
  <si>
    <t>Secure transfer tools</t>
  </si>
  <si>
    <t>Gap analysis software</t>
  </si>
  <si>
    <t>Centralized management systems</t>
  </si>
  <si>
    <t>Budgeting software</t>
  </si>
  <si>
    <t>Legal compliance tools</t>
  </si>
  <si>
    <t>Resource planning software</t>
  </si>
  <si>
    <t>Allocation tools</t>
  </si>
  <si>
    <t>Value assessment software</t>
  </si>
  <si>
    <t>PMP certification tools</t>
  </si>
  <si>
    <t>UX design tools</t>
  </si>
  <si>
    <t>Performance review tools</t>
  </si>
  <si>
    <t>Policy management frameworks</t>
  </si>
  <si>
    <t>Time tracking software</t>
  </si>
  <si>
    <t>Technology deployment tools</t>
  </si>
  <si>
    <t>Data privacy tools</t>
  </si>
  <si>
    <t>Support software</t>
  </si>
  <si>
    <t>Efficiency tools</t>
  </si>
  <si>
    <t>Training platforms</t>
  </si>
  <si>
    <t>Healthcare software</t>
  </si>
  <si>
    <t>User portal software</t>
  </si>
  <si>
    <t>Focus management tools</t>
  </si>
  <si>
    <t>Access control software</t>
  </si>
  <si>
    <t>Quality management tools</t>
  </si>
  <si>
    <t>Protection software</t>
  </si>
  <si>
    <t>Rollout management tools</t>
  </si>
  <si>
    <t>Inclusive service platforms</t>
  </si>
  <si>
    <t>Diversity software</t>
  </si>
  <si>
    <t>Load balancing tools</t>
  </si>
  <si>
    <t>Scalability solutions</t>
  </si>
  <si>
    <t>Optimization tools</t>
  </si>
  <si>
    <t>Innovation platforms</t>
  </si>
  <si>
    <t>Content Management System (CMS)</t>
  </si>
  <si>
    <t>Business Intelligence (BI) systems</t>
  </si>
  <si>
    <t>Data centralization tools</t>
  </si>
  <si>
    <t>Capacity planning software</t>
  </si>
  <si>
    <t>Application management tools</t>
  </si>
  <si>
    <t>Unified interfaces</t>
  </si>
  <si>
    <t>Data integrity tools</t>
  </si>
  <si>
    <t>Reporting software</t>
  </si>
  <si>
    <t>IT overhaul tools</t>
  </si>
  <si>
    <t>Encryption tools</t>
  </si>
  <si>
    <t>Identity management</t>
  </si>
  <si>
    <t>Skill development platforms</t>
  </si>
  <si>
    <t>Roster management software</t>
  </si>
  <si>
    <t>E-learning platforms</t>
  </si>
  <si>
    <t>SWOT analysis tools</t>
  </si>
  <si>
    <t>Transformation software</t>
  </si>
  <si>
    <t>Education software</t>
  </si>
  <si>
    <t>HR management systems</t>
  </si>
  <si>
    <t>Capital allocation tools</t>
  </si>
  <si>
    <t>Focus tools</t>
  </si>
  <si>
    <t>Budget control software</t>
  </si>
  <si>
    <t>ROI analysis tools</t>
  </si>
  <si>
    <t>Cost control software</t>
  </si>
  <si>
    <t>Scheduling tools</t>
  </si>
  <si>
    <t>Futureproofing tools</t>
  </si>
  <si>
    <t>Protocol management</t>
  </si>
  <si>
    <t>IT blueprint tools</t>
  </si>
  <si>
    <t>IT roadmap software</t>
  </si>
  <si>
    <t>Knowledge base software</t>
  </si>
  <si>
    <t>Data pipeline tools</t>
  </si>
  <si>
    <t>Data mapping software</t>
  </si>
  <si>
    <t>Modernization tools</t>
  </si>
  <si>
    <t>Tracking tools</t>
  </si>
  <si>
    <t>Audit software</t>
  </si>
  <si>
    <t>Unified platform tools</t>
  </si>
  <si>
    <t>Mitigation tools</t>
  </si>
  <si>
    <t>Customer service software</t>
  </si>
  <si>
    <t>Leadership tools</t>
  </si>
  <si>
    <t>KPI tracking tools</t>
  </si>
  <si>
    <t>Clustering software</t>
  </si>
  <si>
    <t>Load testing tools</t>
  </si>
  <si>
    <t>Quality assurance tools</t>
  </si>
  <si>
    <t>Time tracking tools</t>
  </si>
  <si>
    <t>Punctuality tools</t>
  </si>
  <si>
    <t>Vendor management software</t>
  </si>
  <si>
    <t>Change management tools</t>
  </si>
  <si>
    <t>Service management tools</t>
  </si>
  <si>
    <t>Service scope tools</t>
  </si>
  <si>
    <t>Improvement tools</t>
  </si>
  <si>
    <t>Reallocation tools</t>
  </si>
  <si>
    <t>Lean management software</t>
  </si>
  <si>
    <t>Oversight tools</t>
  </si>
  <si>
    <t>Project control tools</t>
  </si>
  <si>
    <t>Investment tools</t>
  </si>
  <si>
    <t>Tailored service software</t>
  </si>
  <si>
    <t>Outcome tracking tools</t>
  </si>
  <si>
    <t>Prioritization tools</t>
  </si>
  <si>
    <t>Transition management</t>
  </si>
  <si>
    <t>System migration tools</t>
  </si>
  <si>
    <t>Inventory management</t>
  </si>
  <si>
    <t>Efficiency software</t>
  </si>
  <si>
    <t>Logistics software</t>
  </si>
  <si>
    <t>Risk forecasting tools</t>
  </si>
  <si>
    <t>Planning software</t>
  </si>
  <si>
    <t>Gantt chart tools</t>
  </si>
  <si>
    <t>Preventive tools</t>
  </si>
  <si>
    <t>Coding standards tools</t>
  </si>
  <si>
    <t>Roadmap tools</t>
  </si>
  <si>
    <t>Training tools</t>
  </si>
  <si>
    <t>Forecasting tools</t>
  </si>
  <si>
    <t>Intervention tools</t>
  </si>
  <si>
    <t>Cost-benefit analysis tools</t>
  </si>
  <si>
    <t>Upgrade tools</t>
  </si>
  <si>
    <t>SOP tools</t>
  </si>
  <si>
    <t>Data expansion tools</t>
  </si>
  <si>
    <t>Contingency planning tools</t>
  </si>
  <si>
    <t>Workflow software</t>
  </si>
  <si>
    <t>Satisfaction tools</t>
  </si>
  <si>
    <t>Data-driven tools</t>
  </si>
  <si>
    <t>Protocol tools</t>
  </si>
  <si>
    <t>Unification tools</t>
  </si>
  <si>
    <t>Data fusion tools</t>
  </si>
  <si>
    <t>Adoption tools</t>
  </si>
  <si>
    <t>Maintenance tools</t>
  </si>
  <si>
    <t>Analytics software</t>
  </si>
  <si>
    <t>Recruitment tools</t>
  </si>
  <si>
    <t>HR planning tools</t>
  </si>
  <si>
    <t>Development tools</t>
  </si>
  <si>
    <t>Integration tools</t>
  </si>
  <si>
    <t>Security tools</t>
  </si>
  <si>
    <t>Execution tools</t>
  </si>
  <si>
    <t>Holistic tools</t>
  </si>
  <si>
    <t>Procedure tools</t>
  </si>
  <si>
    <t>Access tools</t>
  </si>
  <si>
    <t>Trend analysis tools</t>
  </si>
  <si>
    <t>Platform tools</t>
  </si>
  <si>
    <t>Rollout tools</t>
  </si>
  <si>
    <t>Interface tools</t>
  </si>
  <si>
    <t>Lifecycle tools</t>
  </si>
  <si>
    <t>Facilitates the management and analysis of investment portfolios, including trading, risk assessment, and performance tracking.</t>
  </si>
  <si>
    <t>Assist in designing and managing the structure and operation of an organization's IT infrastructure and applications.</t>
  </si>
  <si>
    <t>Provide access to and enable the sharing of data in an open and standardized format, promoting transparency and collaboration.</t>
  </si>
  <si>
    <t>Facilitates communication and cooperation among team members through features such as messaging, file sharing, and project management.</t>
  </si>
  <si>
    <t>Automate repetitive tasks and streamline business processes to improve efficiency and reduce errors.</t>
  </si>
  <si>
    <t>Enable organizations to gather, analyze, and visualize data to make informed business decisions.</t>
  </si>
  <si>
    <t>Ensure the quality, integrity, and security of data throughout its lifecycle, including data management, compliance, and privacy.</t>
  </si>
  <si>
    <t>Utilize data mining and statistical algorithms to forecast future trends and behaviors, enabling proactive decision-making.</t>
  </si>
  <si>
    <t>Help organizations track, manage, and report on their environmental and social impacts to promote sustainability.</t>
  </si>
  <si>
    <t>Facilitates the setting, tracking, and alignment of Objectives and Key Results (OKRs) to improve organizational focus and performance.</t>
  </si>
  <si>
    <t>Assist in developing and aligning IT strategies with business goals, including technology roadmaps, resource planning, and risk management.</t>
  </si>
  <si>
    <t>Provides a centralized platform for managing customer support requests and inquiries, improving response times and customer satisfaction.</t>
  </si>
  <si>
    <t>Streamlines the creation, distribution, and enforcement of organizational policies and procedures to ensure compliance and consistency.</t>
  </si>
  <si>
    <t>Manages customer interactions and relationships, including sales, marketing, and customer service activities.</t>
  </si>
  <si>
    <t>Enable the creation and optimization of user interfaces and experiences for digital products and services.</t>
  </si>
  <si>
    <t>Protect sensitive data from unauthorized access or theft by encoding it into unreadable format.</t>
  </si>
  <si>
    <t>Streamline the recruitment process by managing job postings, applications, and candidate communication.</t>
  </si>
  <si>
    <t>Help individuals and teams organize and prioritize their tasks to improve productivity and efficiency.</t>
  </si>
  <si>
    <t>Identify, assess, and mitigate potential risks to the organization's objectives and operations.</t>
  </si>
  <si>
    <t>Facilitate the planning, implementation, and tracking of organizational changes to minimize disruptions and maximize benefits.</t>
  </si>
  <si>
    <t>Centralize and standardize Standard Operating Procedures (SOPs) to ensure consistency and compliance across the organization.</t>
  </si>
  <si>
    <t>Assist in planning, scheduling, and managing projects, including task assignments, progress tracking, and resource allocation.</t>
  </si>
  <si>
    <t>Aggregate and combine data from multiple sources to provide a unified view and support analytics and reporting.</t>
  </si>
  <si>
    <t>Manage the creation, deployment, and maintenance of Application Programming Interfaces (APIs) to enable integration and interoperability.</t>
  </si>
  <si>
    <t>Facilitate the creation and management of project plans, including timelines, tasks, and dependencies.</t>
  </si>
  <si>
    <t>Continuously track and analyze system performance, availability, and health to ensure optimal operation.</t>
  </si>
  <si>
    <t>Monitor and evaluate employee performance against goals and objectives to support development and performance improvement.</t>
  </si>
  <si>
    <t>Support the development and execution of strategic plans, including goal setting, action planning, and performance tracking.</t>
  </si>
  <si>
    <t>Ensure adherence to legal, regulatory, and industry standards through monitoring, reporting, and auditing capabilities.</t>
  </si>
  <si>
    <t>Support the planning and execution of organizational transformations, including change management, communication, and training.</t>
  </si>
  <si>
    <t>Monitor and track system uptime and availability to ensure continuous service delivery and minimize downtime.</t>
  </si>
  <si>
    <t>Assess and optimize the value generated by projects, programs, and investments to maximize returns and outcomes.</t>
  </si>
  <si>
    <t>Assist in budgeting, forecasting, and financial analysis to support strategic decision-making and resource allocation.</t>
  </si>
  <si>
    <t>Support initiatives to enhance organizational effectiveness, including leadership development, culture change, and performance management.</t>
  </si>
  <si>
    <t>Capture, store, and share organizational knowledge to support learning, collaboration, and decision-making.</t>
  </si>
  <si>
    <t>Manage and secure mobile devices and applications to protect data and ensure compliance with organizational policies.</t>
  </si>
  <si>
    <t>Identify and address the underlying causes of problems or incidents to prevent recurrence and improve performance.</t>
  </si>
  <si>
    <t>Manage environmental, health, and safety compliance and risks to protect employees and the environment.</t>
  </si>
  <si>
    <t>Support the planning and execution of transitions, such as mergers, acquisitions, or system migrations, to minimize disruption and risk.</t>
  </si>
  <si>
    <t>Classify and categorize software applications based on their function, usage, and business impact for better management and governance.</t>
  </si>
  <si>
    <t>Facilitate collaboration and communication across global teams with features such as multilingual support and time zone management.</t>
  </si>
  <si>
    <t>Create and visualize organizational structures to understand reporting relationships and support workforce planning.</t>
  </si>
  <si>
    <t>Standardize and enforce best practices and processes across the organization.</t>
  </si>
  <si>
    <t>Manage patient records, appointments, and medical billing to streamline healthcare operations.</t>
  </si>
  <si>
    <t>Coordinate response efforts and communication during emergencies or crises.</t>
  </si>
  <si>
    <t>Track and manage expenses incurred by the organization for better financial management.</t>
  </si>
  <si>
    <t>Plan and strategize IT initiatives and investments to support business objectives.</t>
  </si>
  <si>
    <t>Automate repetitive tasks and streamline workflows to improve efficiency.</t>
  </si>
  <si>
    <t>Facilitate communication and collaboration among team members for better productivity.</t>
  </si>
  <si>
    <t>Enhance engagement and interaction with stakeholders through various channels.</t>
  </si>
  <si>
    <t>Gather and analyze data to understand market trends and consumer behavior.</t>
  </si>
  <si>
    <t>Analyze resource utilization to optimize efficiency and reduce waste.</t>
  </si>
  <si>
    <t>Map, analyze, and optimize business processes to improve efficiency and effectiveness.</t>
  </si>
  <si>
    <t>Automate manual tasks and workflows to improve productivity and reduce errors.</t>
  </si>
  <si>
    <t>Ensure adherence to legal and regulatory requirements to mitigate risks.</t>
  </si>
  <si>
    <t>Customize software applications to meet specific business requirements.</t>
  </si>
  <si>
    <t>Securely transfer data between systems or parties to protect sensitive information.</t>
  </si>
  <si>
    <t>Analyze current and desired states to identify gaps and opportunities for improvement.</t>
  </si>
  <si>
    <t>Centralize management and control of systems and resources for better governance.</t>
  </si>
  <si>
    <t>Plan and manage budgets to allocate resources effectively and control costs.</t>
  </si>
  <si>
    <t>Develop and execute strategies to achieve organizational goals and objectives.</t>
  </si>
  <si>
    <t>Visualize and analyze data to gain insights and inform decision-making.</t>
  </si>
  <si>
    <t>Manage and track organizational policies and ensure compliance with regulations.</t>
  </si>
  <si>
    <t>Ensure compliance with legal and regulatory requirements to mitigate risks.</t>
  </si>
  <si>
    <t>Plan and allocate resources to meet organizational goals and objectives effectively.</t>
  </si>
  <si>
    <t>Determine and allocate resources based on organizational priorities and needs.</t>
  </si>
  <si>
    <t>Assess and evaluate the value generated by projects or initiatives.</t>
  </si>
  <si>
    <t>Prepare for and obtain Project Management Professional (PMP) certification.</t>
  </si>
  <si>
    <t>Design user interfaces to improve the usability and accessibility of software applications.</t>
  </si>
  <si>
    <t>Identify, assess, and mitigate risks to protect organizational assets and interests.</t>
  </si>
  <si>
    <t>Conduct performance evaluations to assess employee performance and development.</t>
  </si>
  <si>
    <t>Manage and track organizational policies and procedures for compliance and consistency.</t>
  </si>
  <si>
    <t>Track and monitor time spent on tasks and projects for better resource management.</t>
  </si>
  <si>
    <t>Deploy and implement technology solutions to support business objectives.</t>
  </si>
  <si>
    <t>Ensure compliance with data protection and privacy regulations to safeguard sensitive information.</t>
  </si>
  <si>
    <t>Provide tools and resources to support users and address their needs effectively.</t>
  </si>
  <si>
    <t>Improve operational efficiency and effectiveness through automation and optimization.</t>
  </si>
  <si>
    <t>Provide training and learning opportunities for employee development and growth.</t>
  </si>
  <si>
    <t>Provide a portal for users to access information, services, and resources.</t>
  </si>
  <si>
    <t>Manage and prioritize organizational goals and initiatives for better focus and alignment.</t>
  </si>
  <si>
    <t>Control access to resources and information to protect against unauthorized access.</t>
  </si>
  <si>
    <t>Monitor and ensure the quality of products, services, or processes to meet standards.</t>
  </si>
  <si>
    <t>Protect organizational assets and information from threats and vulnerabilities.</t>
  </si>
  <si>
    <t>Manage and oversee the rollout of projects or initiatives to ensure success.</t>
  </si>
  <si>
    <t>Provide inclusive services and accommodations to meet diverse needs and requirements.</t>
  </si>
  <si>
    <t>Promote diversity and inclusion within the organization through various initiatives.</t>
  </si>
  <si>
    <t>Balance workloads and distribute resources evenly across systems or networks.</t>
  </si>
  <si>
    <t>Scale systems or infrastructure to accommodate changing demands or growth.</t>
  </si>
  <si>
    <t>Optimize processes, systems, or resources for better performance and efficiency.</t>
  </si>
  <si>
    <t>Foster innovation and creativity within the organization through collaborative platforms.</t>
  </si>
  <si>
    <t>Manage and organize digital content for efficient storage, retrieval, and distribution.</t>
  </si>
  <si>
    <t>Analyze data and generate insights to support decision-making and planning.</t>
  </si>
  <si>
    <t>Centralize and manage data to ensure consistency, accuracy, and accessibility.</t>
  </si>
  <si>
    <t>Forecast and plan for future resource needs based on current usage and trends.</t>
  </si>
  <si>
    <t>Manage and administer applications throughout their lifecycle, from development to retirement.</t>
  </si>
  <si>
    <t>Provide a consistent and unified interface for users to interact with systems or applications.</t>
  </si>
  <si>
    <t>Ensure the accuracy and reliability of data across systems and processes.</t>
  </si>
  <si>
    <t>Generate and present data in various formats to support decision-making and analysis.</t>
  </si>
  <si>
    <t>Overhaul and modernize IT infrastructure, systems, and processes to improve performance and efficiency.</t>
  </si>
  <si>
    <t>Encrypt data to protect it from unauthorized access or interception.</t>
  </si>
  <si>
    <t>Manage user identities and access rights to ensure security and compliance.</t>
  </si>
  <si>
    <t>Provide platforms for employees to acquire and develop new skills and competencies.</t>
  </si>
  <si>
    <t>Manage employee schedules, shifts, and assignments for efficient workforce management.</t>
  </si>
  <si>
    <t>Provide tools and environments for software development and coding.</t>
  </si>
  <si>
    <t>Offer online courses and resources for education and learning purposes.</t>
  </si>
  <si>
    <t>Facilitate the integration of disparate systems and applications for seamless data exchange.</t>
  </si>
  <si>
    <t>Conduct SWOT (Strengths, Weaknesses, Opportunities, Threats) analysis to assess organizational strategies and objectives.</t>
  </si>
  <si>
    <t>Support organizational change and transformation initiatives through technology solutions.</t>
  </si>
  <si>
    <t>Manage and track expenses incurred by the organization for better financial management.</t>
  </si>
  <si>
    <t>Provide software for educational institutions or training organizations.</t>
  </si>
  <si>
    <t>Manage various HR functions such as payroll, benefits, and performance evaluation.</t>
  </si>
  <si>
    <t>Integrate multiple systems or applications to work together seamlessly.</t>
  </si>
  <si>
    <t>Allocate financial resources effectively to support organizational goals and initiatives.</t>
  </si>
  <si>
    <t>Provide tools to help individuals or teams focus on key tasks or objectives.</t>
  </si>
  <si>
    <t>Monitor and control budgets to ensure spending stays within predefined limits.</t>
  </si>
  <si>
    <t>Implement measures to prevent potential issues or problems from occurring.</t>
  </si>
  <si>
    <t>Analyze the return on investment (ROI) of projects, initiatives, or investments.</t>
  </si>
  <si>
    <t>Control costs and expenditures to optimize financial performance.</t>
  </si>
  <si>
    <t>Manage financial transactions and reporting for organizational accounting purposes.</t>
  </si>
  <si>
    <t>Create and manage schedules for tasks, projects, or events.</t>
  </si>
  <si>
    <t>Implement measures to future-proof systems or processes against emerging challenges or risks.</t>
  </si>
  <si>
    <t>Manage and enforce protocols and procedures for organizational compliance and governance.</t>
  </si>
  <si>
    <t>Develop and document IT strategies and plans for future initiatives and investments.</t>
  </si>
  <si>
    <t>Create and manage roadmaps for IT projects, initiatives, or technologies.</t>
  </si>
  <si>
    <t>Provide tools and technologies to secure and protect organizational assets and information.</t>
  </si>
  <si>
    <t>Create and maintain a repository of knowledge and information for organizational use.</t>
  </si>
  <si>
    <t>Facilitate the movement and transformation of data between systems and applications.</t>
  </si>
  <si>
    <t>Provide tools to map and visualize the flow of data between systems or processes.</t>
  </si>
  <si>
    <t>Modernize legacy systems or applications to improve performance and usability.</t>
  </si>
  <si>
    <t>Track and monitor various metrics or parameters for analysis and optimization.</t>
  </si>
  <si>
    <t>Conduct audits and assessments to ensure compliance and adherence to standards.</t>
  </si>
  <si>
    <t>Create a unified platform or environment for integrating and managing various systems and applications.</t>
  </si>
  <si>
    <t>Provide tools and strategies to mitigate risks and threats to the organization.</t>
  </si>
  <si>
    <t>Manage and track interactions with customers to provide efficient and effective service.</t>
  </si>
  <si>
    <t>Provide tools and resources to support leadership development and effectiveness.</t>
  </si>
  <si>
    <t>Track and analyze Key Performance Indicators (KPIs) to assess organizational performance.</t>
  </si>
  <si>
    <t>Organize and group data or entities based on similarity or relatedness.</t>
  </si>
  <si>
    <t>Test the performance and scalability of systems or applications under load.</t>
  </si>
  <si>
    <t>Ensure the quality and reliability of products, services, or processes through testing and validation.</t>
  </si>
  <si>
    <t>Track and record time spent on tasks or activities for analysis and reporting.</t>
  </si>
  <si>
    <t>Monitor and ensure adherence to schedules and deadlines for tasks or projects.</t>
  </si>
  <si>
    <t>Optimize systems, processes, or resources for improved performance and efficiency.</t>
  </si>
  <si>
    <t>Manage relationships and interactions with vendors and suppliers.</t>
  </si>
  <si>
    <t>Plan, implement, and track changes to organizational processes or systems.</t>
  </si>
  <si>
    <t>Manage and coordinate the delivery of services to customers or clients.</t>
  </si>
  <si>
    <t>Define and manage the scope of services offered by the organization.</t>
  </si>
  <si>
    <t>Track and measure the outcomes and results of projects, initiatives, or interventions.</t>
  </si>
  <si>
    <t>Optimize the allocation and utilization of resources to maximize efficiency and productivity.</t>
  </si>
  <si>
    <t>Manage and optimize the flow of goods, services, or information through supply chains.</t>
  </si>
  <si>
    <t>Forecast and assess potential risks to inform decision-making and risk management strategies.</t>
  </si>
  <si>
    <t>Analyze historical data and trends to forecast future events or outcomes.</t>
  </si>
  <si>
    <t>Create and visualize project schedules and timelines to track progress and milestones.</t>
  </si>
  <si>
    <t>Facilitate communication and collaboration among team members and stakeholders.</t>
  </si>
  <si>
    <t>Implement and enforce protocols and procedures to ensure compliance and consistency.</t>
  </si>
  <si>
    <t>Create and manage roadmaps for projects, initiatives, or technology implementations.</t>
  </si>
  <si>
    <t>Ensure adherence to legal, regulatory, and industry standards through monitoring and enforcement.</t>
  </si>
  <si>
    <t>Help prioritize tasks, projects, or goals based on their importance and impact.</t>
  </si>
  <si>
    <t>Leverage artificial intelligence technologies to automate tasks and processes for greater efficiency.</t>
  </si>
  <si>
    <t>Provide tools and strategies to help individuals or teams maintain focus on key tasks or objectives.</t>
  </si>
  <si>
    <t>Facilitate the planning and scheduling of tasks, projects, or activities to achieve organizational goals.</t>
  </si>
  <si>
    <t>Implement measures to prevent problems or issues from occurring or escalating.</t>
  </si>
  <si>
    <t>Provide tools and support for the effective execution and implementation of plans and strategies.</t>
  </si>
  <si>
    <t>Take a comprehensive or integrated approach to address complex issues or challenges within the organization.</t>
  </si>
  <si>
    <t>Define and document standardized procedures and processes to ensure consistency and efficiency.</t>
  </si>
  <si>
    <t>Establish and enforce coding standards and best practices for software development teams.</t>
  </si>
  <si>
    <t>Manage and control access to systems, applications, or information to ensure security and compliance.</t>
  </si>
  <si>
    <t>Provide tools and resources for training and skill development to support employee growth and development.</t>
  </si>
  <si>
    <t>Implement measures or interventions to address identified issues or challenges proactively.</t>
  </si>
  <si>
    <t>Analyze the costs and benefits of potential actions or investments to inform decision-making effectively.</t>
  </si>
  <si>
    <t>Analyze historical data and trends to identify patterns or insights for strategic planning.</t>
  </si>
  <si>
    <t>Implement upgrades or enhancements to systems, applications, or processes to improve performance and functionality.</t>
  </si>
  <si>
    <t>Establish and document standard operating procedures (SOPs) to ensure consistency and efficiency across the organization.</t>
  </si>
  <si>
    <t>Provide support and assistance to users for technical issues or inquiries related to systems or applications.</t>
  </si>
  <si>
    <t>Expand and scale data storage, processing, or analysis capabilities to accommodate organizational needs.</t>
  </si>
  <si>
    <t>Develop plans and strategies to address potential risks or disruptions proactively.</t>
  </si>
  <si>
    <t>Manage and streamline workflows and processes to improve efficiency and productivity across the organization.</t>
  </si>
  <si>
    <t>Integrate and unify disparate systems or applications to streamline operations and improve data consistency.</t>
  </si>
  <si>
    <t>Manage and oversee the rollout of projects, initiatives, or changes to ensure successful implementation.</t>
  </si>
  <si>
    <t>Create and manage interfaces for users to interact with systems or applications seamlessly.</t>
  </si>
  <si>
    <t>Assist in developing and implementing strategic plans to achieve long-term goals and objectives.</t>
  </si>
  <si>
    <t>Aid in identifying areas for improvement and implementing strategies to enhance performance.</t>
  </si>
  <si>
    <t>Facilitate the efficient allocation and reallocation of resources to optimize organizational effectiveness.</t>
  </si>
  <si>
    <t>Implement lean management principles to streamline processes and eliminate waste.</t>
  </si>
  <si>
    <t>Provide oversight and monitoring capabilities to ensure projects and processes are on track.</t>
  </si>
  <si>
    <t>Manage and control project activities to ensure successful project delivery.</t>
  </si>
  <si>
    <t>Facilitate the planning, execution, and tracking of organizational changes to minimize resistance and maximize adoption.</t>
  </si>
  <si>
    <t>Analyze and evaluate investment opportunities to support informed decision-making.</t>
  </si>
  <si>
    <t>Deliver personalized and customized services to meet the specific needs of customers or clients.</t>
  </si>
  <si>
    <t>Facilitate the transition from one state or condition to another within the organization.</t>
  </si>
  <si>
    <t>Assist in migrating systems, applications, or data from one environment to another.</t>
  </si>
  <si>
    <t>Track and manage inventory levels and movements to optimize stock levels.</t>
  </si>
  <si>
    <t>Collect feedback and assess satisfaction levels to identify areas for improvement and enhance customer experience</t>
  </si>
  <si>
    <t>Facilitate the measurement and assessment of customer or user satisfaction levels.</t>
  </si>
  <si>
    <t>Utilize data-driven approaches to inform decision-making and strategies.</t>
  </si>
  <si>
    <t>Provide middleware solutions to facilitate communication and data exchange between different systems or applications.</t>
  </si>
  <si>
    <t>Combine data from multiple sources or formats to create a comprehensive view or dataset.</t>
  </si>
  <si>
    <t>Provide tools and resources to support the development and management of platforms or ecosystems.</t>
  </si>
  <si>
    <t>Facilitate the adoption and implementation of new technologies or processes within the organization.</t>
  </si>
  <si>
    <t>Assist in planning, executing, and monitoring projects to achieve desired outcomes effectively.</t>
  </si>
  <si>
    <t>Support the ongoing maintenance and upkeep of systems or applications to ensure reliability and performance.</t>
  </si>
  <si>
    <t>Manage the various stages of the lifecycle of systems, applications, or products.</t>
  </si>
  <si>
    <t>Utilize analytics software to analyze data and generate insights to inform decision-making and strategies.</t>
  </si>
  <si>
    <t>Facilitate the recruitment process by sourcing, screening, and selecting candidates for job positions.</t>
  </si>
  <si>
    <t>Plan and forecast the human resource needs of the organization to support business objectives and growth initiatives.</t>
  </si>
  <si>
    <t>ID</t>
  </si>
  <si>
    <t>Organizational Value</t>
  </si>
  <si>
    <t>Use Case</t>
  </si>
  <si>
    <t>Possible Solution</t>
  </si>
  <si>
    <t>Centralized management systems
Upgrade tools
Protocol tools</t>
  </si>
  <si>
    <t>Enterprise architecture tools
Performance review tools
Unification tools
Sustainability management software
Compliance software</t>
  </si>
  <si>
    <t>User portal software
Procedure tools
Forecasting tools</t>
  </si>
  <si>
    <t>Collaboration software
API management platforms
Data pipeline tools</t>
  </si>
  <si>
    <t>Lean management software
Project management tools
Sustainability management software
Mitigation tools
E-learning platforms</t>
  </si>
  <si>
    <t>Training platforms
OKR software
Expense management</t>
  </si>
  <si>
    <t>IT strategy planning tools
Policy management frameworks
Capital allocation tools
Market research software</t>
  </si>
  <si>
    <t>IT strategy planning tools
Risk management software
Contingency planning tools</t>
  </si>
  <si>
    <t>Diversity software
System migration tools
Vendor management software</t>
  </si>
  <si>
    <t>Scheduling tools
Project planning software
CRM software
Business Intelligence (BI) systems</t>
  </si>
  <si>
    <t>Collaboration software
Helpdesk software
HR management systems</t>
  </si>
  <si>
    <t>UX/UI design tools
Open data platforms
Time tracking tools</t>
  </si>
  <si>
    <t>Investment management software
Utilization analytics
Roadmap tools</t>
  </si>
  <si>
    <t>BI dashboards
Inventory management
Accounting software</t>
  </si>
  <si>
    <t>Planning software
Budgeting software
Crisis management software</t>
  </si>
  <si>
    <t>Optimization tools
AI tools
Investment management software
Open data platforms</t>
  </si>
  <si>
    <t>Middleware
Open data platforms
Investment management software</t>
  </si>
  <si>
    <t>Data integration tools
Open data platforms
Investment management software
Data governance platforms
Collaboration software</t>
  </si>
  <si>
    <t>Project planning software
Unified interfaces
Logistics software
Predictive analytics software</t>
  </si>
  <si>
    <t>Scalability solutions
Efficiency tools
Futureproofing tools</t>
  </si>
  <si>
    <t>Recruitment tools
Focus management tools
Data expansion tools</t>
  </si>
  <si>
    <t>Load balancing tools
Capacity planning software
Knowledge base software</t>
  </si>
  <si>
    <t>Innovation platforms
Cost-benefit analysis tools</t>
  </si>
  <si>
    <t>Cost control software
Education software</t>
  </si>
  <si>
    <t>Satisfaction tools
Root cause analysis tools
Audit software</t>
  </si>
  <si>
    <t>Load testing tools
EHS software
SOP tools</t>
  </si>
  <si>
    <t>Collaboration tools
Training tools
Roster management software
Investment tools</t>
  </si>
  <si>
    <t>Project management tools
Reallocation tools</t>
  </si>
  <si>
    <t>PMP certification tools
Change management software
Prioritization tools</t>
  </si>
  <si>
    <t>Value assessment software
Gantt chart tools
Clustering software</t>
  </si>
  <si>
    <t>Risk management software
Change management software
Applicant Tracking Systems</t>
  </si>
  <si>
    <t>Policy management software
Applicant Tracking Systems
Policy management software
IT roadmap software</t>
  </si>
  <si>
    <t>OKR software
Strategic planning tools
Transformation planning tools
Holistic tools</t>
  </si>
  <si>
    <t>Preventive measures
UX/UI design tools
Strategic planning tools
Engagement tools
Expense tracking software
HR planning tools
Forecasting tools</t>
  </si>
  <si>
    <t>Preventive tools
Customer service software
Support software</t>
  </si>
  <si>
    <t>Uptime monitoring software
Business intelligence tools
Healthcare management systems
Healthcare software
Improvement tools
Data mapping software
UX design tools
Tailored service software</t>
  </si>
  <si>
    <t>Process automation
Collaboration software
Integrated systems
Quality assurance tools
Allocation tools</t>
  </si>
  <si>
    <t>SWOT analysis tools
Compliance tools</t>
  </si>
  <si>
    <t>Trend analysis tools
Leadership tools</t>
  </si>
  <si>
    <t>Policy management software
Change management tools
Organizational development tools
Inclusive service platforms
Intervention tools</t>
  </si>
  <si>
    <t>International collaboration tools
SOP software
Data centralization tools
Legal compliance tools</t>
  </si>
  <si>
    <t>Protocol management
IT blueprint tools
API management platforms
Data governance platforms
Identity management
Data privacy tools
Security tools
Encryption tools
Risk forecasting tools</t>
  </si>
  <si>
    <t>Transformation software
IT overhaul tools
Technology deployment tools</t>
  </si>
  <si>
    <t>IT planning software
Focus tools
Financial planning software
Workflow automation tools</t>
  </si>
  <si>
    <t>Service scope tools
Rollout management tools
Maintenance tools
CRM software
Mobile Device Management
Application management tools</t>
  </si>
  <si>
    <t>Service management tools
Rollout tools
Transition management software
Development tools
Outcome tracking tools</t>
  </si>
  <si>
    <t>Focus tools
ROI analysis tools
Value management software
Standardization tools
Organizational chart software</t>
  </si>
  <si>
    <t>Business intelligence tools
Task prioritization tools
Monitoring software
Performance management systems</t>
  </si>
  <si>
    <t>SOP software
Knowledge management systems</t>
  </si>
  <si>
    <t>Execution tools
Policy management software
Coding standards tools</t>
  </si>
  <si>
    <t>Application categorization tools
Lifecycle tools
Investment management software
Tracking tools</t>
  </si>
  <si>
    <t>Strategic planning tools
Risk management software
Gap analysis software</t>
  </si>
  <si>
    <t>Workflow software
Adoption tools
Data-driven tools</t>
  </si>
  <si>
    <t>Content Management System (CMS)
Resource management
Skill development platforms
Project control tools</t>
  </si>
  <si>
    <t>Access tools
Process management tools
Customization platforms</t>
  </si>
  <si>
    <t>Enterprise architecture tools
Time tracking software
Resource planning software</t>
  </si>
  <si>
    <t>Oversight tools
Data integration tools
Integration tools</t>
  </si>
  <si>
    <t>Platform tools
Transition management
Protection software
Data encryption tools</t>
  </si>
  <si>
    <t>Punctuality tools
Data integrity tools
Reporting software
Data fusion tools
Interface tools
Access control software
Data encryption tools</t>
  </si>
  <si>
    <t>Task prioritization tools
Enterprise architecture tools
Monitoring software</t>
  </si>
  <si>
    <t>Optimization tools
Data governance platforms
Efficiency software</t>
  </si>
  <si>
    <t>Compliance tools
Quality management tools
Quality management tools</t>
  </si>
  <si>
    <t>Tech Concepts</t>
  </si>
  <si>
    <t>Centralize management and control of systems and resources for better governance.
Establish and document standard operating procedures (SOPs) to ensure consistency and efficiency across the organization.
Implement and enforce protocols and procedures to ensure compliance and consistency.</t>
  </si>
  <si>
    <t>Assist in designing and managing the structure and operation of an organization's IT infrastructure and applications.
Conduct performance evaluations to assess employee performance and development.
Integrate and unify disparate systems or applications to streamline operations and improve data consistency.
Help organizations track, manage, and report on their environmental and social impacts to promote sustainability.
Ensure adherence to legal and regulatory requirements to mitigate risks.</t>
  </si>
  <si>
    <t>Provide a portal for users to access information, services, and resources.
Define and document standardized procedures and processes to ensure consistency and efficiency.
Implement measures or interventions to address identified issues or challenges proactively.</t>
  </si>
  <si>
    <t>Facilitates communication and cooperation among team members through features such as messaging, file sharing, and project management.
Manage the creation, deployment, and maintenance of Application Programming Interfaces (APIs) to enable integration and interoperability.
Facilitate the movement and transformation of data between systems and applications.</t>
  </si>
  <si>
    <t>Implement lean management principles to streamline processes and eliminate waste.
Assist in planning, executing, and monitoring projects to achieve desired outcomes effectively.
Help organizations track, manage, and report on their environmental and social impacts to promote sustainability.
Provide tools and strategies to mitigate risks and threats to the organization.
Offer online courses and resources for education and learning purposes.</t>
  </si>
  <si>
    <t>Provide training and learning opportunities for employee development and growth.
Facilitates the setting, tracking, and alignment of Objectives and Key Results (OKRs) to improve organizational focus and performance.
Manage and track expenses incurred by the organization for better financial management.</t>
  </si>
  <si>
    <t>Assist in developing and aligning IT strategies with business goals, including technology roadmaps, resource planning, and risk management.
Manage and track organizational policies and procedures for compliance and consistency.
Allocate financial resources effectively to support organizational goals and initiatives.
Gather and analyze data to understand market trends and consumer behavior.</t>
  </si>
  <si>
    <t>Assist in developing and aligning IT strategies with business goals, including technology roadmaps, resource planning, and risk management.
Identify, assess, and mitigate potential risks to the organization's objectives and operations.
Manage and streamline workflows and processes to improve efficiency and productivity across the organization.</t>
  </si>
  <si>
    <t>Promote diversity and inclusion within the organization through various initiatives.
Assist in migrating systems, applications, or data from one environment to another.
Manage relationships and interactions with vendors and suppliers.</t>
  </si>
  <si>
    <t>Create and manage schedules for tasks, projects, or events.
Facilitate the creation and management of project plans, including timelines, tasks, and dependencies.
Manages customer interactions and relationships, including sales, marketing, and customer service activities.
Analyze data and generate insights to support decision-making and planning.</t>
  </si>
  <si>
    <t>Facilitates communication and cooperation among team members through features such as messaging, file sharing, and project management.
Provides a centralized platform for managing customer support requests and inquiries, improving response times and customer satisfaction.
Manage various HR functions such as payroll, benefits, and performance evaluation.</t>
  </si>
  <si>
    <t>Enable the creation and optimization of user interfaces and experiences for digital products and services.
Provide access to and enable the sharing of data in an open and standardized format, promoting transparency and collaboration.
Track and record time spent on tasks or activities for analysis and reporting.</t>
  </si>
  <si>
    <t>Facilitates the management and analysis of investment portfolios, including trading, risk assessment, and performance tracking.
Analyze resource utilization to optimize efficiency and reduce waste.
Create and manage roadmaps for projects, initiatives, or technology implementations.</t>
  </si>
  <si>
    <t>Visualize and analyze data to gain insights and inform decision-making.
Track and manage inventory levels and movements to optimize stock levels.
Manage financial transactions and reporting for organizational accounting purposes.</t>
  </si>
  <si>
    <t>Facilitate the planning and scheduling of tasks, projects, or activities to achieve organizational goals.
Plan and manage budgets to allocate resources effectively and control costs.
Coordinate response efforts and communication during emergencies or crises.</t>
  </si>
  <si>
    <t>Optimize systems, processes, or resources for improved performance and efficiency.
Leverage artificial intelligence technologies to automate tasks and processes for greater efficiency.
Facilitates the management and analysis of investment portfolios, including trading, risk assessment, and performance tracking.
Provide access to and enable the sharing of data in an open and standardized format, promoting transparency and collaboration.</t>
  </si>
  <si>
    <t>Provide middleware solutions to facilitate communication and data exchange between different systems or applications.
Provide access to and enable the sharing of data in an open and standardized format, promoting transparency and collaboration.
Facilitates the management and analysis of investment portfolios, including trading, risk assessment, and performance tracking.</t>
  </si>
  <si>
    <t>Aggregate and combine data from multiple sources to provide a unified view and support analytics and reporting.
Provide access to and enable the sharing of data in an open and standardized format, promoting transparency and collaboration.
Facilitates the management and analysis of investment portfolios, including trading, risk assessment, and performance tracking.
Ensure the quality, integrity, and security of data throughout its lifecycle, including data management, compliance, and privacy.
Facilitates communication and cooperation among team members through features such as messaging, file sharing, and project management.</t>
  </si>
  <si>
    <t>Facilitate the creation and management of project plans, including timelines, tasks, and dependencies.
Provide a consistent and unified interface for users to interact with systems or applications.
Manage and optimize the flow of goods, services, or information through supply chains.
Utilize data mining and statistical algorithms to forecast future trends and behaviors, enabling proactive decision-making.</t>
  </si>
  <si>
    <t>Scale systems or infrastructure to accommodate changing demands or growth.
Improve operational efficiency and effectiveness through automation and optimization.
Implement measures to future-proof systems or processes against emerging challenges or risks.</t>
  </si>
  <si>
    <t>Facilitate the recruitment process by sourcing, screening, and selecting candidates for job positions.
Manage and prioritize organizational goals and initiatives for better focus and alignment.
Develop plans and strategies to address potential risks or disruptions proactively.</t>
  </si>
  <si>
    <t>Balance workloads and distribute resources evenly across systems or networks.
Forecast and plan for future resource needs based on current usage and trends.
Create and maintain a repository of knowledge and information for organizational use.</t>
  </si>
  <si>
    <t>Foster innovation and creativity within the organization through collaborative platforms.
Analyze historical data and trends to identify patterns or insights for strategic planning.</t>
  </si>
  <si>
    <t>Control costs and expenditures to optimize financial performance.
Provide software for educational institutions or training organizations.</t>
  </si>
  <si>
    <t>Facilitate the measurement and assessment of customer or user satisfaction levels.
Identify and address the underlying causes of problems or incidents to prevent recurrence and improve performance.
Conduct audits and assessments to ensure compliance and adherence to standards.</t>
  </si>
  <si>
    <t>Test the performance and scalability of systems or applications under load.
Manage environmental, health, and safety compliance and risks to protect employees and the environment.
Provide support and assistance to users for technical issues or inquiries related to systems or applications.</t>
  </si>
  <si>
    <t>Facilitate communication and collaboration among team members and stakeholders.
Provide tools and resources for training and skill development to support employee growth and development.
Manage employee schedules, shifts, and assignments for efficient workforce management.
Analyze and evaluate investment opportunities to support informed decision-making.</t>
  </si>
  <si>
    <t>Assist in planning, scheduling, and managing projects, including task assignments, progress tracking, and resource allocation.
Facilitate the efficient allocation and reallocation of resources to optimize organizational effectiveness.</t>
  </si>
  <si>
    <t>Prepare for and obtain Project Management Professional (PMP) certification.
Facilitate the planning, execution, and tracking of organizational changes to minimize resistance and maximize adoption.
Help prioritize tasks, projects, or goals based on their importance and impact.</t>
  </si>
  <si>
    <t>Assess and evaluate the value generated by projects or initiatives.
Create and visualize project schedules and timelines to track progress and milestones.
Organize and group data or entities based on similarity or relatedness.</t>
  </si>
  <si>
    <t>Identify, assess, and mitigate risks to protect organizational assets and interests.
Facilitate the planning, implementation, and tracking of organizational changes to minimize disruptions and maximize benefits.
Streamline the recruitment process by managing job postings, applications, and candidate communication.</t>
  </si>
  <si>
    <t>Streamlines the creation, distribution, and enforcement of organizational policies and procedures to ensure compliance and consistency.
Streamline the recruitment process by managing job postings, applications, and candidate communication.
Streamlines the creation, distribution, and enforcement of organizational policies and procedures to ensure compliance and consistency.
Create and manage roadmaps for IT projects, initiatives, or technologies.</t>
  </si>
  <si>
    <t>Facilitates the setting, tracking, and alignment of Objectives and Key Results (OKRs) to improve organizational focus and performance.
Assist in developing and implementing strategic plans to achieve long-term goals and objectives.
Support the planning and execution of organizational transformations, including change management, communication, and training.
Take a comprehensive or integrated approach to address complex issues or challenges within the organization.</t>
  </si>
  <si>
    <t>Implement measures to prevent potential issues or problems from occurring.
Enable the creation and optimization of user interfaces and experiences for digital products and services.
Develop and execute strategies to achieve organizational goals and objectives.
Enhance engagement and interaction with stakeholders through various channels.
Track and manage expenses incurred by the organization for better financial management.
Plan and forecast the human resource needs of the organization to support business objectives and growth initiatives.
Analyze historical data and trends to forecast future events or outcomes.</t>
  </si>
  <si>
    <t>Implement measures to prevent problems or issues from occurring or escalating.
Manage and track interactions with customers to provide efficient and effective service.
Provide tools and resources to support users and address their needs effectively.</t>
  </si>
  <si>
    <t>Monitor and track system uptime and availability to ensure continuous service delivery and minimize downtime.
Enable organizations to gather, analyze, and visualize data to make informed business decisions.
Manage patient records, appointments, and medical billing to streamline healthcare operations.
Manage patient records, appointments, and medical billing to streamline healthcare operations.
Aid in identifying areas for improvement and implementing strategies to enhance performance.
Provide tools to map and visualize the flow of data between systems or processes.
Design user interfaces to improve the usability and accessibility of software applications.
Deliver personalized and customized services to meet the specific needs of customers or clients.</t>
  </si>
  <si>
    <t>Automate manual tasks and workflows to improve productivity and reduce errors.
Facilitate communication and collaboration among team members for better productivity.
Integrate multiple systems or applications to work together seamlessly.
Ensure the quality and reliability of products, services, or processes through testing and validation.
Determine and allocate resources based on organizational priorities and needs.</t>
  </si>
  <si>
    <t>Conduct SWOT (Strengths, Weaknesses, Opportunities, Threats) analysis to assess organizational strategies and objectives.
Ensure adherence to legal, regulatory, and industry standards through monitoring, reporting, and auditing capabilities.</t>
  </si>
  <si>
    <t>Implement upgrades or enhancements to systems, applications, or processes to improve performance and functionality.
Provide tools and resources to support leadership development and effectiveness.</t>
  </si>
  <si>
    <t>Streamlines the creation, distribution, and enforcement of organizational policies and procedures to ensure compliance and consistency.
Plan, implement, and track changes to organizational processes or systems.
Support initiatives to enhance organizational effectiveness, including leadership development, culture change, and performance management.
Provide inclusive services and accommodations to meet diverse needs and requirements.
Analyze the costs and benefits of potential actions or investments to inform decision-making effectively.</t>
  </si>
  <si>
    <t>Facilitate collaboration and communication across global teams with features such as multilingual support and time zone management.
Centralize and standardize Standard Operating Procedures (SOPs) to ensure consistency and compliance across the organization.
Centralize and manage data to ensure consistency, accuracy, and accessibility.
Ensure compliance with legal and regulatory requirements to mitigate risks.</t>
  </si>
  <si>
    <t>Manage and enforce protocols and procedures for organizational compliance and governance.
Develop and document IT strategies and plans for future initiatives and investments.
Manage the creation, deployment, and maintenance of Application Programming Interfaces (APIs) to enable integration and interoperability.
Ensure the quality, integrity, and security of data throughout its lifecycle, including data management, compliance, and privacy.
Manage user identities and access rights to ensure security and compliance.
Ensure compliance with data protection and privacy regulations to safeguard sensitive information.
Provide tools and technologies to secure and protect organizational assets and information.
Encrypt data to protect it from unauthorized access or interception.
Forecast and assess potential risks to inform decision-making and risk management strategies.</t>
  </si>
  <si>
    <t>Support organizational change and transformation initiatives through technology solutions.
Overhaul and modernize IT infrastructure, systems, and processes to improve performance and efficiency.
Deploy and implement technology solutions to support business objectives.</t>
  </si>
  <si>
    <t>Plan and strategize IT initiatives and investments to support business objectives.
Provide tools to help individuals or teams focus on key tasks or objectives.
Assist in budgeting, forecasting, and financial analysis to support strategic decision-making and resource allocation.
Automate repetitive tasks and streamline business processes to improve efficiency and reduce errors.</t>
  </si>
  <si>
    <t>Define and manage the scope of services offered by the organization.
Manage and oversee the rollout of projects or initiatives to ensure success.
Support the ongoing maintenance and upkeep of systems or applications to ensure reliability and performance.
Manages customer interactions and relationships, including sales, marketing, and customer service activities.
Manage and secure mobile devices and applications to protect data and ensure compliance with organizational policies.
Manage and administer applications throughout their lifecycle, from development to retirement.</t>
  </si>
  <si>
    <t>Manage and coordinate the delivery of services to customers or clients.
Manage and oversee the rollout of projects, initiatives, or changes to ensure successful implementation.
Support the planning and execution of transitions, such as mergers, acquisitions, or system migrations, to minimize disruption and risk.
Provide tools and environments for software development and coding.
Track and measure the outcomes and results of projects, initiatives, or interventions.</t>
  </si>
  <si>
    <t>Provide tools and strategies to help individuals or teams maintain focus on key tasks or objectives.
Analyze the return on investment (ROI) of projects, initiatives, or investments.
Assess and optimize the value generated by projects, programs, and investments to maximize returns and outcomes.
Standardize and enforce best practices and processes across the organization.
Create and visualize organizational structures to understand reporting relationships and support workforce planning.</t>
  </si>
  <si>
    <t>Enable organizations to gather, analyze, and visualize data to make informed business decisions.
Help individuals and teams organize and prioritize their tasks to improve productivity and efficiency.
Continuously track and analyze system performance, availability, and health to ensure optimal operation.
Monitor and evaluate employee performance against goals and objectives to support development and performance improvement.</t>
  </si>
  <si>
    <t>Centralize and standardize Standard Operating Procedures (SOPs) to ensure consistency and compliance across the organization.
Capture, store, and share organizational knowledge to support learning, collaboration, and decision-making.</t>
  </si>
  <si>
    <t>Provide tools and support for the effective execution and implementation of plans and strategies.
Manage and track organizational policies and ensure compliance with regulations.
Establish and enforce coding standards and best practices for software development teams.</t>
  </si>
  <si>
    <t>Classify and categorize software applications based on their function, usage, and business impact for better management and governance.
Manage the various stages of the lifecycle of systems, applications, or products.
Facilitates the management and analysis of investment portfolios, including trading, risk assessment, and performance tracking.
Track and monitor various metrics or parameters for analysis and optimization.</t>
  </si>
  <si>
    <t>Support the development and execution of strategic plans, including goal setting, action planning, and performance tracking.
Identify, assess, and mitigate potential risks to the organization's objectives and operations.
Analyze current and desired states to identify gaps and opportunities for improvement.</t>
  </si>
  <si>
    <t>Collect feedback and assess satisfaction levels to identify areas for improvement and enhance customer experience
Facilitate the adoption and implementation of new technologies or processes within the organization.
Utilize data-driven approaches to inform decision-making and strategies.</t>
  </si>
  <si>
    <t>Manage and organize digital content for efficient storage, retrieval, and distribution.
Optimize the allocation and utilization of resources to maximize efficiency and productivity.
Provide platforms for employees to acquire and develop new skills and competencies.
Manage and control project activities to ensure successful project delivery.</t>
  </si>
  <si>
    <t>Manage and control access to systems, applications, or information to ensure security and compliance.
Map, analyze, and optimize business processes to improve efficiency and effectiveness.
Customize software applications to meet specific business requirements.</t>
  </si>
  <si>
    <t>Assist in designing and managing the structure and operation of an organization's IT infrastructure and applications.
Track and monitor time spent on tasks and projects for better resource management.
Plan and allocate resources to meet organizational goals and objectives effectively.</t>
  </si>
  <si>
    <t>Provide oversight and monitoring capabilities to ensure projects and processes are on track.
Aggregate and combine data from multiple sources to provide a unified view and support analytics and reporting.
Facilitate the integration of disparate systems and applications for seamless data exchange.</t>
  </si>
  <si>
    <t>Provide tools and resources to support the development and management of platforms or ecosystems.
Facilitate the transition from one state or condition to another within the organization.
Protect organizational assets and information from threats and vulnerabilities.
Protect sensitive data from unauthorized access or theft by encoding it into unreadable format.</t>
  </si>
  <si>
    <t>Monitor and ensure adherence to schedules and deadlines for tasks or projects.
Ensure the accuracy and reliability of data across systems and processes.
Generate and present data in various formats to support decision-making and analysis.
Combine data from multiple sources or formats to create a comprehensive view or dataset.
Create and manage interfaces for users to interact with systems or applications seamlessly.
Control access to resources and information to protect against unauthorized access.
Protect sensitive data from unauthorized access or theft by encoding it into unreadable format.</t>
  </si>
  <si>
    <t>Help individuals and teams organize and prioritize their tasks to improve productivity and efficiency.
Assist in designing and managing the structure and operation of an organization's IT infrastructure and applications.
Continuously track and analyze system performance, availability, and health to ensure optimal operation.</t>
  </si>
  <si>
    <t>Optimize processes, systems, or resources for better performance and efficiency.
Ensure the quality, integrity, and security of data throughout its lifecycle, including data management, compliance, and privacy.
Improve operational efficiency and effectiveness through automation and optimization.</t>
  </si>
  <si>
    <t>Ensure adherence to legal, regulatory, and industry standards through monitoring and enforcement.
Monitor and ensure the quality of products, services, or processes to meet standards.
Monitor and ensure the quality of products, services, or processes to meet standards.</t>
  </si>
  <si>
    <t>Facts</t>
  </si>
  <si>
    <t>Reference</t>
  </si>
  <si>
    <t>Organizational Values</t>
  </si>
  <si>
    <t>System Deployment and Integration
Operational Effectiveness and Efficiency
System Deployment and Integration
Implementation Challenges and Delays</t>
  </si>
  <si>
    <t>System Deployment and Integration
Policy and Organizational Reform
Business Alignment
Data and Information Management
Strategic Planning and Development</t>
  </si>
  <si>
    <t>Concerns that Need to be added</t>
  </si>
  <si>
    <t>Table 1:  Thematic Analysis</t>
  </si>
  <si>
    <t>Table 2: Glossary</t>
  </si>
  <si>
    <t>Table 3: Concern Check</t>
  </si>
  <si>
    <t>Editable Fields</t>
  </si>
  <si>
    <t>Glossary Check</t>
  </si>
  <si>
    <t>Collaboration and Communication
Collaboration and Communication
Program and Project Management</t>
  </si>
  <si>
    <t>Accuracy of Reporting
Duplication</t>
  </si>
  <si>
    <t>Precise reports
Streamlined processes</t>
  </si>
  <si>
    <t>Data Security, Quality and Privacy
Resource Management and Utilization</t>
  </si>
  <si>
    <t>Current Themes (Organizational Values)</t>
  </si>
  <si>
    <t>Table 4: Current Themes</t>
  </si>
  <si>
    <t>Table 5: Tech Concept Table</t>
  </si>
  <si>
    <t>Table 6: Tool Data</t>
  </si>
  <si>
    <t>Reporting software
Workflow automation tools</t>
  </si>
  <si>
    <t>Generate and present data in various formats to support decision-making and analysis.
Automate repetitive tasks and streamline workflows to improve efficiency.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</si>
</sst>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b/>
      <sz val="11"/>
      <color theme="1"/>
      <name val="Calibri"/>
      <family val="2"/>
      <scheme val="minor"/>
    </font>
    <font>
      <b/>
      <sz val="14"/>
      <color theme="1"/>
      <name val="Calibri"/>
      <family val="2"/>
      <scheme val="minor"/>
    </font>
    <font>
      <b/>
      <sz val="14"/>
      <color theme="5" tint="-0.249977111117893"/>
      <name val="Calibri"/>
      <family val="2"/>
      <scheme val="minor"/>
    </font>
    <font>
      <sz val="11"/>
      <name val="Calibri"/>
      <family val="2"/>
      <scheme val="minor"/>
    </font>
    <font>
      <b/>
      <sz val="11"/>
      <color theme="0"/>
      <name val="Calibri"/>
      <family val="2"/>
      <scheme val="minor"/>
    </font>
    <font>
      <sz val="11"/>
      <color rgb="FF000000"/>
      <name val="Calibri"/>
      <family val="2"/>
    </font>
    <font>
      <b/>
      <sz val="11"/>
      <color rgb="FF000000"/>
      <name val="Calibri"/>
      <family val="2"/>
    </font>
    <font>
      <b/>
      <sz val="1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002060"/>
        <bgColor indexed="64"/>
      </patternFill>
    </fill>
    <fill>
      <patternFill patternType="solid">
        <fgColor theme="8" tint="-0.249977111117893"/>
        <bgColor indexed="64"/>
      </patternFill>
    </fill>
    <fill>
      <patternFill patternType="solid">
        <fgColor theme="6" tint="-0.249977111117893"/>
        <bgColor indexed="64"/>
      </patternFill>
    </fill>
  </fills>
  <borders count="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37">
    <xf numFmtId="0" fontId="0" fillId="0" borderId="0" xfId="0"/>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4" fillId="0" borderId="0" xfId="0" applyFont="1" applyAlignment="1">
      <alignment vertical="center" wrapText="1"/>
    </xf>
    <xf numFmtId="0" fontId="0" fillId="0" borderId="0" xfId="0" applyAlignment="1">
      <alignment vertical="center"/>
    </xf>
    <xf numFmtId="0" fontId="0" fillId="0" borderId="0" xfId="0" applyProtection="1">
      <protection locked="0"/>
    </xf>
    <xf numFmtId="0" fontId="0" fillId="0" borderId="5" xfId="0" applyBorder="1" applyAlignment="1">
      <alignment wrapText="1"/>
    </xf>
    <xf numFmtId="0" fontId="0" fillId="0" borderId="5" xfId="0" applyBorder="1"/>
    <xf numFmtId="0" fontId="0" fillId="0" borderId="5" xfId="0" applyBorder="1" applyAlignment="1">
      <alignment horizontal="center" vertical="center" wrapText="1"/>
    </xf>
    <xf numFmtId="0" fontId="0" fillId="0" borderId="0" xfId="0" applyAlignment="1">
      <alignment horizontal="center"/>
    </xf>
    <xf numFmtId="0" fontId="5" fillId="4" borderId="0" xfId="0" applyFont="1" applyFill="1" applyAlignment="1">
      <alignment horizontal="center"/>
    </xf>
    <xf numFmtId="0" fontId="0" fillId="7" borderId="0" xfId="0" applyFill="1" applyAlignment="1">
      <alignment horizontal="center" vertical="center" wrapText="1"/>
    </xf>
    <xf numFmtId="0" fontId="1" fillId="3" borderId="0" xfId="0" applyFont="1" applyFill="1" applyAlignment="1">
      <alignment horizontal="center" vertical="center" wrapText="1"/>
    </xf>
    <xf numFmtId="0" fontId="8" fillId="0" borderId="5"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 fillId="2" borderId="7" xfId="0" applyFont="1" applyFill="1" applyBorder="1" applyAlignment="1">
      <alignment horizontal="center" vertical="center"/>
    </xf>
    <xf numFmtId="0" fontId="0" fillId="2" borderId="0" xfId="0" applyFill="1" applyAlignment="1">
      <alignment horizontal="center" vertical="center"/>
    </xf>
    <xf numFmtId="0" fontId="0" fillId="2" borderId="5" xfId="0" applyFill="1" applyBorder="1" applyAlignment="1">
      <alignment vertical="center" wrapText="1"/>
    </xf>
    <xf numFmtId="0" fontId="0" fillId="2" borderId="5" xfId="0" applyFill="1" applyBorder="1" applyAlignment="1">
      <alignment horizontal="center" vertical="center" wrapText="1"/>
    </xf>
    <xf numFmtId="0" fontId="0" fillId="2" borderId="5" xfId="0" applyFill="1" applyBorder="1" applyAlignment="1">
      <alignment wrapText="1"/>
    </xf>
    <xf numFmtId="0" fontId="4" fillId="2" borderId="5" xfId="0" applyFont="1" applyFill="1" applyBorder="1" applyAlignment="1">
      <alignment horizontal="center" vertical="center" wrapText="1"/>
    </xf>
    <xf numFmtId="0" fontId="0" fillId="0" borderId="6" xfId="0" applyBorder="1" applyAlignment="1">
      <alignment horizontal="center" vertical="center" wrapText="1"/>
    </xf>
    <xf numFmtId="0" fontId="4" fillId="0" borderId="5" xfId="0" applyFont="1" applyBorder="1" applyAlignment="1">
      <alignment horizontal="center" vertical="center" wrapText="1"/>
    </xf>
    <xf numFmtId="0" fontId="5" fillId="0" borderId="0" xfId="0" applyFont="1" applyAlignment="1">
      <alignment horizontal="center" vertical="center"/>
    </xf>
    <xf numFmtId="0" fontId="4" fillId="0" borderId="0" xfId="0" applyFont="1" applyAlignment="1">
      <alignment horizontal="left" vertical="center"/>
    </xf>
    <xf numFmtId="0" fontId="5" fillId="4" borderId="0" xfId="0" applyFont="1" applyFill="1" applyAlignment="1">
      <alignment horizontal="center"/>
    </xf>
    <xf numFmtId="0" fontId="3" fillId="0" borderId="4" xfId="0" applyFont="1" applyBorder="1" applyAlignment="1">
      <alignment horizont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2" fillId="0" borderId="0" xfId="0" applyFont="1" applyAlignment="1">
      <alignment horizontal="center"/>
    </xf>
    <xf numFmtId="0" fontId="5" fillId="6" borderId="0" xfId="0" applyFont="1" applyFill="1" applyAlignment="1">
      <alignment horizontal="center"/>
    </xf>
    <xf numFmtId="0" fontId="5" fillId="5" borderId="0" xfId="0" applyFont="1" applyFill="1" applyAlignment="1">
      <alignment horizontal="center"/>
    </xf>
    <xf numFmtId="0" fontId="5" fillId="5" borderId="0" xfId="0" applyFont="1" applyFill="1"/>
  </cellXfs>
  <cellStyles count="1">
    <cellStyle name="Normal" xfId="0" builtinId="0"/>
  </cellStyles>
  <dxfs count="36">
    <dxf>
      <fill>
        <patternFill>
          <bgColor rgb="FFFF0000"/>
        </patternFill>
      </fill>
    </dxf>
    <dxf>
      <numFmt numFmtId="0" formatCode="General"/>
      <alignment horizontal="general" vertical="center" textRotation="0" wrapText="1" indent="0" justifyLastLine="0" shrinkToFit="0" readingOrder="0"/>
    </dxf>
    <dxf>
      <alignment vertical="center" textRotation="0" indent="0" justifyLastLine="0" shrinkToFit="0" readingOrder="0"/>
    </dxf>
    <dxf>
      <alignment vertical="center" textRotation="0"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alignment horizontal="general" vertical="center" textRotation="0" indent="0" justifyLastLine="0" shrinkToFit="0" readingOrder="0"/>
    </dxf>
    <dxf>
      <alignment horizontal="center" vertical="bottom"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val="0"/>
        <strike val="0"/>
        <outline val="0"/>
        <shadow val="0"/>
        <u val="none"/>
        <vertAlign val="baseline"/>
        <sz val="11"/>
        <color auto="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6" tint="-0.249977111117893"/>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4" tint="-0.249977111117893"/>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bottom/>
      </border>
    </dxf>
    <dxf>
      <alignment horizontal="center" vertical="center" textRotation="0" wrapText="1" indent="0" justifyLastLine="0" shrinkToFit="0" readingOrder="0"/>
    </dxf>
    <dxf>
      <fill>
        <patternFill patternType="solid">
          <fgColor indexed="64"/>
          <bgColor rgb="FFFFFF00"/>
        </patternFill>
      </fill>
      <alignment horizontal="center"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general" vertical="center" textRotation="0" wrapText="1" indent="0" justifyLastLine="0" shrinkToFit="0" readingOrder="0"/>
    </dxf>
    <dxf>
      <fill>
        <patternFill patternType="solid">
          <fgColor indexed="64"/>
          <bgColor rgb="FFFFFF00"/>
        </patternFill>
      </fill>
      <alignment horizontal="center" vertical="center" textRotation="0" indent="0" justifyLastLine="0" shrinkToFit="0" readingOrder="0"/>
    </dxf>
    <dxf>
      <border outline="0">
        <right style="thin">
          <color indexed="64"/>
        </right>
      </border>
    </dxf>
    <dxf>
      <alignment horizontal="center" vertical="center" textRotation="0" wrapText="1" indent="0" justifyLastLine="0" shrinkToFit="0" readingOrder="0"/>
    </dxf>
    <dxf>
      <font>
        <strike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dxf>
  </dxfs>
  <tableStyles count="1" defaultTableStyle="TableStyleMedium2" defaultPivotStyle="PivotStyleLight16">
    <tableStyle name="Invisible" pivot="0" table="0" count="0" xr9:uid="{E07388E1-7985-4032-B769-5C322B7618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3</xdr:row>
          <xdr:rowOff>161925</xdr:rowOff>
        </xdr:from>
        <xdr:to>
          <xdr:col>5</xdr:col>
          <xdr:colOff>2324100</xdr:colOff>
          <xdr:row>3</xdr:row>
          <xdr:rowOff>628650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Possible Solutions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xdr:row>
          <xdr:rowOff>123825</xdr:rowOff>
        </xdr:from>
        <xdr:to>
          <xdr:col>6</xdr:col>
          <xdr:colOff>3009900</xdr:colOff>
          <xdr:row>3</xdr:row>
          <xdr:rowOff>638175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Update Organizational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1</xdr:row>
          <xdr:rowOff>95250</xdr:rowOff>
        </xdr:from>
        <xdr:to>
          <xdr:col>5</xdr:col>
          <xdr:colOff>1704975</xdr:colOff>
          <xdr:row>1</xdr:row>
          <xdr:rowOff>485775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Concerns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xdr:row>
          <xdr:rowOff>47625</xdr:rowOff>
        </xdr:from>
        <xdr:to>
          <xdr:col>7</xdr:col>
          <xdr:colOff>2028825</xdr:colOff>
          <xdr:row>1</xdr:row>
          <xdr:rowOff>438150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0" i="0" u="none" strike="noStrike" baseline="0">
                  <a:solidFill>
                    <a:srgbClr val="000000"/>
                  </a:solidFill>
                  <a:latin typeface="Calibri"/>
                  <a:cs typeface="Calibri"/>
                </a:rPr>
                <a:t>Check Current Groups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1543050</xdr:colOff>
          <xdr:row>0</xdr:row>
          <xdr:rowOff>542925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Concepts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0</xdr:row>
          <xdr:rowOff>66675</xdr:rowOff>
        </xdr:from>
        <xdr:to>
          <xdr:col>6</xdr:col>
          <xdr:colOff>9525</xdr:colOff>
          <xdr:row>0</xdr:row>
          <xdr:rowOff>542925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1100" b="1" i="0" u="none" strike="noStrike" baseline="0">
                  <a:solidFill>
                    <a:srgbClr val="000000"/>
                  </a:solidFill>
                  <a:latin typeface="Calibri"/>
                  <a:cs typeface="Calibri"/>
                </a:rPr>
                <a:t>Update Tech Layers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39C65B1-301A-4664-8C30-852B8C943832}" name="Table1" displayName="Table1" ref="A6:I72" totalsRowShown="0" headerRowDxfId="35" dataDxfId="34" tableBorderDxfId="33">
  <autoFilter ref="A6:I72" xr:uid="{D39C65B1-301A-4664-8C30-852B8C943832}"/>
  <tableColumns count="9">
    <tableColumn id="1" xr3:uid="{E37F10F0-3B28-44D1-909D-56174809CD15}" name="ID" dataDxfId="32">
      <calculatedColumnFormula>A6+1</calculatedColumnFormula>
    </tableColumn>
    <tableColumn id="2" xr3:uid="{AF52C601-054F-4544-8A9F-E4E66B42EAF2}" name="Reference" dataDxfId="31"/>
    <tableColumn id="3" xr3:uid="{98663B65-2A1B-45B8-9B7B-E5AA992F38ED}" name="Extract" dataDxfId="30"/>
    <tableColumn id="4" xr3:uid="{32D4F5A3-434E-41A7-B4FE-8A0A4DDD0E9A}" name="Facts" dataDxfId="29"/>
    <tableColumn id="5" xr3:uid="{58B8B5D6-2CE4-4032-B24A-E79E6D6499FC}" name="Concern" dataDxfId="28"/>
    <tableColumn id="6" xr3:uid="{4CBF119E-EA62-4897-BA19-B5277A113CD7}" name="Possible Solutions" dataDxfId="27"/>
    <tableColumn id="7" xr3:uid="{9245D754-1CF3-4F33-A9FD-11B36365C483}" name="Organizational Values" dataDxfId="26"/>
    <tableColumn id="8" xr3:uid="{1E1314C4-1724-4F46-B5BA-BB850A2B3061}" name="Notes/Additional" dataDxfId="25"/>
    <tableColumn id="9" xr3:uid="{9BABA224-03F1-4C2F-A655-FAAFE66B6540}" name="Glossary Check" dataDxfId="24">
      <calculatedColumnFormula>CheckGlossary($E7, Table2[Concerns])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57346A-8157-4AB7-BA24-95DEAB55C7E0}" name="Table2" displayName="Table2" ref="A4:D217" totalsRowShown="0" headerRowDxfId="23" dataDxfId="22">
  <autoFilter ref="A4:D217" xr:uid="{F557346A-8157-4AB7-BA24-95DEAB55C7E0}"/>
  <sortState xmlns:xlrd2="http://schemas.microsoft.com/office/spreadsheetml/2017/richdata2" ref="A5:D217">
    <sortCondition ref="B4:B217"/>
  </sortState>
  <tableColumns count="4">
    <tableColumn id="3" xr3:uid="{9A3530D6-3FA4-4301-B1A8-66D43F02AC61}" name="ID" dataDxfId="21"/>
    <tableColumn id="1" xr3:uid="{A62D73FD-7276-4F2D-9085-D203977C73C4}" name="Concerns" dataDxfId="20"/>
    <tableColumn id="4" xr3:uid="{CEE9EB9B-E91C-41C5-A782-3045000D3D4D}" name="Themes (Organizational Values)"/>
    <tableColumn id="2" xr3:uid="{4D87C797-9AF2-4A53-B9A2-1F9D701C9272}" name="Possible Solutions"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4EFC92-3300-4F45-A64E-D2ABBD972040}" name="Table3" displayName="Table3" ref="F4:F5" insertRow="1" totalsRowShown="0" headerRowDxfId="18">
  <autoFilter ref="F4:F5" xr:uid="{564EFC92-3300-4F45-A64E-D2ABBD972040}"/>
  <tableColumns count="1">
    <tableColumn id="1" xr3:uid="{484E5B82-363C-4245-9DEE-C2DF5DAAB66B}" name="Concerns that Need to be add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1F6413-E688-439B-ACCD-82F7D0B9CBF0}" name="Table4" displayName="Table4" ref="H4:H25" totalsRowShown="0" headerRowDxfId="17" dataDxfId="16">
  <autoFilter ref="H4:H25" xr:uid="{071F6413-E688-439B-ACCD-82F7D0B9CBF0}"/>
  <sortState xmlns:xlrd2="http://schemas.microsoft.com/office/spreadsheetml/2017/richdata2" ref="H4:H5">
    <sortCondition ref="H4"/>
  </sortState>
  <tableColumns count="1">
    <tableColumn id="1" xr3:uid="{D404CA30-2006-4947-A67D-31137D4C5B75}" name="Current Themes (Organizational Values)"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8A77055-C259-414B-BB36-D21754969C94}" name="table5" displayName="table5" ref="A3:D209" totalsRowShown="0" headerRowDxfId="14" dataDxfId="13">
  <autoFilter ref="A3:D209" xr:uid="{88A77055-C259-414B-BB36-D21754969C94}"/>
  <sortState xmlns:xlrd2="http://schemas.microsoft.com/office/spreadsheetml/2017/richdata2" ref="A4:D209">
    <sortCondition ref="B3:B209"/>
  </sortState>
  <tableColumns count="4">
    <tableColumn id="4" xr3:uid="{9FF417ED-669E-4CD6-B370-3F284EF98416}" name="ID" dataDxfId="12"/>
    <tableColumn id="1" xr3:uid="{0C4B0DBE-4A73-4192-B377-7DA531385DE2}" name="Possible Solutions" dataDxfId="11"/>
    <tableColumn id="2" xr3:uid="{3E208449-6526-44CF-AC59-CB9429924362}" name="Tech Concept" dataDxfId="10"/>
    <tableColumn id="3" xr3:uid="{0C1310BA-D048-4003-820D-563F24B1B8D2}" name="Tech Layers"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79CF538-C3D7-4737-A223-A0DBD291B3C6}" name="Table6" displayName="Table6" ref="A3:G69" totalsRowShown="0" dataDxfId="8">
  <autoFilter ref="A3:G69" xr:uid="{F79CF538-C3D7-4737-A223-A0DBD291B3C6}"/>
  <tableColumns count="7">
    <tableColumn id="1" xr3:uid="{D1D6EA50-9BC1-4A54-BECD-39796F25EBD7}" name="ID" dataDxfId="7">
      <calculatedColumnFormula>'Thematic Analysis'!#REF!</calculatedColumnFormula>
    </tableColumn>
    <tableColumn id="2" xr3:uid="{E24CE3CC-B4B6-4C4F-90E7-295304758DF1}" name="Concern" dataDxfId="6">
      <calculatedColumnFormula>'Thematic Analysis'!$E7</calculatedColumnFormula>
    </tableColumn>
    <tableColumn id="3" xr3:uid="{DDA15557-5AE9-4190-B274-0F309E7E6249}" name="Organizational Value" dataDxfId="5">
      <calculatedColumnFormula>'Thematic Analysis'!$G7</calculatedColumnFormula>
    </tableColumn>
    <tableColumn id="7" xr3:uid="{922643FC-B475-48C8-895E-24816DC8ADB8}" name="Possible Solution" dataDxfId="4">
      <calculatedColumnFormula>'Thematic Analysis'!$F7</calculatedColumnFormula>
    </tableColumn>
    <tableColumn id="4" xr3:uid="{8317CC99-47AA-4512-9B48-6638EFE433BC}" name="Tech Concepts" dataDxfId="3"/>
    <tableColumn id="5" xr3:uid="{CFDDE1F2-4EBC-4AF6-BED1-F881894AC077}" name="Tech Layers" dataDxfId="2"/>
    <tableColumn id="6" xr3:uid="{75D8CE58-185C-4867-8B65-8D04627A39E7}" name="Use Case" dataDxfId="1">
      <calculatedColumnFormula>'Thematic Analysis'!$D7</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2.vml"/><Relationship Id="rId7"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168"/>
  <sheetViews>
    <sheetView tabSelected="1" zoomScaleNormal="100" workbookViewId="0">
      <pane ySplit="6" topLeftCell="A72" activePane="bottomLeft" state="frozen"/>
      <selection pane="bottomLeft" activeCell="A72" sqref="A72"/>
    </sheetView>
  </sheetViews>
  <sheetFormatPr defaultRowHeight="15" x14ac:dyDescent="0.25"/>
  <cols>
    <col min="1" max="1" width="9.140625" style="2"/>
    <col min="2" max="2" width="28.42578125" customWidth="1"/>
    <col min="3" max="3" width="80.140625" bestFit="1" customWidth="1"/>
    <col min="4" max="4" width="49.7109375" customWidth="1"/>
    <col min="5" max="5" width="45.5703125" customWidth="1"/>
    <col min="6" max="6" width="41.85546875" customWidth="1"/>
    <col min="7" max="7" width="51.28515625" customWidth="1"/>
    <col min="8" max="8" width="21.42578125" customWidth="1"/>
    <col min="9" max="9" width="33.7109375" customWidth="1"/>
    <col min="10" max="10" width="20.28515625" customWidth="1"/>
  </cols>
  <sheetData>
    <row r="1" spans="1:9" ht="15" customHeight="1" x14ac:dyDescent="0.3">
      <c r="C1" s="33" t="s">
        <v>0</v>
      </c>
      <c r="D1" s="33"/>
      <c r="E1" s="33"/>
      <c r="F1" s="33"/>
      <c r="I1" s="2"/>
    </row>
    <row r="2" spans="1:9" ht="19.5" thickBot="1" x14ac:dyDescent="0.35">
      <c r="C2" s="29" t="s">
        <v>1</v>
      </c>
      <c r="D2" s="29"/>
      <c r="E2" s="29"/>
      <c r="F2" s="29"/>
      <c r="I2" s="2"/>
    </row>
    <row r="3" spans="1:9" ht="30.75" customHeight="1" thickBot="1" x14ac:dyDescent="0.3">
      <c r="C3" s="30" t="s">
        <v>694</v>
      </c>
      <c r="D3" s="31"/>
      <c r="E3" s="31"/>
      <c r="F3" s="32"/>
      <c r="H3" s="18" t="s">
        <v>1317</v>
      </c>
    </row>
    <row r="4" spans="1:9" ht="57.75" customHeight="1" x14ac:dyDescent="0.25">
      <c r="I4" s="2"/>
    </row>
    <row r="5" spans="1:9" x14ac:dyDescent="0.25">
      <c r="A5" s="28" t="s">
        <v>1314</v>
      </c>
      <c r="B5" s="28"/>
      <c r="C5" s="28"/>
      <c r="D5" s="28"/>
      <c r="E5" s="28"/>
      <c r="F5" s="28"/>
      <c r="G5" s="28"/>
      <c r="H5" s="28"/>
      <c r="I5" s="28"/>
    </row>
    <row r="6" spans="1:9" s="7" customFormat="1" ht="63" customHeight="1" x14ac:dyDescent="0.25">
      <c r="A6" s="15" t="s">
        <v>1179</v>
      </c>
      <c r="B6" s="15" t="s">
        <v>1309</v>
      </c>
      <c r="C6" s="16" t="s">
        <v>634</v>
      </c>
      <c r="D6" s="16" t="s">
        <v>1308</v>
      </c>
      <c r="E6" s="16" t="s">
        <v>729</v>
      </c>
      <c r="F6" s="17" t="s">
        <v>6</v>
      </c>
      <c r="G6" s="16" t="s">
        <v>1310</v>
      </c>
      <c r="H6" s="17" t="s">
        <v>2</v>
      </c>
      <c r="I6" s="17" t="s">
        <v>1318</v>
      </c>
    </row>
    <row r="7" spans="1:9" ht="300" x14ac:dyDescent="0.25">
      <c r="A7" s="19">
        <v>1</v>
      </c>
      <c r="B7" s="20" t="s">
        <v>7</v>
      </c>
      <c r="C7" s="20" t="s">
        <v>25</v>
      </c>
      <c r="D7" s="20" t="s">
        <v>635</v>
      </c>
      <c r="E7" s="21" t="s">
        <v>1320</v>
      </c>
      <c r="F7" s="10" t="s">
        <v>1321</v>
      </c>
      <c r="G7" s="24" t="s">
        <v>1322</v>
      </c>
      <c r="H7" s="4"/>
      <c r="I7" s="10" t="str">
        <f>CheckGlossary($E7, Table2[Concerns])</f>
        <v>In Glossary
In Glossary</v>
      </c>
    </row>
    <row r="8" spans="1:9" ht="60" x14ac:dyDescent="0.25">
      <c r="A8" s="19">
        <f>A7+1</f>
        <v>2</v>
      </c>
      <c r="B8" s="20" t="s">
        <v>3</v>
      </c>
      <c r="C8" s="20" t="s">
        <v>8</v>
      </c>
      <c r="D8" s="20" t="s">
        <v>636</v>
      </c>
      <c r="E8" s="21" t="s">
        <v>137</v>
      </c>
      <c r="F8" s="10" t="s">
        <v>317</v>
      </c>
      <c r="G8" s="10" t="s">
        <v>715</v>
      </c>
      <c r="H8" s="8"/>
      <c r="I8" s="10" t="str">
        <f>CheckGlossary($E8, Table2[Concerns])</f>
        <v>In Glossary</v>
      </c>
    </row>
    <row r="9" spans="1:9" ht="90" x14ac:dyDescent="0.25">
      <c r="A9" s="19">
        <f t="shared" ref="A9:A72" si="0">A8+1</f>
        <v>3</v>
      </c>
      <c r="B9" s="20" t="s">
        <v>3</v>
      </c>
      <c r="C9" s="20" t="s">
        <v>9</v>
      </c>
      <c r="D9" s="20" t="s">
        <v>637</v>
      </c>
      <c r="E9" s="21" t="s">
        <v>139</v>
      </c>
      <c r="F9" s="10" t="s">
        <v>366</v>
      </c>
      <c r="G9" s="10" t="s">
        <v>718</v>
      </c>
      <c r="H9" s="8"/>
      <c r="I9" s="10" t="str">
        <f>CheckGlossary($E9, Table2[Concerns])</f>
        <v>In Glossary</v>
      </c>
    </row>
    <row r="10" spans="1:9" ht="105" x14ac:dyDescent="0.25">
      <c r="A10" s="19">
        <f t="shared" si="0"/>
        <v>4</v>
      </c>
      <c r="B10" s="20" t="s">
        <v>3</v>
      </c>
      <c r="C10" s="20" t="s">
        <v>10</v>
      </c>
      <c r="D10" s="20" t="s">
        <v>638</v>
      </c>
      <c r="E10" s="21" t="s">
        <v>326</v>
      </c>
      <c r="F10" s="10" t="s">
        <v>566</v>
      </c>
      <c r="G10" s="10" t="s">
        <v>730</v>
      </c>
      <c r="H10" s="8"/>
      <c r="I10" s="10" t="str">
        <f>CheckGlossary($E10, Table2[Concerns])</f>
        <v>In Glossary
In Glossary
In Glossary</v>
      </c>
    </row>
    <row r="11" spans="1:9" ht="150" x14ac:dyDescent="0.25">
      <c r="A11" s="19">
        <f t="shared" si="0"/>
        <v>5</v>
      </c>
      <c r="B11" s="20" t="s">
        <v>4</v>
      </c>
      <c r="C11" s="20" t="s">
        <v>33</v>
      </c>
      <c r="D11" s="20" t="s">
        <v>639</v>
      </c>
      <c r="E11" s="21" t="s">
        <v>112</v>
      </c>
      <c r="F11" s="10" t="s">
        <v>567</v>
      </c>
      <c r="G11" s="10" t="s">
        <v>731</v>
      </c>
      <c r="H11" s="9"/>
      <c r="I11" s="10" t="str">
        <f>CheckGlossary($E11, Table2[Concerns])</f>
        <v>In Glossary
In Glossary
In Glossary
In Glossary
In Glossary</v>
      </c>
    </row>
    <row r="12" spans="1:9" ht="60" x14ac:dyDescent="0.25">
      <c r="A12" s="19">
        <f t="shared" si="0"/>
        <v>6</v>
      </c>
      <c r="B12" s="20" t="s">
        <v>12</v>
      </c>
      <c r="C12" s="20" t="s">
        <v>11</v>
      </c>
      <c r="D12" s="20" t="s">
        <v>640</v>
      </c>
      <c r="E12" s="21" t="s">
        <v>327</v>
      </c>
      <c r="F12" s="10" t="s">
        <v>568</v>
      </c>
      <c r="G12" s="10" t="s">
        <v>732</v>
      </c>
      <c r="H12" s="9"/>
      <c r="I12" s="10" t="str">
        <f>CheckGlossary($E12, Table2[Concerns])</f>
        <v>In Glossary
In Glossary
In Glossary</v>
      </c>
    </row>
    <row r="13" spans="1:9" ht="75" x14ac:dyDescent="0.25">
      <c r="A13" s="19">
        <f t="shared" si="0"/>
        <v>7</v>
      </c>
      <c r="B13" s="20" t="s">
        <v>12</v>
      </c>
      <c r="C13" s="20" t="s">
        <v>38</v>
      </c>
      <c r="D13" s="20" t="s">
        <v>641</v>
      </c>
      <c r="E13" s="21" t="s">
        <v>697</v>
      </c>
      <c r="F13" s="10" t="s">
        <v>698</v>
      </c>
      <c r="G13" s="10" t="s">
        <v>733</v>
      </c>
      <c r="H13" s="9"/>
      <c r="I13" s="10" t="str">
        <f>CheckGlossary($E13, Table2[Concerns])</f>
        <v>In Glossary
In Glossary
In Glossary</v>
      </c>
    </row>
    <row r="14" spans="1:9" ht="210" x14ac:dyDescent="0.25">
      <c r="A14" s="19">
        <f t="shared" si="0"/>
        <v>8</v>
      </c>
      <c r="B14" s="20" t="s">
        <v>12</v>
      </c>
      <c r="C14" s="20" t="s">
        <v>39</v>
      </c>
      <c r="D14" s="20" t="s">
        <v>642</v>
      </c>
      <c r="E14" s="21" t="s">
        <v>328</v>
      </c>
      <c r="F14" s="10" t="s">
        <v>569</v>
      </c>
      <c r="G14" s="10" t="s">
        <v>734</v>
      </c>
      <c r="H14" s="9"/>
      <c r="I14" s="10" t="str">
        <f>CheckGlossary($E14, Table2[Concerns])</f>
        <v>In Glossary
In Glossary
In Glossary
In Glossary
In Glossary</v>
      </c>
    </row>
    <row r="15" spans="1:9" ht="255" x14ac:dyDescent="0.25">
      <c r="A15" s="19">
        <f t="shared" si="0"/>
        <v>9</v>
      </c>
      <c r="B15" s="20" t="s">
        <v>13</v>
      </c>
      <c r="C15" s="20" t="s">
        <v>34</v>
      </c>
      <c r="D15" s="20" t="s">
        <v>643</v>
      </c>
      <c r="E15" s="21" t="s">
        <v>113</v>
      </c>
      <c r="F15" s="10" t="s">
        <v>570</v>
      </c>
      <c r="G15" s="10" t="s">
        <v>735</v>
      </c>
      <c r="H15" s="9"/>
      <c r="I15" s="10" t="str">
        <f>CheckGlossary($E15, Table2[Concerns])</f>
        <v>In Glossary
In Glossary
In Glossary</v>
      </c>
    </row>
    <row r="16" spans="1:9" ht="225" x14ac:dyDescent="0.25">
      <c r="A16" s="19">
        <f t="shared" si="0"/>
        <v>10</v>
      </c>
      <c r="B16" s="20" t="s">
        <v>14</v>
      </c>
      <c r="C16" s="20" t="s">
        <v>35</v>
      </c>
      <c r="D16" s="20" t="s">
        <v>644</v>
      </c>
      <c r="E16" s="21" t="s">
        <v>329</v>
      </c>
      <c r="F16" s="10" t="s">
        <v>571</v>
      </c>
      <c r="G16" s="10" t="s">
        <v>736</v>
      </c>
      <c r="H16" s="9"/>
      <c r="I16" s="10" t="str">
        <f>CheckGlossary($E16, Table2[Concerns])</f>
        <v>In Glossary
In Glossary
In Glossary
In Glossary</v>
      </c>
    </row>
    <row r="17" spans="1:9" ht="330" x14ac:dyDescent="0.25">
      <c r="A17" s="19">
        <f t="shared" si="0"/>
        <v>11</v>
      </c>
      <c r="B17" s="20" t="s">
        <v>15</v>
      </c>
      <c r="C17" s="20" t="s">
        <v>16</v>
      </c>
      <c r="D17" s="20" t="s">
        <v>645</v>
      </c>
      <c r="E17" s="21" t="s">
        <v>330</v>
      </c>
      <c r="F17" s="10" t="s">
        <v>572</v>
      </c>
      <c r="G17" s="10" t="s">
        <v>737</v>
      </c>
      <c r="H17" s="9"/>
      <c r="I17" s="10" t="str">
        <f>CheckGlossary($E17, Table2[Concerns])</f>
        <v>In Glossary
In Glossary
In Glossary</v>
      </c>
    </row>
    <row r="18" spans="1:9" ht="240" x14ac:dyDescent="0.25">
      <c r="A18" s="19">
        <f t="shared" si="0"/>
        <v>12</v>
      </c>
      <c r="B18" s="20" t="s">
        <v>17</v>
      </c>
      <c r="C18" s="20" t="s">
        <v>26</v>
      </c>
      <c r="D18" s="20" t="s">
        <v>646</v>
      </c>
      <c r="E18" s="21" t="s">
        <v>168</v>
      </c>
      <c r="F18" s="10" t="s">
        <v>399</v>
      </c>
      <c r="G18" s="10" t="s">
        <v>712</v>
      </c>
      <c r="H18" s="9"/>
      <c r="I18" s="10" t="str">
        <f>CheckGlossary($E18, Table2[Concerns])</f>
        <v>In Glossary</v>
      </c>
    </row>
    <row r="19" spans="1:9" ht="90" x14ac:dyDescent="0.25">
      <c r="A19" s="19">
        <f t="shared" si="0"/>
        <v>13</v>
      </c>
      <c r="B19" s="20" t="s">
        <v>17</v>
      </c>
      <c r="C19" s="20" t="s">
        <v>36</v>
      </c>
      <c r="D19" s="20" t="s">
        <v>647</v>
      </c>
      <c r="E19" s="21" t="s">
        <v>54</v>
      </c>
      <c r="F19" s="10" t="s">
        <v>573</v>
      </c>
      <c r="G19" s="10" t="s">
        <v>738</v>
      </c>
      <c r="H19" s="8"/>
      <c r="I19" s="10" t="str">
        <f>CheckGlossary($E19, Table2[Concerns])</f>
        <v>In Glossary
In Glossary
In Glossary</v>
      </c>
    </row>
    <row r="20" spans="1:9" ht="120" x14ac:dyDescent="0.25">
      <c r="A20" s="19">
        <f t="shared" si="0"/>
        <v>14</v>
      </c>
      <c r="B20" s="20" t="s">
        <v>18</v>
      </c>
      <c r="C20" s="20" t="s">
        <v>37</v>
      </c>
      <c r="D20" s="20" t="s">
        <v>648</v>
      </c>
      <c r="E20" s="21" t="s">
        <v>135</v>
      </c>
      <c r="F20" s="10" t="s">
        <v>574</v>
      </c>
      <c r="G20" s="10" t="s">
        <v>739</v>
      </c>
      <c r="H20" s="8"/>
      <c r="I20" s="10" t="str">
        <f>CheckGlossary($E20, Table2[Concerns])</f>
        <v>In Glossary
In Glossary
In Glossary
In Glossary</v>
      </c>
    </row>
    <row r="21" spans="1:9" ht="150" x14ac:dyDescent="0.25">
      <c r="A21" s="19">
        <f t="shared" si="0"/>
        <v>15</v>
      </c>
      <c r="B21" s="20" t="s">
        <v>18</v>
      </c>
      <c r="C21" s="22" t="s">
        <v>27</v>
      </c>
      <c r="D21" s="22" t="s">
        <v>649</v>
      </c>
      <c r="E21" s="21" t="s">
        <v>136</v>
      </c>
      <c r="F21" s="10" t="s">
        <v>575</v>
      </c>
      <c r="G21" s="10" t="s">
        <v>1319</v>
      </c>
      <c r="H21" s="8"/>
      <c r="I21" s="10" t="str">
        <f>CheckGlossary($E21, Table2[Concerns])</f>
        <v>In Glossary
In Glossary
In Glossary</v>
      </c>
    </row>
    <row r="22" spans="1:9" ht="105" x14ac:dyDescent="0.25">
      <c r="A22" s="19">
        <f t="shared" si="0"/>
        <v>16</v>
      </c>
      <c r="B22" s="20" t="s">
        <v>18</v>
      </c>
      <c r="C22" s="20" t="s">
        <v>19</v>
      </c>
      <c r="D22" s="20" t="s">
        <v>650</v>
      </c>
      <c r="E22" s="21" t="s">
        <v>114</v>
      </c>
      <c r="F22" s="10" t="s">
        <v>576</v>
      </c>
      <c r="G22" s="10" t="s">
        <v>740</v>
      </c>
      <c r="H22" s="8"/>
      <c r="I22" s="10" t="str">
        <f>CheckGlossary($E22, Table2[Concerns])</f>
        <v>In Glossary
In Glossary
In Glossary</v>
      </c>
    </row>
    <row r="23" spans="1:9" ht="75" x14ac:dyDescent="0.25">
      <c r="A23" s="19">
        <f t="shared" si="0"/>
        <v>17</v>
      </c>
      <c r="B23" s="20" t="s">
        <v>20</v>
      </c>
      <c r="C23" s="20" t="s">
        <v>21</v>
      </c>
      <c r="D23" s="20" t="s">
        <v>651</v>
      </c>
      <c r="E23" s="21" t="s">
        <v>331</v>
      </c>
      <c r="F23" s="10" t="s">
        <v>577</v>
      </c>
      <c r="G23" s="10" t="s">
        <v>741</v>
      </c>
      <c r="H23" s="8"/>
      <c r="I23" s="10" t="str">
        <f>CheckGlossary($E23, Table2[Concerns])</f>
        <v>In Glossary
In Glossary
In Glossary</v>
      </c>
    </row>
    <row r="24" spans="1:9" ht="60" x14ac:dyDescent="0.25">
      <c r="A24" s="19">
        <f t="shared" si="0"/>
        <v>18</v>
      </c>
      <c r="B24" s="20" t="s">
        <v>20</v>
      </c>
      <c r="C24" s="20" t="s">
        <v>28</v>
      </c>
      <c r="D24" s="20" t="s">
        <v>652</v>
      </c>
      <c r="E24" s="21" t="s">
        <v>332</v>
      </c>
      <c r="F24" s="10" t="s">
        <v>578</v>
      </c>
      <c r="G24" s="10" t="s">
        <v>742</v>
      </c>
      <c r="H24" s="8"/>
      <c r="I24" s="10" t="str">
        <f>CheckGlossary($E24, Table2[Concerns])</f>
        <v>In Glossary
In Glossary
In Glossary</v>
      </c>
    </row>
    <row r="25" spans="1:9" ht="75" x14ac:dyDescent="0.25">
      <c r="A25" s="19">
        <f t="shared" si="0"/>
        <v>19</v>
      </c>
      <c r="B25" s="20" t="s">
        <v>20</v>
      </c>
      <c r="C25" s="20" t="s">
        <v>29</v>
      </c>
      <c r="D25" s="20" t="s">
        <v>653</v>
      </c>
      <c r="E25" s="21" t="s">
        <v>333</v>
      </c>
      <c r="F25" s="10" t="s">
        <v>579</v>
      </c>
      <c r="G25" s="10" t="s">
        <v>743</v>
      </c>
      <c r="H25" s="8"/>
      <c r="I25" s="10" t="str">
        <f>CheckGlossary($E25, Table2[Concerns])</f>
        <v>In Glossary
In Glossary
In Glossary</v>
      </c>
    </row>
    <row r="26" spans="1:9" ht="135" x14ac:dyDescent="0.25">
      <c r="A26" s="19">
        <f t="shared" si="0"/>
        <v>20</v>
      </c>
      <c r="B26" s="20" t="s">
        <v>20</v>
      </c>
      <c r="C26" s="20" t="s">
        <v>30</v>
      </c>
      <c r="D26" s="20" t="s">
        <v>654</v>
      </c>
      <c r="E26" s="23" t="s">
        <v>699</v>
      </c>
      <c r="F26" s="10" t="s">
        <v>702</v>
      </c>
      <c r="G26" s="10" t="s">
        <v>744</v>
      </c>
      <c r="H26" s="8"/>
      <c r="I26" s="10" t="str">
        <f>CheckGlossary($E26, Table2[Concerns])</f>
        <v>In Glossary
In Glossary
In Glossary
In Glossary</v>
      </c>
    </row>
    <row r="27" spans="1:9" ht="165" x14ac:dyDescent="0.25">
      <c r="A27" s="19">
        <f t="shared" si="0"/>
        <v>21</v>
      </c>
      <c r="B27" s="20" t="s">
        <v>20</v>
      </c>
      <c r="C27" s="20" t="s">
        <v>40</v>
      </c>
      <c r="D27" s="20" t="s">
        <v>655</v>
      </c>
      <c r="E27" s="21" t="s">
        <v>334</v>
      </c>
      <c r="F27" s="10" t="s">
        <v>580</v>
      </c>
      <c r="G27" s="10" t="s">
        <v>745</v>
      </c>
      <c r="H27" s="8"/>
      <c r="I27" s="10" t="str">
        <f>CheckGlossary($E27, Table2[Concerns])</f>
        <v>In Glossary
In Glossary
In Glossary</v>
      </c>
    </row>
    <row r="28" spans="1:9" ht="409.5" x14ac:dyDescent="0.25">
      <c r="A28" s="19">
        <f t="shared" si="0"/>
        <v>22</v>
      </c>
      <c r="B28" s="20" t="s">
        <v>22</v>
      </c>
      <c r="C28" s="20" t="s">
        <v>31</v>
      </c>
      <c r="D28" s="20" t="s">
        <v>656</v>
      </c>
      <c r="E28" s="21" t="s">
        <v>700</v>
      </c>
      <c r="F28" s="10" t="s">
        <v>703</v>
      </c>
      <c r="G28" s="10" t="s">
        <v>746</v>
      </c>
      <c r="H28" s="8"/>
      <c r="I28" s="10" t="str">
        <f>CheckGlossary($E28, Table2[Concerns])</f>
        <v>In Glossary
In Glossary
In Glossary
In Glossary
In Glossary</v>
      </c>
    </row>
    <row r="29" spans="1:9" ht="165" x14ac:dyDescent="0.25">
      <c r="A29" s="19">
        <f t="shared" si="0"/>
        <v>23</v>
      </c>
      <c r="B29" s="20" t="s">
        <v>23</v>
      </c>
      <c r="C29" s="20" t="s">
        <v>32</v>
      </c>
      <c r="D29" s="20" t="s">
        <v>657</v>
      </c>
      <c r="E29" s="21" t="s">
        <v>701</v>
      </c>
      <c r="F29" s="10" t="s">
        <v>704</v>
      </c>
      <c r="G29" s="10" t="s">
        <v>747</v>
      </c>
      <c r="H29" s="8"/>
      <c r="I29" s="10" t="str">
        <f>CheckGlossary($E29, Table2[Concerns])</f>
        <v>In Glossary
In Glossary
In Glossary
In Glossary</v>
      </c>
    </row>
    <row r="30" spans="1:9" ht="90" x14ac:dyDescent="0.25">
      <c r="A30" s="19">
        <f t="shared" si="0"/>
        <v>24</v>
      </c>
      <c r="B30" s="20" t="s">
        <v>24</v>
      </c>
      <c r="C30" s="20" t="s">
        <v>41</v>
      </c>
      <c r="D30" s="22" t="s">
        <v>658</v>
      </c>
      <c r="E30" s="21" t="s">
        <v>335</v>
      </c>
      <c r="F30" s="10" t="s">
        <v>581</v>
      </c>
      <c r="G30" s="10" t="s">
        <v>748</v>
      </c>
      <c r="H30" s="8"/>
      <c r="I30" s="10" t="str">
        <f>CheckGlossary($E30, Table2[Concerns])</f>
        <v>In Glossary
In Glossary
In Glossary</v>
      </c>
    </row>
    <row r="31" spans="1:9" ht="75" customHeight="1" x14ac:dyDescent="0.25">
      <c r="A31" s="19">
        <f t="shared" si="0"/>
        <v>25</v>
      </c>
      <c r="B31" s="20" t="s">
        <v>24</v>
      </c>
      <c r="C31" s="20" t="s">
        <v>42</v>
      </c>
      <c r="D31" s="20" t="s">
        <v>659</v>
      </c>
      <c r="E31" s="21" t="s">
        <v>115</v>
      </c>
      <c r="F31" s="10" t="s">
        <v>582</v>
      </c>
      <c r="G31" s="10" t="s">
        <v>749</v>
      </c>
      <c r="H31" s="8"/>
      <c r="I31" s="10" t="str">
        <f>CheckGlossary($E31, Table2[Concerns])</f>
        <v>In Glossary
In Glossary
In Glossary</v>
      </c>
    </row>
    <row r="32" spans="1:9" ht="75" x14ac:dyDescent="0.25">
      <c r="A32" s="19">
        <f t="shared" si="0"/>
        <v>26</v>
      </c>
      <c r="B32" s="20" t="s">
        <v>24</v>
      </c>
      <c r="C32" s="20" t="s">
        <v>43</v>
      </c>
      <c r="D32" s="20" t="s">
        <v>660</v>
      </c>
      <c r="E32" s="21" t="s">
        <v>612</v>
      </c>
      <c r="F32" s="10" t="s">
        <v>613</v>
      </c>
      <c r="G32" s="10" t="s">
        <v>750</v>
      </c>
      <c r="H32" s="8"/>
      <c r="I32" s="10" t="str">
        <f>CheckGlossary($E32, Table2[Concerns])</f>
        <v>In Glossary
In Glossary
In Glossary</v>
      </c>
    </row>
    <row r="33" spans="1:9" ht="45" x14ac:dyDescent="0.25">
      <c r="A33" s="19">
        <f t="shared" si="0"/>
        <v>27</v>
      </c>
      <c r="B33" s="20" t="s">
        <v>24</v>
      </c>
      <c r="C33" s="20" t="s">
        <v>44</v>
      </c>
      <c r="D33" s="20" t="s">
        <v>44</v>
      </c>
      <c r="E33" s="21" t="s">
        <v>116</v>
      </c>
      <c r="F33" s="10" t="s">
        <v>583</v>
      </c>
      <c r="G33" s="10" t="s">
        <v>751</v>
      </c>
      <c r="H33" s="8"/>
      <c r="I33" s="10" t="str">
        <f>CheckGlossary($E33, Table2[Concerns])</f>
        <v>In Glossary
In Glossary</v>
      </c>
    </row>
    <row r="34" spans="1:9" ht="30" x14ac:dyDescent="0.25">
      <c r="A34" s="19">
        <f t="shared" si="0"/>
        <v>28</v>
      </c>
      <c r="B34" s="20" t="s">
        <v>24</v>
      </c>
      <c r="C34" s="20" t="s">
        <v>45</v>
      </c>
      <c r="D34" s="20" t="s">
        <v>45</v>
      </c>
      <c r="E34" s="21" t="s">
        <v>117</v>
      </c>
      <c r="F34" s="10" t="s">
        <v>584</v>
      </c>
      <c r="G34" s="10" t="s">
        <v>752</v>
      </c>
      <c r="H34" s="8"/>
      <c r="I34" s="10" t="str">
        <f>CheckGlossary($E34, Table2[Concerns])</f>
        <v>In Glossary
In Glossary</v>
      </c>
    </row>
    <row r="35" spans="1:9" ht="45" x14ac:dyDescent="0.25">
      <c r="A35" s="19">
        <f t="shared" si="0"/>
        <v>29</v>
      </c>
      <c r="B35" s="20" t="s">
        <v>24</v>
      </c>
      <c r="C35" s="20" t="s">
        <v>46</v>
      </c>
      <c r="D35" s="20" t="s">
        <v>46</v>
      </c>
      <c r="E35" s="21" t="s">
        <v>118</v>
      </c>
      <c r="F35" s="10" t="s">
        <v>585</v>
      </c>
      <c r="G35" s="10" t="s">
        <v>753</v>
      </c>
      <c r="H35" s="8"/>
      <c r="I35" s="10" t="str">
        <f>CheckGlossary($E35, Table2[Concerns])</f>
        <v>In Glossary
In Glossary
In Glossary</v>
      </c>
    </row>
    <row r="36" spans="1:9" ht="105" x14ac:dyDescent="0.25">
      <c r="A36" s="19">
        <f t="shared" si="0"/>
        <v>30</v>
      </c>
      <c r="B36" s="20" t="s">
        <v>24</v>
      </c>
      <c r="C36" s="20" t="s">
        <v>47</v>
      </c>
      <c r="D36" s="20" t="s">
        <v>661</v>
      </c>
      <c r="E36" s="21" t="s">
        <v>336</v>
      </c>
      <c r="F36" s="10" t="s">
        <v>586</v>
      </c>
      <c r="G36" s="10" t="s">
        <v>754</v>
      </c>
      <c r="H36" s="8"/>
      <c r="I36" s="10" t="str">
        <f>CheckGlossary($E36, Table2[Concerns])</f>
        <v>In Glossary
In Glossary
In Glossary</v>
      </c>
    </row>
    <row r="37" spans="1:9" ht="90" x14ac:dyDescent="0.25">
      <c r="A37" s="19">
        <f t="shared" si="0"/>
        <v>31</v>
      </c>
      <c r="B37" s="20" t="s">
        <v>24</v>
      </c>
      <c r="C37" s="20" t="s">
        <v>48</v>
      </c>
      <c r="D37" s="20" t="s">
        <v>662</v>
      </c>
      <c r="E37" s="21" t="s">
        <v>337</v>
      </c>
      <c r="F37" s="10" t="s">
        <v>587</v>
      </c>
      <c r="G37" s="10" t="s">
        <v>755</v>
      </c>
      <c r="H37" s="8"/>
      <c r="I37" s="10" t="str">
        <f>CheckGlossary($E37, Table2[Concerns])</f>
        <v>In Glossary
In Glossary
In Glossary
In Glossary</v>
      </c>
    </row>
    <row r="38" spans="1:9" ht="75" x14ac:dyDescent="0.25">
      <c r="A38" s="19">
        <f t="shared" si="0"/>
        <v>32</v>
      </c>
      <c r="B38" s="20" t="s">
        <v>24</v>
      </c>
      <c r="C38" s="20" t="s">
        <v>49</v>
      </c>
      <c r="D38" s="20" t="s">
        <v>49</v>
      </c>
      <c r="E38" s="21" t="s">
        <v>119</v>
      </c>
      <c r="F38" s="10" t="s">
        <v>588</v>
      </c>
      <c r="G38" s="10" t="s">
        <v>756</v>
      </c>
      <c r="H38" s="8"/>
      <c r="I38" s="10" t="str">
        <f>CheckGlossary($E38, Table2[Concerns])</f>
        <v>In Glossary
In Glossary</v>
      </c>
    </row>
    <row r="39" spans="1:9" ht="105" x14ac:dyDescent="0.25">
      <c r="A39" s="19">
        <f t="shared" si="0"/>
        <v>33</v>
      </c>
      <c r="B39" s="20" t="s">
        <v>24</v>
      </c>
      <c r="C39" s="20" t="s">
        <v>50</v>
      </c>
      <c r="D39" s="20" t="s">
        <v>50</v>
      </c>
      <c r="E39" s="21" t="s">
        <v>338</v>
      </c>
      <c r="F39" s="10" t="s">
        <v>589</v>
      </c>
      <c r="G39" s="25" t="s">
        <v>757</v>
      </c>
      <c r="H39" s="8"/>
      <c r="I39" s="10" t="str">
        <f>CheckGlossary($E39, Table2[Concerns])</f>
        <v>In Glossary
In Glossary
In Glossary</v>
      </c>
    </row>
    <row r="40" spans="1:9" ht="60" x14ac:dyDescent="0.25">
      <c r="A40" s="19">
        <f t="shared" si="0"/>
        <v>34</v>
      </c>
      <c r="B40" s="20" t="s">
        <v>24</v>
      </c>
      <c r="C40" s="20" t="s">
        <v>51</v>
      </c>
      <c r="D40" s="20" t="s">
        <v>663</v>
      </c>
      <c r="E40" s="21" t="s">
        <v>55</v>
      </c>
      <c r="F40" s="10" t="s">
        <v>590</v>
      </c>
      <c r="G40" s="10" t="s">
        <v>758</v>
      </c>
      <c r="H40" s="8"/>
      <c r="I40" s="10" t="str">
        <f>CheckGlossary($E40, Table2[Concerns])</f>
        <v>In Glossary
In Glossary
In Glossary</v>
      </c>
    </row>
    <row r="41" spans="1:9" ht="105" x14ac:dyDescent="0.25">
      <c r="A41" s="19">
        <f t="shared" si="0"/>
        <v>35</v>
      </c>
      <c r="B41" s="20" t="s">
        <v>52</v>
      </c>
      <c r="C41" s="20" t="s">
        <v>53</v>
      </c>
      <c r="D41" s="20" t="s">
        <v>664</v>
      </c>
      <c r="E41" s="21" t="s">
        <v>56</v>
      </c>
      <c r="F41" s="10" t="s">
        <v>591</v>
      </c>
      <c r="G41" s="10" t="s">
        <v>758</v>
      </c>
      <c r="H41" s="8"/>
      <c r="I41" s="10" t="str">
        <f>CheckGlossary($E41, Table2[Concerns])</f>
        <v>In Glossary
In Glossary
In Glossary</v>
      </c>
    </row>
    <row r="42" spans="1:9" ht="150" x14ac:dyDescent="0.25">
      <c r="A42" s="19">
        <f t="shared" si="0"/>
        <v>36</v>
      </c>
      <c r="B42" s="20" t="s">
        <v>57</v>
      </c>
      <c r="C42" s="20" t="s">
        <v>58</v>
      </c>
      <c r="D42" s="20" t="s">
        <v>665</v>
      </c>
      <c r="E42" s="21" t="s">
        <v>120</v>
      </c>
      <c r="F42" s="10" t="s">
        <v>592</v>
      </c>
      <c r="G42" s="10" t="s">
        <v>1311</v>
      </c>
      <c r="H42" s="8"/>
      <c r="I42" s="10" t="str">
        <f>CheckGlossary($E42, Table2[Concerns])</f>
        <v>In Glossary
In Glossary
In Glossary
In Glossary</v>
      </c>
    </row>
    <row r="43" spans="1:9" ht="120" x14ac:dyDescent="0.25">
      <c r="A43" s="19">
        <f t="shared" si="0"/>
        <v>37</v>
      </c>
      <c r="B43" s="20" t="s">
        <v>57</v>
      </c>
      <c r="C43" s="20" t="s">
        <v>59</v>
      </c>
      <c r="D43" s="20" t="s">
        <v>666</v>
      </c>
      <c r="E43" s="21" t="s">
        <v>60</v>
      </c>
      <c r="F43" s="10" t="s">
        <v>593</v>
      </c>
      <c r="G43" s="10" t="s">
        <v>759</v>
      </c>
      <c r="H43" s="8"/>
      <c r="I43" s="10" t="str">
        <f>CheckGlossary($E43, Table2[Concerns])</f>
        <v>In Glossary
In Glossary
In Glossary
In Glossary</v>
      </c>
    </row>
    <row r="44" spans="1:9" ht="225" x14ac:dyDescent="0.25">
      <c r="A44" s="19">
        <f t="shared" si="0"/>
        <v>38</v>
      </c>
      <c r="B44" s="20" t="s">
        <v>62</v>
      </c>
      <c r="C44" s="20" t="s">
        <v>61</v>
      </c>
      <c r="D44" s="20" t="s">
        <v>667</v>
      </c>
      <c r="E44" s="21" t="s">
        <v>614</v>
      </c>
      <c r="F44" s="10" t="s">
        <v>615</v>
      </c>
      <c r="G44" s="10" t="s">
        <v>760</v>
      </c>
      <c r="H44" s="8"/>
      <c r="I44" s="10" t="str">
        <f>CheckGlossary($E44, Table2[Concerns])</f>
        <v>In Glossary
In Glossary
In Glossary
In Glossary
In Glossary
In Glossary
In Glossary</v>
      </c>
    </row>
    <row r="45" spans="1:9" ht="120" x14ac:dyDescent="0.25">
      <c r="A45" s="19">
        <f t="shared" si="0"/>
        <v>39</v>
      </c>
      <c r="B45" s="20" t="s">
        <v>63</v>
      </c>
      <c r="C45" s="20" t="s">
        <v>64</v>
      </c>
      <c r="D45" s="20" t="s">
        <v>668</v>
      </c>
      <c r="E45" s="21" t="s">
        <v>134</v>
      </c>
      <c r="F45" s="10" t="s">
        <v>594</v>
      </c>
      <c r="G45" s="10" t="s">
        <v>761</v>
      </c>
      <c r="H45" s="8"/>
      <c r="I45" s="10" t="str">
        <f>CheckGlossary($E45, Table2[Concerns])</f>
        <v>In Glossary
In Glossary
In Glossary</v>
      </c>
    </row>
    <row r="46" spans="1:9" ht="120" x14ac:dyDescent="0.25">
      <c r="A46" s="19">
        <f t="shared" si="0"/>
        <v>40</v>
      </c>
      <c r="B46" s="20" t="s">
        <v>65</v>
      </c>
      <c r="C46" s="20" t="s">
        <v>66</v>
      </c>
      <c r="D46" s="20" t="s">
        <v>669</v>
      </c>
      <c r="E46" s="21" t="s">
        <v>121</v>
      </c>
      <c r="F46" s="10" t="s">
        <v>595</v>
      </c>
      <c r="G46" s="10" t="s">
        <v>762</v>
      </c>
      <c r="H46" s="8"/>
      <c r="I46" s="10" t="str">
        <f>CheckGlossary($E46, Table2[Concerns])</f>
        <v>In Glossary
In Glossary
In Glossary
In Glossary
In Glossary
In Glossary
In Glossary
In Glossary</v>
      </c>
    </row>
    <row r="47" spans="1:9" ht="150" x14ac:dyDescent="0.25">
      <c r="A47" s="19">
        <f t="shared" si="0"/>
        <v>41</v>
      </c>
      <c r="B47" s="20" t="s">
        <v>67</v>
      </c>
      <c r="C47" s="20" t="s">
        <v>68</v>
      </c>
      <c r="D47" s="20" t="s">
        <v>670</v>
      </c>
      <c r="E47" s="21" t="s">
        <v>122</v>
      </c>
      <c r="F47" s="10" t="s">
        <v>596</v>
      </c>
      <c r="G47" s="10" t="s">
        <v>763</v>
      </c>
      <c r="H47" s="8"/>
      <c r="I47" s="10" t="str">
        <f>CheckGlossary($E47, Table2[Concerns])</f>
        <v>In Glossary
In Glossary
In Glossary
In Glossary
In Glossary</v>
      </c>
    </row>
    <row r="48" spans="1:9" ht="75" x14ac:dyDescent="0.25">
      <c r="A48" s="19">
        <f t="shared" si="0"/>
        <v>42</v>
      </c>
      <c r="B48" s="20" t="s">
        <v>69</v>
      </c>
      <c r="C48" s="20" t="s">
        <v>70</v>
      </c>
      <c r="D48" s="20" t="s">
        <v>671</v>
      </c>
      <c r="E48" s="21" t="s">
        <v>123</v>
      </c>
      <c r="F48" s="10" t="s">
        <v>597</v>
      </c>
      <c r="G48" s="10" t="s">
        <v>764</v>
      </c>
      <c r="H48" s="8"/>
      <c r="I48" s="10" t="str">
        <f>CheckGlossary($E48, Table2[Concerns])</f>
        <v>In Glossary
In Glossary</v>
      </c>
    </row>
    <row r="49" spans="1:9" ht="225" x14ac:dyDescent="0.25">
      <c r="A49" s="19">
        <f t="shared" si="0"/>
        <v>43</v>
      </c>
      <c r="B49" s="20" t="s">
        <v>71</v>
      </c>
      <c r="C49" s="20" t="s">
        <v>72</v>
      </c>
      <c r="D49" s="20" t="s">
        <v>672</v>
      </c>
      <c r="E49" s="21" t="s">
        <v>124</v>
      </c>
      <c r="F49" s="10" t="s">
        <v>598</v>
      </c>
      <c r="G49" s="10" t="s">
        <v>765</v>
      </c>
      <c r="H49" s="8"/>
      <c r="I49" s="10" t="str">
        <f>CheckGlossary($E49, Table2[Concerns])</f>
        <v>In Glossary
In Glossary</v>
      </c>
    </row>
    <row r="50" spans="1:9" ht="165" x14ac:dyDescent="0.25">
      <c r="A50" s="19">
        <f t="shared" si="0"/>
        <v>44</v>
      </c>
      <c r="B50" s="20" t="s">
        <v>71</v>
      </c>
      <c r="C50" s="20" t="s">
        <v>73</v>
      </c>
      <c r="D50" s="20" t="s">
        <v>673</v>
      </c>
      <c r="E50" s="21" t="s">
        <v>695</v>
      </c>
      <c r="F50" s="10" t="s">
        <v>705</v>
      </c>
      <c r="G50" s="10" t="s">
        <v>1312</v>
      </c>
      <c r="H50" s="8"/>
      <c r="I50" s="10" t="str">
        <f>CheckGlossary($E50, Table2[Concerns])</f>
        <v>In Glossary
In Glossary
In Glossary
In Glossary
In Glossary</v>
      </c>
    </row>
    <row r="51" spans="1:9" ht="150" x14ac:dyDescent="0.25">
      <c r="A51" s="19">
        <f t="shared" si="0"/>
        <v>45</v>
      </c>
      <c r="B51" s="20" t="s">
        <v>71</v>
      </c>
      <c r="C51" s="20" t="s">
        <v>696</v>
      </c>
      <c r="D51" s="20" t="s">
        <v>674</v>
      </c>
      <c r="E51" s="21" t="s">
        <v>125</v>
      </c>
      <c r="F51" s="10" t="s">
        <v>599</v>
      </c>
      <c r="G51" s="10" t="s">
        <v>766</v>
      </c>
      <c r="H51" s="8"/>
      <c r="I51" s="10" t="str">
        <f>CheckGlossary($E51, Table2[Concerns])</f>
        <v>In Glossary
In Glossary
In Glossary
In Glossary</v>
      </c>
    </row>
    <row r="52" spans="1:9" ht="409.5" x14ac:dyDescent="0.25">
      <c r="A52" s="19">
        <f t="shared" si="0"/>
        <v>46</v>
      </c>
      <c r="B52" s="20" t="s">
        <v>74</v>
      </c>
      <c r="C52" s="20" t="s">
        <v>75</v>
      </c>
      <c r="D52" s="20" t="s">
        <v>706</v>
      </c>
      <c r="E52" s="21" t="s">
        <v>616</v>
      </c>
      <c r="F52" s="10" t="s">
        <v>624</v>
      </c>
      <c r="G52" s="10" t="s">
        <v>767</v>
      </c>
      <c r="H52" s="8"/>
      <c r="I52" s="10" t="str">
        <f>CheckGlossary($E52, Table2[Concerns])</f>
        <v>In Glossary
In Glossary
In Glossary
In Glossary
In Glossary
In Glossary
In Glossary
In Glossary
In Glossary</v>
      </c>
    </row>
    <row r="53" spans="1:9" ht="105" x14ac:dyDescent="0.25">
      <c r="A53" s="19">
        <f t="shared" si="0"/>
        <v>47</v>
      </c>
      <c r="B53" s="20" t="s">
        <v>76</v>
      </c>
      <c r="C53" s="20" t="s">
        <v>77</v>
      </c>
      <c r="D53" s="20" t="s">
        <v>707</v>
      </c>
      <c r="E53" s="21" t="s">
        <v>110</v>
      </c>
      <c r="F53" s="10" t="s">
        <v>600</v>
      </c>
      <c r="G53" s="10" t="s">
        <v>768</v>
      </c>
      <c r="H53" s="8"/>
      <c r="I53" s="10" t="str">
        <f>CheckGlossary($E53, Table2[Concerns])</f>
        <v>In Glossary
In Glossary
In Glossary</v>
      </c>
    </row>
    <row r="54" spans="1:9" ht="285" x14ac:dyDescent="0.25">
      <c r="A54" s="19">
        <f t="shared" si="0"/>
        <v>48</v>
      </c>
      <c r="B54" s="20" t="s">
        <v>76</v>
      </c>
      <c r="C54" s="20" t="s">
        <v>78</v>
      </c>
      <c r="D54" s="20" t="s">
        <v>675</v>
      </c>
      <c r="E54" s="21" t="s">
        <v>111</v>
      </c>
      <c r="F54" s="10" t="s">
        <v>601</v>
      </c>
      <c r="G54" s="10" t="s">
        <v>769</v>
      </c>
      <c r="H54" s="8"/>
      <c r="I54" s="10" t="str">
        <f>CheckGlossary($E54, Table2[Concerns])</f>
        <v>In Glossary
In Glossary
In Glossary
In Glossary</v>
      </c>
    </row>
    <row r="55" spans="1:9" ht="120" x14ac:dyDescent="0.25">
      <c r="A55" s="19">
        <f t="shared" si="0"/>
        <v>49</v>
      </c>
      <c r="B55" s="20" t="s">
        <v>76</v>
      </c>
      <c r="C55" s="20" t="s">
        <v>79</v>
      </c>
      <c r="D55" s="20" t="s">
        <v>676</v>
      </c>
      <c r="E55" s="21" t="s">
        <v>617</v>
      </c>
      <c r="F55" s="10" t="s">
        <v>625</v>
      </c>
      <c r="G55" s="10" t="s">
        <v>770</v>
      </c>
      <c r="H55" s="8"/>
      <c r="I55" s="10" t="str">
        <f>CheckGlossary($E55, Table2[Concerns])</f>
        <v>In Glossary
In Glossary
In Glossary
In Glossary
In Glossary
In Glossary</v>
      </c>
    </row>
    <row r="56" spans="1:9" ht="75" x14ac:dyDescent="0.25">
      <c r="A56" s="19">
        <f t="shared" si="0"/>
        <v>50</v>
      </c>
      <c r="B56" s="20" t="s">
        <v>80</v>
      </c>
      <c r="C56" s="20" t="s">
        <v>81</v>
      </c>
      <c r="D56" s="20" t="s">
        <v>677</v>
      </c>
      <c r="E56" s="21" t="s">
        <v>618</v>
      </c>
      <c r="F56" s="10" t="s">
        <v>626</v>
      </c>
      <c r="G56" s="10" t="s">
        <v>771</v>
      </c>
      <c r="H56" s="8"/>
      <c r="I56" s="10" t="str">
        <f>CheckGlossary($E56, Table2[Concerns])</f>
        <v>In Glossary
In Glossary
In Glossary
In Glossary
In Glossary</v>
      </c>
    </row>
    <row r="57" spans="1:9" ht="210" x14ac:dyDescent="0.25">
      <c r="A57" s="19">
        <f t="shared" si="0"/>
        <v>51</v>
      </c>
      <c r="B57" s="20" t="s">
        <v>82</v>
      </c>
      <c r="C57" s="20" t="s">
        <v>83</v>
      </c>
      <c r="D57" s="20" t="s">
        <v>678</v>
      </c>
      <c r="E57" s="21" t="s">
        <v>126</v>
      </c>
      <c r="F57" s="10" t="s">
        <v>602</v>
      </c>
      <c r="G57" s="10" t="s">
        <v>772</v>
      </c>
      <c r="H57" s="8"/>
      <c r="I57" s="10" t="str">
        <f>CheckGlossary($E57, Table2[Concerns])</f>
        <v>In Glossary
In Glossary
In Glossary
In Glossary
In Glossary</v>
      </c>
    </row>
    <row r="58" spans="1:9" ht="60" x14ac:dyDescent="0.25">
      <c r="A58" s="19">
        <f t="shared" si="0"/>
        <v>52</v>
      </c>
      <c r="B58" s="20" t="s">
        <v>82</v>
      </c>
      <c r="C58" s="20" t="s">
        <v>696</v>
      </c>
      <c r="D58" s="20" t="s">
        <v>679</v>
      </c>
      <c r="E58" s="21" t="s">
        <v>619</v>
      </c>
      <c r="F58" s="10" t="s">
        <v>627</v>
      </c>
      <c r="G58" s="10" t="s">
        <v>773</v>
      </c>
      <c r="H58" s="8"/>
      <c r="I58" s="10" t="str">
        <f>CheckGlossary($E58, Table2[Concerns])</f>
        <v>In Glossary
In Glossary
In Glossary
In Glossary</v>
      </c>
    </row>
    <row r="59" spans="1:9" ht="105" x14ac:dyDescent="0.25">
      <c r="A59" s="19">
        <f t="shared" si="0"/>
        <v>53</v>
      </c>
      <c r="B59" s="20" t="s">
        <v>84</v>
      </c>
      <c r="C59" s="20" t="s">
        <v>85</v>
      </c>
      <c r="D59" s="20" t="s">
        <v>680</v>
      </c>
      <c r="E59" s="21" t="s">
        <v>127</v>
      </c>
      <c r="F59" s="10" t="s">
        <v>603</v>
      </c>
      <c r="G59" s="10" t="s">
        <v>774</v>
      </c>
      <c r="H59" s="8"/>
      <c r="I59" s="10" t="str">
        <f>CheckGlossary($E59, Table2[Concerns])</f>
        <v>In Glossary
In Glossary</v>
      </c>
    </row>
    <row r="60" spans="1:9" ht="195" x14ac:dyDescent="0.25">
      <c r="A60" s="19">
        <f t="shared" si="0"/>
        <v>54</v>
      </c>
      <c r="B60" s="20" t="s">
        <v>86</v>
      </c>
      <c r="C60" s="20" t="s">
        <v>87</v>
      </c>
      <c r="D60" s="20" t="s">
        <v>681</v>
      </c>
      <c r="E60" s="21" t="s">
        <v>128</v>
      </c>
      <c r="F60" s="10" t="s">
        <v>604</v>
      </c>
      <c r="G60" s="10" t="s">
        <v>775</v>
      </c>
      <c r="H60" s="8"/>
      <c r="I60" s="10" t="str">
        <f>CheckGlossary($E60, Table2[Concerns])</f>
        <v>In Glossary
In Glossary
In Glossary</v>
      </c>
    </row>
    <row r="61" spans="1:9" ht="195" x14ac:dyDescent="0.25">
      <c r="A61" s="19">
        <f t="shared" si="0"/>
        <v>55</v>
      </c>
      <c r="B61" s="20" t="s">
        <v>86</v>
      </c>
      <c r="C61" s="20" t="s">
        <v>88</v>
      </c>
      <c r="D61" s="20" t="s">
        <v>682</v>
      </c>
      <c r="E61" s="21" t="s">
        <v>620</v>
      </c>
      <c r="F61" s="10" t="s">
        <v>628</v>
      </c>
      <c r="G61" s="10" t="s">
        <v>776</v>
      </c>
      <c r="H61" s="8"/>
      <c r="I61" s="10" t="str">
        <f>CheckGlossary($E61, Table2[Concerns])</f>
        <v>In Glossary
In Glossary
In Glossary
In Glossary</v>
      </c>
    </row>
    <row r="62" spans="1:9" ht="105" x14ac:dyDescent="0.25">
      <c r="A62" s="19">
        <f t="shared" si="0"/>
        <v>56</v>
      </c>
      <c r="B62" s="20" t="s">
        <v>90</v>
      </c>
      <c r="C62" s="20" t="s">
        <v>89</v>
      </c>
      <c r="D62" s="20" t="s">
        <v>683</v>
      </c>
      <c r="E62" s="21" t="s">
        <v>621</v>
      </c>
      <c r="F62" s="10" t="s">
        <v>629</v>
      </c>
      <c r="G62" s="10" t="s">
        <v>777</v>
      </c>
      <c r="H62" s="8"/>
      <c r="I62" s="10" t="str">
        <f>CheckGlossary($E62, Table2[Concerns])</f>
        <v>In Glossary
In Glossary
In Glossary</v>
      </c>
    </row>
    <row r="63" spans="1:9" ht="135" x14ac:dyDescent="0.25">
      <c r="A63" s="19">
        <f t="shared" si="0"/>
        <v>57</v>
      </c>
      <c r="B63" s="20" t="s">
        <v>91</v>
      </c>
      <c r="C63" s="20" t="s">
        <v>92</v>
      </c>
      <c r="D63" s="20" t="s">
        <v>684</v>
      </c>
      <c r="E63" s="21" t="s">
        <v>129</v>
      </c>
      <c r="F63" s="10" t="s">
        <v>605</v>
      </c>
      <c r="G63" s="10" t="s">
        <v>778</v>
      </c>
      <c r="H63" s="8"/>
      <c r="I63" s="10" t="str">
        <f>CheckGlossary($E63, Table2[Concerns])</f>
        <v>In Glossary
In Glossary
In Glossary</v>
      </c>
    </row>
    <row r="64" spans="1:9" ht="165" x14ac:dyDescent="0.25">
      <c r="A64" s="19">
        <f t="shared" si="0"/>
        <v>58</v>
      </c>
      <c r="B64" s="20" t="s">
        <v>94</v>
      </c>
      <c r="C64" s="20" t="s">
        <v>93</v>
      </c>
      <c r="D64" s="20" t="s">
        <v>685</v>
      </c>
      <c r="E64" s="21" t="s">
        <v>130</v>
      </c>
      <c r="F64" s="10" t="s">
        <v>606</v>
      </c>
      <c r="G64" s="10" t="s">
        <v>779</v>
      </c>
      <c r="H64" s="8"/>
      <c r="I64" s="10" t="str">
        <f>CheckGlossary($E64, Table2[Concerns])</f>
        <v>In Glossary
In Glossary
In Glossary
In Glossary</v>
      </c>
    </row>
    <row r="65" spans="1:9" ht="390" x14ac:dyDescent="0.25">
      <c r="A65" s="19">
        <f t="shared" si="0"/>
        <v>59</v>
      </c>
      <c r="B65" s="20" t="s">
        <v>96</v>
      </c>
      <c r="C65" s="20" t="s">
        <v>95</v>
      </c>
      <c r="D65" s="20" t="s">
        <v>686</v>
      </c>
      <c r="E65" s="21" t="s">
        <v>131</v>
      </c>
      <c r="F65" s="10" t="s">
        <v>607</v>
      </c>
      <c r="G65" s="10" t="s">
        <v>780</v>
      </c>
      <c r="H65" s="8"/>
      <c r="I65" s="10" t="str">
        <f>CheckGlossary($E65, Table2[Concerns])</f>
        <v>In Glossary
In Glossary
In Glossary</v>
      </c>
    </row>
    <row r="66" spans="1:9" ht="345" x14ac:dyDescent="0.25">
      <c r="A66" s="19">
        <f t="shared" si="0"/>
        <v>60</v>
      </c>
      <c r="B66" s="20" t="s">
        <v>97</v>
      </c>
      <c r="C66" s="20" t="s">
        <v>98</v>
      </c>
      <c r="D66" s="20" t="s">
        <v>687</v>
      </c>
      <c r="E66" s="21" t="s">
        <v>622</v>
      </c>
      <c r="F66" s="10" t="s">
        <v>630</v>
      </c>
      <c r="G66" s="10" t="s">
        <v>781</v>
      </c>
      <c r="H66" s="8"/>
      <c r="I66" s="10" t="str">
        <f>CheckGlossary($E66, Table2[Concerns])</f>
        <v>In Glossary
In Glossary
In Glossary</v>
      </c>
    </row>
    <row r="67" spans="1:9" ht="180" x14ac:dyDescent="0.25">
      <c r="A67" s="19">
        <f t="shared" si="0"/>
        <v>61</v>
      </c>
      <c r="B67" s="20" t="s">
        <v>97</v>
      </c>
      <c r="C67" s="20" t="s">
        <v>99</v>
      </c>
      <c r="D67" s="20" t="s">
        <v>688</v>
      </c>
      <c r="E67" s="21" t="s">
        <v>132</v>
      </c>
      <c r="F67" s="10" t="s">
        <v>608</v>
      </c>
      <c r="G67" s="10" t="s">
        <v>782</v>
      </c>
      <c r="H67" s="8"/>
      <c r="I67" s="10" t="str">
        <f>CheckGlossary($E67, Table2[Concerns])</f>
        <v>In Glossary
In Glossary
In Glossary</v>
      </c>
    </row>
    <row r="68" spans="1:9" ht="105" x14ac:dyDescent="0.25">
      <c r="A68" s="19">
        <f t="shared" si="0"/>
        <v>62</v>
      </c>
      <c r="B68" s="20" t="s">
        <v>100</v>
      </c>
      <c r="C68" s="20" t="s">
        <v>101</v>
      </c>
      <c r="D68" s="20" t="s">
        <v>689</v>
      </c>
      <c r="E68" s="21" t="s">
        <v>133</v>
      </c>
      <c r="F68" s="10" t="s">
        <v>609</v>
      </c>
      <c r="G68" s="10" t="s">
        <v>783</v>
      </c>
      <c r="H68" s="8"/>
      <c r="I68" s="10" t="str">
        <f>CheckGlossary($E68, Table2[Concerns])</f>
        <v>In Glossary
In Glossary
In Glossary
In Glossary</v>
      </c>
    </row>
    <row r="69" spans="1:9" ht="150" x14ac:dyDescent="0.25">
      <c r="A69" s="19">
        <f t="shared" si="0"/>
        <v>63</v>
      </c>
      <c r="B69" s="20" t="s">
        <v>102</v>
      </c>
      <c r="C69" s="20" t="s">
        <v>103</v>
      </c>
      <c r="D69" s="20" t="s">
        <v>690</v>
      </c>
      <c r="E69" s="21" t="s">
        <v>632</v>
      </c>
      <c r="F69" s="10" t="s">
        <v>633</v>
      </c>
      <c r="G69" s="10" t="s">
        <v>784</v>
      </c>
      <c r="H69" s="8"/>
      <c r="I69" s="10" t="str">
        <f>CheckGlossary($E69, Table2[Concerns])</f>
        <v>In Glossary
In Glossary
In Glossary
In Glossary
In Glossary
In Glossary
In Glossary</v>
      </c>
    </row>
    <row r="70" spans="1:9" ht="375" x14ac:dyDescent="0.25">
      <c r="A70" s="19">
        <f t="shared" si="0"/>
        <v>64</v>
      </c>
      <c r="B70" s="20" t="s">
        <v>102</v>
      </c>
      <c r="C70" s="20" t="s">
        <v>104</v>
      </c>
      <c r="D70" s="20" t="s">
        <v>691</v>
      </c>
      <c r="E70" s="21" t="s">
        <v>105</v>
      </c>
      <c r="F70" s="10" t="s">
        <v>610</v>
      </c>
      <c r="G70" s="10" t="s">
        <v>785</v>
      </c>
      <c r="H70" s="8"/>
      <c r="I70" s="10" t="str">
        <f>CheckGlossary($E70, Table2[Concerns])</f>
        <v>In Glossary
In Glossary
In Glossary</v>
      </c>
    </row>
    <row r="71" spans="1:9" ht="90" x14ac:dyDescent="0.25">
      <c r="A71" s="19">
        <f t="shared" si="0"/>
        <v>65</v>
      </c>
      <c r="B71" s="20" t="s">
        <v>106</v>
      </c>
      <c r="C71" s="20" t="s">
        <v>107</v>
      </c>
      <c r="D71" s="20" t="s">
        <v>692</v>
      </c>
      <c r="E71" s="21" t="s">
        <v>623</v>
      </c>
      <c r="F71" s="10" t="s">
        <v>631</v>
      </c>
      <c r="G71" s="10" t="s">
        <v>786</v>
      </c>
      <c r="H71" s="8"/>
      <c r="I71" s="10" t="str">
        <f>CheckGlossary($E71, Table2[Concerns])</f>
        <v>In Glossary
In Glossary
In Glossary</v>
      </c>
    </row>
    <row r="72" spans="1:9" ht="270" x14ac:dyDescent="0.25">
      <c r="A72" s="19">
        <f t="shared" si="0"/>
        <v>66</v>
      </c>
      <c r="B72" s="20" t="s">
        <v>106</v>
      </c>
      <c r="C72" s="20" t="s">
        <v>108</v>
      </c>
      <c r="D72" s="20" t="s">
        <v>693</v>
      </c>
      <c r="E72" s="21" t="s">
        <v>109</v>
      </c>
      <c r="F72" s="10" t="s">
        <v>611</v>
      </c>
      <c r="G72" s="10" t="s">
        <v>787</v>
      </c>
      <c r="H72" s="8"/>
      <c r="I72" s="10" t="str">
        <f>CheckGlossary($E72, Table2[Concerns])</f>
        <v>In Glossary
In Glossary
In Glossary</v>
      </c>
    </row>
    <row r="73" spans="1:9" x14ac:dyDescent="0.25">
      <c r="B73" s="1"/>
      <c r="C73" s="1"/>
      <c r="D73" s="1"/>
      <c r="E73" s="1"/>
      <c r="F73" s="1"/>
      <c r="G73" s="1"/>
      <c r="H73" s="4"/>
    </row>
    <row r="74" spans="1:9" x14ac:dyDescent="0.25">
      <c r="B74" s="1"/>
      <c r="C74" s="1"/>
      <c r="D74" s="1"/>
      <c r="E74" s="1"/>
      <c r="F74" s="1"/>
      <c r="G74" s="1"/>
      <c r="H74" s="4"/>
    </row>
    <row r="75" spans="1:9" x14ac:dyDescent="0.25">
      <c r="B75" s="1"/>
      <c r="C75" s="1"/>
      <c r="D75" s="1"/>
      <c r="E75" s="1"/>
      <c r="F75" s="1"/>
      <c r="G75" s="1"/>
    </row>
    <row r="76" spans="1:9" x14ac:dyDescent="0.25">
      <c r="B76" s="1"/>
      <c r="C76" s="1"/>
      <c r="D76" s="1"/>
      <c r="E76" s="1"/>
      <c r="F76" s="1"/>
      <c r="G76" s="1"/>
    </row>
    <row r="77" spans="1:9" x14ac:dyDescent="0.25">
      <c r="B77" s="1"/>
      <c r="C77" s="1"/>
      <c r="D77" s="1"/>
      <c r="E77" s="1"/>
      <c r="F77" s="1"/>
      <c r="G77" s="1"/>
    </row>
    <row r="78" spans="1:9" x14ac:dyDescent="0.25">
      <c r="B78" s="1"/>
      <c r="C78" s="1"/>
      <c r="D78" s="1"/>
      <c r="E78" s="1"/>
      <c r="F78" s="1"/>
      <c r="G78" s="1"/>
    </row>
    <row r="79" spans="1:9" x14ac:dyDescent="0.25">
      <c r="B79" s="1"/>
      <c r="C79" s="1"/>
      <c r="D79" s="1"/>
      <c r="E79" s="1"/>
      <c r="F79" s="1"/>
      <c r="G79" s="1"/>
    </row>
    <row r="80" spans="1:9" x14ac:dyDescent="0.25">
      <c r="B80" s="1"/>
      <c r="C80" s="1"/>
      <c r="D80" s="1"/>
      <c r="E80" s="1"/>
      <c r="F80" s="1"/>
      <c r="G80" s="1"/>
    </row>
    <row r="81" spans="2:7" x14ac:dyDescent="0.25">
      <c r="B81" s="1"/>
      <c r="C81" s="1"/>
      <c r="D81" s="1"/>
      <c r="E81" s="1"/>
      <c r="F81" s="1"/>
      <c r="G81" s="1"/>
    </row>
    <row r="82" spans="2:7" x14ac:dyDescent="0.25">
      <c r="B82" s="1"/>
      <c r="C82" s="1"/>
      <c r="D82" s="1"/>
      <c r="E82" s="1"/>
      <c r="F82" s="1"/>
      <c r="G82" s="1"/>
    </row>
    <row r="83" spans="2:7" x14ac:dyDescent="0.25">
      <c r="B83" s="1"/>
      <c r="C83" s="1"/>
      <c r="D83" s="1"/>
      <c r="E83" s="1"/>
      <c r="F83" s="1"/>
      <c r="G83" s="1"/>
    </row>
    <row r="84" spans="2:7" x14ac:dyDescent="0.25">
      <c r="B84" s="1"/>
      <c r="C84" s="1"/>
      <c r="D84" s="1"/>
      <c r="E84" s="1"/>
      <c r="F84" s="1"/>
      <c r="G84" s="1"/>
    </row>
    <row r="85" spans="2:7" x14ac:dyDescent="0.25">
      <c r="B85" s="1"/>
      <c r="C85" s="1"/>
      <c r="D85" s="1"/>
      <c r="E85" s="1"/>
      <c r="F85" s="1"/>
      <c r="G85" s="1"/>
    </row>
    <row r="86" spans="2:7" x14ac:dyDescent="0.25">
      <c r="B86" s="1"/>
      <c r="C86" s="1"/>
      <c r="D86" s="1"/>
      <c r="E86" s="1"/>
      <c r="F86" s="1"/>
      <c r="G86" s="1"/>
    </row>
    <row r="87" spans="2:7" x14ac:dyDescent="0.25">
      <c r="B87" s="1"/>
      <c r="C87" s="1"/>
      <c r="D87" s="1"/>
      <c r="E87" s="1"/>
      <c r="F87" s="1"/>
      <c r="G87" s="1"/>
    </row>
    <row r="88" spans="2:7" x14ac:dyDescent="0.25">
      <c r="B88" s="1"/>
      <c r="C88" s="1"/>
      <c r="D88" s="1"/>
      <c r="E88" s="1"/>
      <c r="F88" s="1"/>
      <c r="G88" s="1"/>
    </row>
    <row r="89" spans="2:7" x14ac:dyDescent="0.25">
      <c r="B89" s="1"/>
      <c r="C89" s="1"/>
      <c r="D89" s="1"/>
      <c r="E89" s="1"/>
      <c r="F89" s="1"/>
      <c r="G89" s="1"/>
    </row>
    <row r="90" spans="2:7" x14ac:dyDescent="0.25">
      <c r="B90" s="1"/>
      <c r="C90" s="1"/>
      <c r="D90" s="1"/>
      <c r="E90" s="1"/>
      <c r="F90" s="1"/>
      <c r="G90" s="1"/>
    </row>
    <row r="91" spans="2:7" x14ac:dyDescent="0.25">
      <c r="B91" s="1"/>
      <c r="C91" s="1"/>
      <c r="D91" s="1"/>
      <c r="E91" s="1"/>
      <c r="F91" s="1"/>
      <c r="G91" s="1"/>
    </row>
    <row r="92" spans="2:7" x14ac:dyDescent="0.25">
      <c r="B92" s="1"/>
      <c r="C92" s="1"/>
      <c r="D92" s="1"/>
      <c r="E92" s="1"/>
      <c r="F92" s="1"/>
      <c r="G92" s="1"/>
    </row>
    <row r="93" spans="2:7" x14ac:dyDescent="0.25">
      <c r="B93" s="1"/>
      <c r="C93" s="1"/>
      <c r="D93" s="1"/>
      <c r="E93" s="1"/>
      <c r="F93" s="1"/>
      <c r="G93" s="1"/>
    </row>
    <row r="94" spans="2:7" x14ac:dyDescent="0.25">
      <c r="B94" s="1"/>
      <c r="C94" s="1"/>
      <c r="D94" s="1"/>
      <c r="E94" s="1"/>
      <c r="F94" s="1"/>
      <c r="G94" s="1"/>
    </row>
    <row r="95" spans="2:7" x14ac:dyDescent="0.25">
      <c r="B95" s="1"/>
      <c r="C95" s="1"/>
      <c r="D95" s="1"/>
      <c r="E95" s="1"/>
      <c r="F95" s="1"/>
      <c r="G95" s="1"/>
    </row>
    <row r="96" spans="2:7" x14ac:dyDescent="0.25">
      <c r="B96" s="1"/>
      <c r="C96" s="1"/>
      <c r="D96" s="1"/>
      <c r="E96" s="1"/>
      <c r="F96" s="1"/>
      <c r="G96" s="1"/>
    </row>
    <row r="97" spans="2:7" x14ac:dyDescent="0.25">
      <c r="B97" s="1"/>
      <c r="C97" s="1"/>
      <c r="D97" s="1"/>
      <c r="E97" s="1"/>
      <c r="F97" s="1"/>
      <c r="G97" s="1"/>
    </row>
    <row r="98" spans="2:7" x14ac:dyDescent="0.25">
      <c r="B98" s="1"/>
      <c r="C98" s="1"/>
      <c r="D98" s="1"/>
      <c r="E98" s="1"/>
      <c r="F98" s="1"/>
      <c r="G98" s="1"/>
    </row>
    <row r="99" spans="2:7" x14ac:dyDescent="0.25">
      <c r="B99" s="1"/>
      <c r="C99" s="1"/>
      <c r="D99" s="1"/>
      <c r="E99" s="1"/>
      <c r="F99" s="1"/>
      <c r="G99" s="1"/>
    </row>
    <row r="100" spans="2:7" x14ac:dyDescent="0.25">
      <c r="B100" s="1"/>
      <c r="C100" s="1"/>
      <c r="D100" s="1"/>
      <c r="E100" s="1"/>
      <c r="F100" s="1"/>
      <c r="G100" s="1"/>
    </row>
    <row r="101" spans="2:7" x14ac:dyDescent="0.25">
      <c r="B101" s="1"/>
      <c r="C101" s="1"/>
      <c r="D101" s="1"/>
      <c r="E101" s="1"/>
      <c r="F101" s="1"/>
      <c r="G101" s="1"/>
    </row>
    <row r="102" spans="2:7" x14ac:dyDescent="0.25">
      <c r="B102" s="1"/>
      <c r="C102" s="1"/>
      <c r="D102" s="1"/>
      <c r="E102" s="1"/>
      <c r="F102" s="1"/>
      <c r="G102" s="1"/>
    </row>
    <row r="103" spans="2:7" x14ac:dyDescent="0.25">
      <c r="B103" s="1"/>
      <c r="C103" s="1"/>
      <c r="D103" s="1"/>
      <c r="E103" s="1"/>
      <c r="F103" s="1"/>
      <c r="G103" s="1"/>
    </row>
    <row r="104" spans="2:7" x14ac:dyDescent="0.25">
      <c r="B104" s="1"/>
      <c r="C104" s="1"/>
      <c r="D104" s="1"/>
      <c r="E104" s="1"/>
      <c r="F104" s="1"/>
      <c r="G104" s="1"/>
    </row>
    <row r="105" spans="2:7" x14ac:dyDescent="0.25">
      <c r="B105" s="1"/>
      <c r="C105" s="1"/>
      <c r="D105" s="1"/>
      <c r="E105" s="1"/>
      <c r="F105" s="1"/>
      <c r="G105" s="1"/>
    </row>
    <row r="106" spans="2:7" x14ac:dyDescent="0.25">
      <c r="B106" s="1"/>
      <c r="C106" s="1"/>
      <c r="D106" s="1"/>
      <c r="E106" s="1"/>
      <c r="F106" s="1"/>
      <c r="G106" s="1"/>
    </row>
    <row r="107" spans="2:7" x14ac:dyDescent="0.25">
      <c r="B107" s="1"/>
      <c r="C107" s="1"/>
      <c r="D107" s="1"/>
      <c r="E107" s="1"/>
      <c r="F107" s="1"/>
      <c r="G107" s="1"/>
    </row>
    <row r="108" spans="2:7" x14ac:dyDescent="0.25">
      <c r="B108" s="1"/>
      <c r="C108" s="1"/>
      <c r="D108" s="1"/>
      <c r="E108" s="1"/>
      <c r="F108" s="1"/>
      <c r="G108" s="1"/>
    </row>
    <row r="109" spans="2:7" x14ac:dyDescent="0.25">
      <c r="B109" s="1"/>
      <c r="C109" s="1"/>
      <c r="D109" s="1"/>
      <c r="E109" s="1"/>
      <c r="F109" s="1"/>
      <c r="G109" s="1"/>
    </row>
    <row r="110" spans="2:7" x14ac:dyDescent="0.25">
      <c r="B110" s="1"/>
      <c r="C110" s="1"/>
      <c r="D110" s="1"/>
      <c r="E110" s="1"/>
      <c r="F110" s="1"/>
      <c r="G110" s="1"/>
    </row>
    <row r="111" spans="2:7" x14ac:dyDescent="0.25">
      <c r="B111" s="1"/>
      <c r="C111" s="1"/>
      <c r="D111" s="1"/>
      <c r="E111" s="1"/>
      <c r="F111" s="1"/>
      <c r="G111" s="1"/>
    </row>
    <row r="112" spans="2:7" x14ac:dyDescent="0.25">
      <c r="B112" s="1"/>
      <c r="C112" s="1"/>
      <c r="D112" s="1"/>
      <c r="E112" s="1"/>
      <c r="F112" s="1"/>
      <c r="G112" s="1"/>
    </row>
    <row r="113" spans="2:7" x14ac:dyDescent="0.25">
      <c r="B113" s="1"/>
      <c r="C113" s="1"/>
      <c r="D113" s="1"/>
      <c r="E113" s="1"/>
      <c r="F113" s="1"/>
      <c r="G113" s="1"/>
    </row>
    <row r="114" spans="2:7" x14ac:dyDescent="0.25">
      <c r="B114" s="1"/>
      <c r="C114" s="1"/>
      <c r="D114" s="1"/>
      <c r="E114" s="1"/>
      <c r="F114" s="1"/>
      <c r="G114" s="1"/>
    </row>
    <row r="115" spans="2:7" x14ac:dyDescent="0.25">
      <c r="B115" s="1"/>
      <c r="C115" s="1"/>
      <c r="D115" s="1"/>
      <c r="E115" s="1"/>
      <c r="F115" s="1"/>
      <c r="G115" s="1"/>
    </row>
    <row r="116" spans="2:7" x14ac:dyDescent="0.25">
      <c r="B116" s="1"/>
      <c r="C116" s="1"/>
      <c r="D116" s="1"/>
      <c r="E116" s="1"/>
      <c r="F116" s="1"/>
      <c r="G116" s="1"/>
    </row>
    <row r="117" spans="2:7" x14ac:dyDescent="0.25">
      <c r="B117" s="1"/>
      <c r="C117" s="1"/>
      <c r="D117" s="1"/>
      <c r="E117" s="1"/>
      <c r="F117" s="1"/>
      <c r="G117" s="1"/>
    </row>
    <row r="118" spans="2:7" x14ac:dyDescent="0.25">
      <c r="B118" s="1"/>
      <c r="C118" s="1"/>
      <c r="D118" s="1"/>
      <c r="E118" s="1"/>
      <c r="F118" s="1"/>
      <c r="G118" s="1"/>
    </row>
    <row r="119" spans="2:7" x14ac:dyDescent="0.25">
      <c r="B119" s="1"/>
      <c r="C119" s="1"/>
      <c r="D119" s="1"/>
      <c r="E119" s="1"/>
      <c r="F119" s="1"/>
      <c r="G119" s="1"/>
    </row>
    <row r="120" spans="2:7" x14ac:dyDescent="0.25">
      <c r="B120" s="1"/>
      <c r="C120" s="1"/>
      <c r="D120" s="1"/>
      <c r="E120" s="1"/>
      <c r="F120" s="1"/>
      <c r="G120" s="1"/>
    </row>
    <row r="121" spans="2:7" x14ac:dyDescent="0.25">
      <c r="B121" s="1"/>
      <c r="C121" s="1"/>
      <c r="D121" s="1"/>
      <c r="E121" s="1"/>
      <c r="F121" s="1"/>
      <c r="G121" s="1"/>
    </row>
    <row r="122" spans="2:7" x14ac:dyDescent="0.25">
      <c r="B122" s="1"/>
      <c r="C122" s="1"/>
      <c r="D122" s="1"/>
      <c r="E122" s="1"/>
      <c r="F122" s="1"/>
      <c r="G122" s="1"/>
    </row>
    <row r="123" spans="2:7" x14ac:dyDescent="0.25">
      <c r="B123" s="1"/>
      <c r="C123" s="1"/>
      <c r="D123" s="1"/>
      <c r="E123" s="1"/>
      <c r="F123" s="1"/>
      <c r="G123" s="1"/>
    </row>
    <row r="124" spans="2:7" x14ac:dyDescent="0.25">
      <c r="B124" s="1"/>
      <c r="C124" s="1"/>
      <c r="D124" s="1"/>
      <c r="E124" s="1"/>
      <c r="F124" s="1"/>
      <c r="G124" s="1"/>
    </row>
    <row r="125" spans="2:7" x14ac:dyDescent="0.25">
      <c r="B125" s="1"/>
      <c r="C125" s="1"/>
      <c r="D125" s="1"/>
      <c r="E125" s="1"/>
      <c r="F125" s="1"/>
      <c r="G125" s="1"/>
    </row>
    <row r="126" spans="2:7" x14ac:dyDescent="0.25">
      <c r="B126" s="1"/>
      <c r="C126" s="1"/>
      <c r="D126" s="1"/>
      <c r="E126" s="1"/>
      <c r="F126" s="1"/>
      <c r="G126" s="1"/>
    </row>
    <row r="127" spans="2:7" x14ac:dyDescent="0.25">
      <c r="B127" s="1"/>
      <c r="C127" s="1"/>
      <c r="D127" s="1"/>
      <c r="E127" s="1"/>
      <c r="F127" s="1"/>
      <c r="G127" s="1"/>
    </row>
    <row r="128" spans="2:7" x14ac:dyDescent="0.25">
      <c r="B128" s="1"/>
      <c r="C128" s="1"/>
      <c r="D128" s="1"/>
      <c r="E128" s="1"/>
      <c r="F128" s="1"/>
      <c r="G128" s="1"/>
    </row>
    <row r="129" spans="2:7" x14ac:dyDescent="0.25">
      <c r="B129" s="1"/>
      <c r="C129" s="1"/>
      <c r="D129" s="1"/>
      <c r="E129" s="1"/>
      <c r="F129" s="1"/>
      <c r="G129" s="1"/>
    </row>
    <row r="130" spans="2:7" x14ac:dyDescent="0.25">
      <c r="B130" s="1"/>
      <c r="C130" s="1"/>
      <c r="D130" s="1"/>
      <c r="E130" s="1"/>
      <c r="F130" s="1"/>
      <c r="G130" s="1"/>
    </row>
    <row r="131" spans="2:7" x14ac:dyDescent="0.25">
      <c r="B131" s="1"/>
      <c r="C131" s="1"/>
      <c r="D131" s="1"/>
      <c r="E131" s="1"/>
      <c r="F131" s="1"/>
      <c r="G131" s="1"/>
    </row>
    <row r="132" spans="2:7" x14ac:dyDescent="0.25">
      <c r="B132" s="1"/>
      <c r="C132" s="1"/>
      <c r="D132" s="1"/>
      <c r="E132" s="1"/>
      <c r="F132" s="1"/>
      <c r="G132" s="1"/>
    </row>
    <row r="133" spans="2:7" x14ac:dyDescent="0.25">
      <c r="B133" s="1"/>
      <c r="C133" s="1"/>
      <c r="D133" s="1"/>
      <c r="E133" s="1"/>
      <c r="F133" s="1"/>
      <c r="G133" s="1"/>
    </row>
    <row r="134" spans="2:7" x14ac:dyDescent="0.25">
      <c r="B134" s="1"/>
      <c r="C134" s="1"/>
      <c r="D134" s="1"/>
      <c r="E134" s="1"/>
      <c r="F134" s="1"/>
      <c r="G134" s="1"/>
    </row>
    <row r="135" spans="2:7" x14ac:dyDescent="0.25">
      <c r="B135" s="1"/>
      <c r="C135" s="1"/>
      <c r="D135" s="1"/>
      <c r="E135" s="1"/>
      <c r="F135" s="1"/>
      <c r="G135" s="1"/>
    </row>
    <row r="136" spans="2:7" x14ac:dyDescent="0.25">
      <c r="B136" s="1"/>
      <c r="C136" s="1"/>
      <c r="D136" s="1"/>
      <c r="E136" s="1"/>
      <c r="F136" s="1"/>
      <c r="G136" s="1"/>
    </row>
    <row r="137" spans="2:7" x14ac:dyDescent="0.25">
      <c r="B137" s="1"/>
      <c r="C137" s="1"/>
      <c r="D137" s="1"/>
      <c r="E137" s="1"/>
      <c r="F137" s="1"/>
      <c r="G137" s="1"/>
    </row>
    <row r="138" spans="2:7" x14ac:dyDescent="0.25">
      <c r="B138" s="1"/>
      <c r="C138" s="1"/>
      <c r="D138" s="1"/>
      <c r="E138" s="1"/>
      <c r="F138" s="1"/>
      <c r="G138" s="1"/>
    </row>
    <row r="139" spans="2:7" x14ac:dyDescent="0.25">
      <c r="B139" s="1"/>
      <c r="C139" s="1"/>
      <c r="D139" s="1"/>
      <c r="E139" s="1"/>
      <c r="F139" s="1"/>
      <c r="G139" s="1"/>
    </row>
    <row r="140" spans="2:7" x14ac:dyDescent="0.25">
      <c r="B140" s="1"/>
      <c r="C140" s="1"/>
      <c r="D140" s="1"/>
      <c r="E140" s="1"/>
      <c r="F140" s="1"/>
      <c r="G140" s="1"/>
    </row>
    <row r="141" spans="2:7" x14ac:dyDescent="0.25">
      <c r="B141" s="1"/>
      <c r="C141" s="1"/>
      <c r="D141" s="1"/>
      <c r="E141" s="1"/>
      <c r="F141" s="1"/>
      <c r="G141" s="1"/>
    </row>
    <row r="142" spans="2:7" x14ac:dyDescent="0.25">
      <c r="B142" s="1"/>
      <c r="C142" s="1"/>
      <c r="D142" s="1"/>
      <c r="E142" s="1"/>
      <c r="F142" s="1"/>
      <c r="G142" s="1"/>
    </row>
    <row r="143" spans="2:7" x14ac:dyDescent="0.25">
      <c r="B143" s="1"/>
      <c r="C143" s="1"/>
      <c r="D143" s="1"/>
      <c r="E143" s="1"/>
      <c r="F143" s="1"/>
      <c r="G143" s="1"/>
    </row>
    <row r="144" spans="2:7" x14ac:dyDescent="0.25">
      <c r="B144" s="1"/>
      <c r="C144" s="1"/>
      <c r="D144" s="1"/>
      <c r="E144" s="1"/>
      <c r="F144" s="1"/>
      <c r="G144" s="1"/>
    </row>
    <row r="145" spans="2:7" x14ac:dyDescent="0.25">
      <c r="B145" s="1"/>
      <c r="C145" s="1"/>
      <c r="D145" s="1"/>
      <c r="E145" s="1"/>
      <c r="F145" s="1"/>
      <c r="G145" s="1"/>
    </row>
    <row r="146" spans="2:7" x14ac:dyDescent="0.25">
      <c r="B146" s="1"/>
      <c r="C146" s="1"/>
      <c r="D146" s="1"/>
      <c r="E146" s="1"/>
      <c r="F146" s="1"/>
      <c r="G146" s="1"/>
    </row>
    <row r="147" spans="2:7" x14ac:dyDescent="0.25">
      <c r="B147" s="1"/>
      <c r="C147" s="1"/>
      <c r="D147" s="1"/>
      <c r="E147" s="1"/>
      <c r="F147" s="1"/>
      <c r="G147" s="1"/>
    </row>
    <row r="148" spans="2:7" x14ac:dyDescent="0.25">
      <c r="B148" s="1"/>
      <c r="C148" s="1"/>
      <c r="D148" s="1"/>
      <c r="E148" s="1"/>
      <c r="F148" s="1"/>
      <c r="G148" s="1"/>
    </row>
    <row r="149" spans="2:7" x14ac:dyDescent="0.25">
      <c r="B149" s="1"/>
      <c r="C149" s="1"/>
      <c r="D149" s="1"/>
      <c r="E149" s="1"/>
      <c r="F149" s="1"/>
      <c r="G149" s="1"/>
    </row>
    <row r="150" spans="2:7" x14ac:dyDescent="0.25">
      <c r="B150" s="1"/>
      <c r="C150" s="1"/>
      <c r="D150" s="1"/>
      <c r="E150" s="1"/>
      <c r="F150" s="1"/>
      <c r="G150" s="1"/>
    </row>
    <row r="151" spans="2:7" x14ac:dyDescent="0.25">
      <c r="B151" s="1"/>
      <c r="C151" s="1"/>
      <c r="D151" s="1"/>
      <c r="E151" s="1"/>
      <c r="F151" s="1"/>
      <c r="G151" s="1"/>
    </row>
    <row r="152" spans="2:7" x14ac:dyDescent="0.25">
      <c r="B152" s="1"/>
      <c r="C152" s="1"/>
      <c r="D152" s="1"/>
      <c r="E152" s="1"/>
      <c r="F152" s="1"/>
      <c r="G152" s="1"/>
    </row>
    <row r="153" spans="2:7" x14ac:dyDescent="0.25">
      <c r="B153" s="1"/>
      <c r="C153" s="1"/>
      <c r="D153" s="1"/>
      <c r="E153" s="1"/>
      <c r="F153" s="1"/>
      <c r="G153" s="1"/>
    </row>
    <row r="154" spans="2:7" x14ac:dyDescent="0.25">
      <c r="B154" s="1"/>
      <c r="C154" s="1"/>
      <c r="D154" s="1"/>
      <c r="E154" s="1"/>
      <c r="F154" s="1"/>
      <c r="G154" s="1"/>
    </row>
    <row r="155" spans="2:7" x14ac:dyDescent="0.25">
      <c r="B155" s="1"/>
      <c r="C155" s="1"/>
      <c r="D155" s="1"/>
      <c r="E155" s="1"/>
      <c r="F155" s="1"/>
      <c r="G155" s="1"/>
    </row>
    <row r="156" spans="2:7" x14ac:dyDescent="0.25">
      <c r="B156" s="1"/>
      <c r="C156" s="1"/>
      <c r="D156" s="1"/>
      <c r="E156" s="1"/>
      <c r="F156" s="1"/>
      <c r="G156" s="1"/>
    </row>
    <row r="157" spans="2:7" x14ac:dyDescent="0.25">
      <c r="B157" s="1"/>
      <c r="C157" s="1"/>
      <c r="D157" s="1"/>
      <c r="E157" s="1"/>
      <c r="F157" s="1"/>
      <c r="G157" s="1"/>
    </row>
    <row r="158" spans="2:7" x14ac:dyDescent="0.25">
      <c r="B158" s="1"/>
      <c r="C158" s="1"/>
      <c r="D158" s="1"/>
      <c r="E158" s="1"/>
      <c r="F158" s="1"/>
      <c r="G158" s="1"/>
    </row>
    <row r="159" spans="2:7" x14ac:dyDescent="0.25">
      <c r="B159" s="1"/>
      <c r="C159" s="1"/>
      <c r="D159" s="1"/>
      <c r="E159" s="1"/>
      <c r="F159" s="1"/>
      <c r="G159" s="1"/>
    </row>
    <row r="160" spans="2:7" x14ac:dyDescent="0.25">
      <c r="B160" s="1"/>
      <c r="C160" s="1"/>
      <c r="D160" s="1"/>
      <c r="E160" s="1"/>
      <c r="F160" s="1"/>
      <c r="G160" s="1"/>
    </row>
    <row r="161" spans="2:7" x14ac:dyDescent="0.25">
      <c r="B161" s="1"/>
      <c r="C161" s="1"/>
      <c r="D161" s="1"/>
      <c r="E161" s="1"/>
      <c r="F161" s="1"/>
      <c r="G161" s="1"/>
    </row>
    <row r="162" spans="2:7" x14ac:dyDescent="0.25">
      <c r="B162" s="1"/>
      <c r="C162" s="1"/>
      <c r="D162" s="1"/>
      <c r="E162" s="1"/>
      <c r="F162" s="1"/>
      <c r="G162" s="1"/>
    </row>
    <row r="163" spans="2:7" x14ac:dyDescent="0.25">
      <c r="B163" s="1"/>
      <c r="C163" s="1"/>
      <c r="D163" s="1"/>
      <c r="E163" s="1"/>
      <c r="F163" s="1"/>
      <c r="G163" s="1"/>
    </row>
    <row r="164" spans="2:7" x14ac:dyDescent="0.25">
      <c r="B164" s="1"/>
      <c r="C164" s="1"/>
      <c r="D164" s="1"/>
      <c r="E164" s="1"/>
      <c r="F164" s="1"/>
      <c r="G164" s="1"/>
    </row>
    <row r="165" spans="2:7" x14ac:dyDescent="0.25">
      <c r="B165" s="1"/>
      <c r="C165" s="1"/>
      <c r="D165" s="1"/>
      <c r="E165" s="1"/>
      <c r="F165" s="1"/>
      <c r="G165" s="1"/>
    </row>
    <row r="166" spans="2:7" x14ac:dyDescent="0.25">
      <c r="B166" s="1"/>
      <c r="C166" s="1"/>
      <c r="D166" s="1"/>
      <c r="E166" s="1"/>
      <c r="F166" s="1"/>
      <c r="G166" s="1"/>
    </row>
    <row r="167" spans="2:7" x14ac:dyDescent="0.25">
      <c r="B167" s="1"/>
      <c r="C167" s="1"/>
      <c r="D167" s="1"/>
      <c r="E167" s="1"/>
      <c r="F167" s="1"/>
      <c r="G167" s="1"/>
    </row>
    <row r="168" spans="2:7" x14ac:dyDescent="0.25">
      <c r="B168" s="1"/>
      <c r="C168" s="1"/>
      <c r="D168" s="1"/>
      <c r="E168" s="1"/>
      <c r="F168" s="1"/>
      <c r="G168" s="1"/>
    </row>
    <row r="169" spans="2:7" x14ac:dyDescent="0.25">
      <c r="B169" s="1"/>
      <c r="C169" s="1"/>
      <c r="D169" s="1"/>
      <c r="E169" s="1"/>
      <c r="F169" s="1"/>
      <c r="G169" s="1"/>
    </row>
    <row r="170" spans="2:7" x14ac:dyDescent="0.25">
      <c r="B170" s="1"/>
      <c r="C170" s="1"/>
      <c r="D170" s="1"/>
      <c r="E170" s="1"/>
      <c r="F170" s="1"/>
      <c r="G170" s="1"/>
    </row>
    <row r="171" spans="2:7" x14ac:dyDescent="0.25">
      <c r="B171" s="1"/>
      <c r="C171" s="1"/>
      <c r="D171" s="1"/>
      <c r="E171" s="1"/>
      <c r="F171" s="1"/>
      <c r="G171" s="1"/>
    </row>
    <row r="172" spans="2:7" x14ac:dyDescent="0.25">
      <c r="B172" s="1"/>
      <c r="C172" s="1"/>
      <c r="D172" s="1"/>
      <c r="E172" s="1"/>
      <c r="F172" s="1"/>
      <c r="G172" s="1"/>
    </row>
    <row r="173" spans="2:7" x14ac:dyDescent="0.25">
      <c r="B173" s="1"/>
      <c r="C173" s="1"/>
      <c r="D173" s="1"/>
      <c r="E173" s="1"/>
      <c r="F173" s="1"/>
      <c r="G173" s="1"/>
    </row>
    <row r="174" spans="2:7" x14ac:dyDescent="0.25">
      <c r="B174" s="1"/>
      <c r="C174" s="1"/>
      <c r="D174" s="1"/>
      <c r="E174" s="1"/>
      <c r="F174" s="1"/>
      <c r="G174" s="1"/>
    </row>
    <row r="175" spans="2:7" x14ac:dyDescent="0.25">
      <c r="B175" s="1"/>
      <c r="C175" s="1"/>
      <c r="D175" s="1"/>
      <c r="E175" s="1"/>
      <c r="F175" s="1"/>
      <c r="G175" s="1"/>
    </row>
    <row r="176" spans="2:7" x14ac:dyDescent="0.25">
      <c r="B176" s="1"/>
      <c r="C176" s="1"/>
      <c r="D176" s="1"/>
      <c r="E176" s="1"/>
      <c r="F176" s="1"/>
      <c r="G176" s="1"/>
    </row>
    <row r="177" spans="2:7" x14ac:dyDescent="0.25">
      <c r="B177" s="1"/>
      <c r="C177" s="1"/>
      <c r="D177" s="1"/>
      <c r="E177" s="1"/>
      <c r="F177" s="1"/>
      <c r="G177" s="1"/>
    </row>
    <row r="178" spans="2:7" x14ac:dyDescent="0.25">
      <c r="B178" s="1"/>
      <c r="C178" s="1"/>
      <c r="D178" s="1"/>
      <c r="E178" s="1"/>
      <c r="F178" s="1"/>
      <c r="G178" s="1"/>
    </row>
    <row r="179" spans="2:7" x14ac:dyDescent="0.25">
      <c r="B179" s="1"/>
      <c r="C179" s="1"/>
      <c r="D179" s="1"/>
      <c r="E179" s="1"/>
      <c r="F179" s="1"/>
      <c r="G179" s="1"/>
    </row>
    <row r="180" spans="2:7" x14ac:dyDescent="0.25">
      <c r="B180" s="1"/>
      <c r="C180" s="1"/>
      <c r="D180" s="1"/>
      <c r="E180" s="1"/>
      <c r="F180" s="1"/>
      <c r="G180" s="1"/>
    </row>
    <row r="181" spans="2:7" x14ac:dyDescent="0.25">
      <c r="B181" s="1"/>
      <c r="C181" s="1"/>
      <c r="D181" s="1"/>
      <c r="E181" s="1"/>
      <c r="F181" s="1"/>
      <c r="G181" s="1"/>
    </row>
    <row r="182" spans="2:7" x14ac:dyDescent="0.25">
      <c r="B182" s="1"/>
      <c r="C182" s="1"/>
      <c r="D182" s="1"/>
      <c r="E182" s="1"/>
      <c r="F182" s="1"/>
      <c r="G182" s="1"/>
    </row>
    <row r="183" spans="2:7" x14ac:dyDescent="0.25">
      <c r="B183" s="1"/>
      <c r="C183" s="1"/>
      <c r="D183" s="1"/>
      <c r="E183" s="1"/>
      <c r="F183" s="1"/>
      <c r="G183" s="1"/>
    </row>
    <row r="184" spans="2:7" x14ac:dyDescent="0.25">
      <c r="B184" s="1"/>
      <c r="C184" s="1"/>
      <c r="D184" s="1"/>
      <c r="E184" s="1"/>
      <c r="F184" s="1"/>
      <c r="G184" s="1"/>
    </row>
    <row r="185" spans="2:7" x14ac:dyDescent="0.25">
      <c r="B185" s="1"/>
      <c r="C185" s="1"/>
      <c r="D185" s="1"/>
      <c r="E185" s="1"/>
      <c r="F185" s="1"/>
      <c r="G185" s="1"/>
    </row>
    <row r="186" spans="2:7" x14ac:dyDescent="0.25">
      <c r="B186" s="1"/>
      <c r="C186" s="1"/>
      <c r="D186" s="1"/>
      <c r="E186" s="1"/>
      <c r="F186" s="1"/>
      <c r="G186" s="1"/>
    </row>
    <row r="187" spans="2:7" x14ac:dyDescent="0.25">
      <c r="B187" s="1"/>
      <c r="C187" s="1"/>
      <c r="D187" s="1"/>
      <c r="E187" s="1"/>
      <c r="F187" s="1"/>
      <c r="G187" s="1"/>
    </row>
    <row r="188" spans="2:7" x14ac:dyDescent="0.25">
      <c r="B188" s="1"/>
      <c r="C188" s="1"/>
      <c r="D188" s="1"/>
      <c r="E188" s="1"/>
      <c r="F188" s="1"/>
      <c r="G188" s="1"/>
    </row>
    <row r="189" spans="2:7" x14ac:dyDescent="0.25">
      <c r="B189" s="1"/>
      <c r="C189" s="1"/>
      <c r="D189" s="1"/>
      <c r="E189" s="1"/>
      <c r="F189" s="1"/>
      <c r="G189" s="1"/>
    </row>
    <row r="190" spans="2:7" x14ac:dyDescent="0.25">
      <c r="B190" s="1"/>
      <c r="C190" s="1"/>
      <c r="D190" s="1"/>
      <c r="E190" s="1"/>
      <c r="F190" s="1"/>
      <c r="G190" s="1"/>
    </row>
    <row r="191" spans="2:7" x14ac:dyDescent="0.25">
      <c r="B191" s="1"/>
      <c r="C191" s="1"/>
      <c r="D191" s="1"/>
      <c r="E191" s="1"/>
      <c r="F191" s="1"/>
      <c r="G191" s="1"/>
    </row>
    <row r="192" spans="2:7" x14ac:dyDescent="0.25">
      <c r="B192" s="1"/>
      <c r="C192" s="1"/>
      <c r="D192" s="1"/>
      <c r="E192" s="1"/>
      <c r="F192" s="1"/>
      <c r="G192" s="1"/>
    </row>
    <row r="193" spans="2:7" x14ac:dyDescent="0.25">
      <c r="B193" s="1"/>
      <c r="C193" s="1"/>
      <c r="D193" s="1"/>
      <c r="E193" s="1"/>
      <c r="F193" s="1"/>
      <c r="G193" s="1"/>
    </row>
    <row r="194" spans="2:7" x14ac:dyDescent="0.25">
      <c r="B194" s="1"/>
      <c r="C194" s="1"/>
      <c r="D194" s="1"/>
      <c r="E194" s="1"/>
      <c r="F194" s="1"/>
      <c r="G194" s="1"/>
    </row>
    <row r="195" spans="2:7" x14ac:dyDescent="0.25">
      <c r="B195" s="1"/>
      <c r="C195" s="1"/>
      <c r="D195" s="1"/>
      <c r="E195" s="1"/>
      <c r="F195" s="1"/>
      <c r="G195" s="1"/>
    </row>
    <row r="196" spans="2:7" x14ac:dyDescent="0.25">
      <c r="B196" s="1"/>
      <c r="C196" s="1"/>
      <c r="D196" s="1"/>
      <c r="E196" s="1"/>
      <c r="F196" s="1"/>
      <c r="G196" s="1"/>
    </row>
    <row r="197" spans="2:7" x14ac:dyDescent="0.25">
      <c r="B197" s="1"/>
      <c r="C197" s="1"/>
      <c r="D197" s="1"/>
      <c r="E197" s="1"/>
      <c r="F197" s="1"/>
      <c r="G197" s="1"/>
    </row>
    <row r="198" spans="2:7" x14ac:dyDescent="0.25">
      <c r="B198" s="1"/>
      <c r="C198" s="1"/>
      <c r="D198" s="1"/>
      <c r="E198" s="1"/>
      <c r="F198" s="1"/>
      <c r="G198" s="1"/>
    </row>
    <row r="199" spans="2:7" x14ac:dyDescent="0.25">
      <c r="B199" s="1"/>
      <c r="C199" s="1"/>
      <c r="D199" s="1"/>
      <c r="E199" s="1"/>
      <c r="F199" s="1"/>
      <c r="G199" s="1"/>
    </row>
    <row r="200" spans="2:7" x14ac:dyDescent="0.25">
      <c r="B200" s="1"/>
      <c r="C200" s="1"/>
      <c r="D200" s="1"/>
      <c r="E200" s="1"/>
      <c r="F200" s="1"/>
      <c r="G200" s="1"/>
    </row>
    <row r="201" spans="2:7" x14ac:dyDescent="0.25">
      <c r="B201" s="1"/>
      <c r="C201" s="1"/>
      <c r="D201" s="1"/>
      <c r="E201" s="1"/>
      <c r="F201" s="1"/>
      <c r="G201" s="1"/>
    </row>
    <row r="202" spans="2:7" x14ac:dyDescent="0.25">
      <c r="B202" s="1"/>
      <c r="C202" s="1"/>
      <c r="D202" s="1"/>
      <c r="E202" s="1"/>
      <c r="F202" s="1"/>
      <c r="G202" s="1"/>
    </row>
    <row r="203" spans="2:7" x14ac:dyDescent="0.25">
      <c r="B203" s="1"/>
      <c r="C203" s="1"/>
      <c r="D203" s="1"/>
      <c r="E203" s="1"/>
      <c r="F203" s="1"/>
      <c r="G203" s="1"/>
    </row>
    <row r="204" spans="2:7" x14ac:dyDescent="0.25">
      <c r="B204" s="1"/>
      <c r="C204" s="1"/>
      <c r="D204" s="1"/>
      <c r="E204" s="1"/>
      <c r="F204" s="1"/>
      <c r="G204" s="1"/>
    </row>
    <row r="205" spans="2:7" x14ac:dyDescent="0.25">
      <c r="B205" s="1"/>
      <c r="C205" s="1"/>
      <c r="D205" s="1"/>
      <c r="E205" s="1"/>
      <c r="F205" s="1"/>
      <c r="G205" s="1"/>
    </row>
    <row r="206" spans="2:7" x14ac:dyDescent="0.25">
      <c r="B206" s="1"/>
      <c r="C206" s="1"/>
      <c r="D206" s="1"/>
      <c r="E206" s="1"/>
      <c r="F206" s="1"/>
      <c r="G206" s="1"/>
    </row>
    <row r="207" spans="2:7" x14ac:dyDescent="0.25">
      <c r="B207" s="1"/>
      <c r="C207" s="1"/>
      <c r="D207" s="1"/>
      <c r="E207" s="1"/>
      <c r="F207" s="1"/>
      <c r="G207" s="1"/>
    </row>
    <row r="208" spans="2:7" x14ac:dyDescent="0.25">
      <c r="B208" s="1"/>
      <c r="C208" s="1"/>
      <c r="D208" s="1"/>
      <c r="E208" s="1"/>
      <c r="F208" s="1"/>
      <c r="G208" s="1"/>
    </row>
    <row r="209" spans="2:7" x14ac:dyDescent="0.25">
      <c r="B209" s="1"/>
      <c r="C209" s="1"/>
      <c r="D209" s="1"/>
      <c r="E209" s="1"/>
      <c r="F209" s="1"/>
      <c r="G209" s="1"/>
    </row>
    <row r="210" spans="2:7" x14ac:dyDescent="0.25">
      <c r="B210" s="1"/>
      <c r="C210" s="1"/>
      <c r="D210" s="1"/>
      <c r="E210" s="1"/>
      <c r="F210" s="1"/>
      <c r="G210" s="1"/>
    </row>
    <row r="211" spans="2:7" x14ac:dyDescent="0.25">
      <c r="B211" s="1"/>
      <c r="C211" s="1"/>
      <c r="D211" s="1"/>
      <c r="E211" s="1"/>
      <c r="F211" s="1"/>
      <c r="G211" s="1"/>
    </row>
    <row r="212" spans="2:7" x14ac:dyDescent="0.25">
      <c r="B212" s="1"/>
      <c r="C212" s="1"/>
      <c r="D212" s="1"/>
      <c r="E212" s="1"/>
      <c r="F212" s="1"/>
      <c r="G212" s="1"/>
    </row>
    <row r="213" spans="2:7" x14ac:dyDescent="0.25">
      <c r="B213" s="1"/>
      <c r="C213" s="1"/>
      <c r="D213" s="1"/>
      <c r="E213" s="1"/>
      <c r="F213" s="1"/>
      <c r="G213" s="1"/>
    </row>
    <row r="214" spans="2:7" x14ac:dyDescent="0.25">
      <c r="B214" s="1"/>
      <c r="C214" s="1"/>
      <c r="D214" s="1"/>
      <c r="E214" s="1"/>
      <c r="F214" s="1"/>
      <c r="G214" s="1"/>
    </row>
    <row r="215" spans="2:7" x14ac:dyDescent="0.25">
      <c r="B215" s="1"/>
      <c r="C215" s="1"/>
      <c r="D215" s="1"/>
      <c r="E215" s="1"/>
      <c r="F215" s="1"/>
      <c r="G215" s="1"/>
    </row>
    <row r="216" spans="2:7" x14ac:dyDescent="0.25">
      <c r="B216" s="1"/>
      <c r="C216" s="1"/>
      <c r="D216" s="1"/>
      <c r="E216" s="1"/>
      <c r="F216" s="1"/>
      <c r="G216" s="1"/>
    </row>
    <row r="217" spans="2:7" x14ac:dyDescent="0.25">
      <c r="B217" s="1"/>
      <c r="C217" s="1"/>
      <c r="D217" s="1"/>
      <c r="E217" s="1"/>
      <c r="F217" s="1"/>
      <c r="G217" s="1"/>
    </row>
    <row r="218" spans="2:7" x14ac:dyDescent="0.25">
      <c r="B218" s="1"/>
      <c r="C218" s="1"/>
      <c r="D218" s="1"/>
      <c r="E218" s="1"/>
      <c r="F218" s="1"/>
      <c r="G218" s="1"/>
    </row>
    <row r="219" spans="2:7" x14ac:dyDescent="0.25">
      <c r="B219" s="1"/>
      <c r="C219" s="1"/>
      <c r="D219" s="1"/>
      <c r="E219" s="1"/>
      <c r="F219" s="1"/>
      <c r="G219" s="1"/>
    </row>
    <row r="220" spans="2:7" x14ac:dyDescent="0.25">
      <c r="B220" s="1"/>
      <c r="C220" s="1"/>
      <c r="D220" s="1"/>
      <c r="E220" s="1"/>
      <c r="F220" s="1"/>
      <c r="G220" s="1"/>
    </row>
    <row r="221" spans="2:7" x14ac:dyDescent="0.25">
      <c r="B221" s="1"/>
      <c r="C221" s="1"/>
      <c r="D221" s="1"/>
      <c r="E221" s="1"/>
      <c r="F221" s="1"/>
      <c r="G221" s="1"/>
    </row>
    <row r="222" spans="2:7" x14ac:dyDescent="0.25">
      <c r="B222" s="1"/>
      <c r="C222" s="1"/>
      <c r="D222" s="1"/>
      <c r="E222" s="1"/>
      <c r="F222" s="1"/>
      <c r="G222" s="1"/>
    </row>
    <row r="223" spans="2:7" x14ac:dyDescent="0.25">
      <c r="B223" s="1"/>
      <c r="C223" s="1"/>
      <c r="D223" s="1"/>
      <c r="E223" s="1"/>
      <c r="F223" s="1"/>
      <c r="G223" s="1"/>
    </row>
    <row r="224" spans="2:7" x14ac:dyDescent="0.25">
      <c r="B224" s="1"/>
      <c r="C224" s="1"/>
      <c r="D224" s="1"/>
      <c r="E224" s="1"/>
      <c r="F224" s="1"/>
      <c r="G224" s="1"/>
    </row>
    <row r="225" spans="2:7" x14ac:dyDescent="0.25">
      <c r="B225" s="1"/>
      <c r="C225" s="1"/>
      <c r="D225" s="1"/>
      <c r="E225" s="1"/>
      <c r="F225" s="1"/>
      <c r="G225" s="1"/>
    </row>
    <row r="226" spans="2:7" x14ac:dyDescent="0.25">
      <c r="B226" s="1"/>
      <c r="C226" s="1"/>
      <c r="D226" s="1"/>
      <c r="E226" s="1"/>
      <c r="F226" s="1"/>
      <c r="G226" s="1"/>
    </row>
    <row r="227" spans="2:7" x14ac:dyDescent="0.25">
      <c r="B227" s="1"/>
      <c r="C227" s="1"/>
      <c r="D227" s="1"/>
      <c r="E227" s="1"/>
      <c r="F227" s="1"/>
      <c r="G227" s="1"/>
    </row>
    <row r="228" spans="2:7" x14ac:dyDescent="0.25">
      <c r="B228" s="1"/>
      <c r="C228" s="1"/>
      <c r="D228" s="1"/>
      <c r="E228" s="1"/>
      <c r="F228" s="1"/>
      <c r="G228" s="1"/>
    </row>
    <row r="229" spans="2:7" x14ac:dyDescent="0.25">
      <c r="B229" s="1"/>
      <c r="C229" s="1"/>
      <c r="D229" s="1"/>
      <c r="E229" s="1"/>
      <c r="F229" s="1"/>
      <c r="G229" s="1"/>
    </row>
    <row r="230" spans="2:7" x14ac:dyDescent="0.25">
      <c r="B230" s="1"/>
      <c r="C230" s="1"/>
      <c r="D230" s="1"/>
      <c r="E230" s="1"/>
      <c r="F230" s="1"/>
      <c r="G230" s="1"/>
    </row>
    <row r="231" spans="2:7" x14ac:dyDescent="0.25">
      <c r="B231" s="1"/>
      <c r="C231" s="1"/>
      <c r="D231" s="1"/>
      <c r="E231" s="1"/>
      <c r="F231" s="1"/>
      <c r="G231" s="1"/>
    </row>
    <row r="232" spans="2:7" x14ac:dyDescent="0.25">
      <c r="B232" s="1"/>
      <c r="C232" s="1"/>
      <c r="D232" s="1"/>
      <c r="E232" s="1"/>
      <c r="F232" s="1"/>
      <c r="G232" s="1"/>
    </row>
    <row r="233" spans="2:7" x14ac:dyDescent="0.25">
      <c r="B233" s="1"/>
      <c r="C233" s="1"/>
      <c r="D233" s="1"/>
      <c r="E233" s="1"/>
      <c r="F233" s="1"/>
      <c r="G233" s="1"/>
    </row>
    <row r="234" spans="2:7" x14ac:dyDescent="0.25">
      <c r="B234" s="1"/>
      <c r="C234" s="1"/>
      <c r="D234" s="1"/>
      <c r="E234" s="1"/>
      <c r="F234" s="1"/>
      <c r="G234" s="1"/>
    </row>
    <row r="235" spans="2:7" x14ac:dyDescent="0.25">
      <c r="B235" s="1"/>
      <c r="C235" s="1"/>
      <c r="D235" s="1"/>
      <c r="E235" s="1"/>
      <c r="F235" s="1"/>
      <c r="G235" s="1"/>
    </row>
    <row r="236" spans="2:7" x14ac:dyDescent="0.25">
      <c r="B236" s="1"/>
      <c r="C236" s="1"/>
      <c r="D236" s="1"/>
      <c r="E236" s="1"/>
      <c r="F236" s="1"/>
      <c r="G236" s="1"/>
    </row>
    <row r="237" spans="2:7" x14ac:dyDescent="0.25">
      <c r="B237" s="1"/>
      <c r="C237" s="1"/>
      <c r="D237" s="1"/>
      <c r="E237" s="1"/>
      <c r="F237" s="1"/>
      <c r="G237" s="1"/>
    </row>
    <row r="238" spans="2:7" x14ac:dyDescent="0.25">
      <c r="B238" s="1"/>
      <c r="C238" s="1"/>
      <c r="D238" s="1"/>
      <c r="E238" s="1"/>
      <c r="F238" s="1"/>
      <c r="G238" s="1"/>
    </row>
    <row r="239" spans="2:7" x14ac:dyDescent="0.25">
      <c r="B239" s="1"/>
      <c r="C239" s="1"/>
      <c r="D239" s="1"/>
      <c r="E239" s="1"/>
      <c r="F239" s="1"/>
      <c r="G239" s="1"/>
    </row>
    <row r="240" spans="2:7" x14ac:dyDescent="0.25">
      <c r="B240" s="1"/>
      <c r="C240" s="1"/>
      <c r="D240" s="1"/>
      <c r="E240" s="1"/>
      <c r="F240" s="1"/>
      <c r="G240" s="1"/>
    </row>
    <row r="241" spans="2:7" x14ac:dyDescent="0.25">
      <c r="B241" s="1"/>
      <c r="C241" s="1"/>
      <c r="D241" s="1"/>
      <c r="E241" s="1"/>
      <c r="F241" s="1"/>
      <c r="G241" s="1"/>
    </row>
    <row r="242" spans="2:7" x14ac:dyDescent="0.25">
      <c r="B242" s="1"/>
      <c r="C242" s="1"/>
      <c r="D242" s="1"/>
      <c r="E242" s="1"/>
      <c r="F242" s="1"/>
      <c r="G242" s="1"/>
    </row>
    <row r="243" spans="2:7" x14ac:dyDescent="0.25">
      <c r="B243" s="1"/>
      <c r="C243" s="1"/>
      <c r="D243" s="1"/>
      <c r="E243" s="1"/>
      <c r="F243" s="1"/>
      <c r="G243" s="1"/>
    </row>
    <row r="244" spans="2:7" x14ac:dyDescent="0.25">
      <c r="B244" s="1"/>
      <c r="C244" s="1"/>
      <c r="D244" s="1"/>
      <c r="E244" s="1"/>
      <c r="F244" s="1"/>
      <c r="G244" s="1"/>
    </row>
    <row r="245" spans="2:7" x14ac:dyDescent="0.25">
      <c r="B245" s="1"/>
      <c r="C245" s="1"/>
      <c r="D245" s="1"/>
      <c r="E245" s="1"/>
      <c r="F245" s="1"/>
      <c r="G245" s="1"/>
    </row>
    <row r="246" spans="2:7" x14ac:dyDescent="0.25">
      <c r="B246" s="1"/>
      <c r="C246" s="1"/>
      <c r="D246" s="1"/>
      <c r="E246" s="1"/>
      <c r="F246" s="1"/>
      <c r="G246" s="1"/>
    </row>
    <row r="247" spans="2:7" x14ac:dyDescent="0.25">
      <c r="B247" s="1"/>
      <c r="C247" s="1"/>
      <c r="D247" s="1"/>
      <c r="E247" s="1"/>
      <c r="F247" s="1"/>
      <c r="G247" s="1"/>
    </row>
    <row r="248" spans="2:7" x14ac:dyDescent="0.25">
      <c r="B248" s="1"/>
      <c r="C248" s="1"/>
      <c r="D248" s="1"/>
      <c r="E248" s="1"/>
      <c r="F248" s="1"/>
      <c r="G248" s="1"/>
    </row>
    <row r="249" spans="2:7" x14ac:dyDescent="0.25">
      <c r="B249" s="1"/>
      <c r="C249" s="1"/>
      <c r="D249" s="1"/>
      <c r="E249" s="1"/>
      <c r="F249" s="1"/>
      <c r="G249" s="1"/>
    </row>
    <row r="250" spans="2:7" x14ac:dyDescent="0.25">
      <c r="B250" s="1"/>
      <c r="C250" s="1"/>
      <c r="D250" s="1"/>
      <c r="E250" s="1"/>
      <c r="F250" s="1"/>
      <c r="G250" s="1"/>
    </row>
    <row r="251" spans="2:7" x14ac:dyDescent="0.25">
      <c r="B251" s="1"/>
      <c r="C251" s="1"/>
      <c r="D251" s="1"/>
      <c r="E251" s="1"/>
      <c r="F251" s="1"/>
      <c r="G251" s="1"/>
    </row>
    <row r="252" spans="2:7" x14ac:dyDescent="0.25">
      <c r="B252" s="1"/>
      <c r="C252" s="1"/>
      <c r="D252" s="1"/>
      <c r="E252" s="1"/>
      <c r="F252" s="1"/>
      <c r="G252" s="1"/>
    </row>
    <row r="253" spans="2:7" x14ac:dyDescent="0.25">
      <c r="B253" s="1"/>
      <c r="C253" s="1"/>
      <c r="D253" s="1"/>
      <c r="E253" s="1"/>
      <c r="F253" s="1"/>
      <c r="G253" s="1"/>
    </row>
    <row r="254" spans="2:7" x14ac:dyDescent="0.25">
      <c r="B254" s="1"/>
      <c r="C254" s="1"/>
      <c r="D254" s="1"/>
      <c r="E254" s="1"/>
      <c r="F254" s="1"/>
      <c r="G254" s="1"/>
    </row>
    <row r="255" spans="2:7" x14ac:dyDescent="0.25">
      <c r="B255" s="1"/>
      <c r="C255" s="1"/>
      <c r="D255" s="1"/>
      <c r="E255" s="1"/>
      <c r="F255" s="1"/>
      <c r="G255" s="1"/>
    </row>
    <row r="256" spans="2:7" x14ac:dyDescent="0.25">
      <c r="B256" s="1"/>
      <c r="C256" s="1"/>
      <c r="D256" s="1"/>
      <c r="E256" s="1"/>
      <c r="F256" s="1"/>
      <c r="G256" s="1"/>
    </row>
    <row r="257" spans="2:7" x14ac:dyDescent="0.25">
      <c r="B257" s="1"/>
      <c r="C257" s="1"/>
      <c r="D257" s="1"/>
      <c r="E257" s="1"/>
      <c r="F257" s="1"/>
      <c r="G257" s="1"/>
    </row>
    <row r="258" spans="2:7" x14ac:dyDescent="0.25">
      <c r="B258" s="1"/>
      <c r="C258" s="1"/>
      <c r="D258" s="1"/>
      <c r="E258" s="1"/>
      <c r="F258" s="1"/>
      <c r="G258" s="1"/>
    </row>
    <row r="259" spans="2:7" x14ac:dyDescent="0.25">
      <c r="B259" s="1"/>
      <c r="C259" s="1"/>
      <c r="D259" s="1"/>
      <c r="E259" s="1"/>
      <c r="F259" s="1"/>
      <c r="G259" s="1"/>
    </row>
    <row r="260" spans="2:7" x14ac:dyDescent="0.25">
      <c r="B260" s="1"/>
      <c r="C260" s="1"/>
      <c r="D260" s="1"/>
      <c r="E260" s="1"/>
      <c r="F260" s="1"/>
      <c r="G260" s="1"/>
    </row>
    <row r="261" spans="2:7" x14ac:dyDescent="0.25">
      <c r="B261" s="1"/>
      <c r="C261" s="1"/>
      <c r="D261" s="1"/>
      <c r="E261" s="1"/>
      <c r="F261" s="1"/>
      <c r="G261" s="1"/>
    </row>
    <row r="262" spans="2:7" x14ac:dyDescent="0.25">
      <c r="B262" s="1"/>
      <c r="C262" s="1"/>
      <c r="D262" s="1"/>
      <c r="E262" s="1"/>
      <c r="F262" s="1"/>
      <c r="G262" s="1"/>
    </row>
    <row r="263" spans="2:7" x14ac:dyDescent="0.25">
      <c r="B263" s="1"/>
      <c r="C263" s="1"/>
      <c r="D263" s="1"/>
      <c r="E263" s="1"/>
      <c r="F263" s="1"/>
      <c r="G263" s="1"/>
    </row>
    <row r="264" spans="2:7" x14ac:dyDescent="0.25">
      <c r="B264" s="1"/>
      <c r="C264" s="1"/>
      <c r="D264" s="1"/>
      <c r="E264" s="1"/>
      <c r="F264" s="1"/>
      <c r="G264" s="1"/>
    </row>
    <row r="265" spans="2:7" x14ac:dyDescent="0.25">
      <c r="B265" s="1"/>
      <c r="C265" s="1"/>
      <c r="D265" s="1"/>
      <c r="E265" s="1"/>
      <c r="F265" s="1"/>
      <c r="G265" s="1"/>
    </row>
    <row r="266" spans="2:7" x14ac:dyDescent="0.25">
      <c r="B266" s="1"/>
      <c r="C266" s="1"/>
      <c r="D266" s="1"/>
      <c r="E266" s="1"/>
      <c r="F266" s="1"/>
      <c r="G266" s="1"/>
    </row>
    <row r="267" spans="2:7" x14ac:dyDescent="0.25">
      <c r="B267" s="1"/>
      <c r="C267" s="1"/>
      <c r="D267" s="1"/>
      <c r="E267" s="1"/>
      <c r="F267" s="1"/>
      <c r="G267" s="1"/>
    </row>
    <row r="268" spans="2:7" x14ac:dyDescent="0.25">
      <c r="B268" s="1"/>
      <c r="C268" s="1"/>
      <c r="D268" s="1"/>
      <c r="E268" s="1"/>
      <c r="F268" s="1"/>
      <c r="G268" s="1"/>
    </row>
    <row r="269" spans="2:7" x14ac:dyDescent="0.25">
      <c r="B269" s="1"/>
      <c r="C269" s="1"/>
      <c r="D269" s="1"/>
      <c r="E269" s="1"/>
      <c r="F269" s="1"/>
      <c r="G269" s="1"/>
    </row>
    <row r="270" spans="2:7" x14ac:dyDescent="0.25">
      <c r="B270" s="1"/>
      <c r="C270" s="1"/>
      <c r="D270" s="1"/>
      <c r="E270" s="1"/>
      <c r="F270" s="1"/>
      <c r="G270" s="1"/>
    </row>
    <row r="271" spans="2:7" x14ac:dyDescent="0.25">
      <c r="B271" s="1"/>
      <c r="C271" s="1"/>
      <c r="D271" s="1"/>
      <c r="E271" s="1"/>
      <c r="F271" s="1"/>
      <c r="G271" s="1"/>
    </row>
    <row r="272" spans="2:7" x14ac:dyDescent="0.25">
      <c r="B272" s="1"/>
      <c r="C272" s="1"/>
      <c r="D272" s="1"/>
      <c r="E272" s="1"/>
      <c r="F272" s="1"/>
      <c r="G272" s="1"/>
    </row>
    <row r="273" spans="2:7" x14ac:dyDescent="0.25">
      <c r="B273" s="1"/>
      <c r="C273" s="1"/>
      <c r="D273" s="1"/>
      <c r="E273" s="1"/>
      <c r="F273" s="1"/>
      <c r="G273" s="1"/>
    </row>
    <row r="274" spans="2:7" x14ac:dyDescent="0.25">
      <c r="B274" s="1"/>
      <c r="C274" s="1"/>
      <c r="D274" s="1"/>
      <c r="E274" s="1"/>
      <c r="F274" s="1"/>
      <c r="G274" s="1"/>
    </row>
    <row r="275" spans="2:7" x14ac:dyDescent="0.25">
      <c r="B275" s="1"/>
      <c r="C275" s="1"/>
      <c r="D275" s="1"/>
      <c r="E275" s="1"/>
      <c r="F275" s="1"/>
      <c r="G275" s="1"/>
    </row>
    <row r="276" spans="2:7" x14ac:dyDescent="0.25">
      <c r="B276" s="1"/>
      <c r="C276" s="1"/>
      <c r="D276" s="1"/>
      <c r="E276" s="1"/>
      <c r="F276" s="1"/>
      <c r="G276" s="1"/>
    </row>
    <row r="277" spans="2:7" x14ac:dyDescent="0.25">
      <c r="B277" s="1"/>
      <c r="C277" s="1"/>
      <c r="D277" s="1"/>
      <c r="E277" s="1"/>
      <c r="F277" s="1"/>
      <c r="G277" s="1"/>
    </row>
    <row r="278" spans="2:7" x14ac:dyDescent="0.25">
      <c r="B278" s="1"/>
      <c r="C278" s="1"/>
      <c r="D278" s="1"/>
      <c r="E278" s="1"/>
      <c r="F278" s="1"/>
      <c r="G278" s="1"/>
    </row>
    <row r="279" spans="2:7" x14ac:dyDescent="0.25">
      <c r="B279" s="1"/>
      <c r="C279" s="1"/>
      <c r="D279" s="1"/>
      <c r="E279" s="1"/>
      <c r="F279" s="1"/>
      <c r="G279" s="1"/>
    </row>
    <row r="280" spans="2:7" x14ac:dyDescent="0.25">
      <c r="B280" s="1"/>
      <c r="C280" s="1"/>
      <c r="D280" s="1"/>
      <c r="E280" s="1"/>
      <c r="F280" s="1"/>
      <c r="G280" s="1"/>
    </row>
    <row r="281" spans="2:7" x14ac:dyDescent="0.25">
      <c r="B281" s="1"/>
      <c r="C281" s="1"/>
      <c r="D281" s="1"/>
      <c r="E281" s="1"/>
      <c r="F281" s="1"/>
      <c r="G281" s="1"/>
    </row>
    <row r="282" spans="2:7" x14ac:dyDescent="0.25">
      <c r="B282" s="1"/>
      <c r="C282" s="1"/>
      <c r="D282" s="1"/>
      <c r="E282" s="1"/>
      <c r="F282" s="1"/>
      <c r="G282" s="1"/>
    </row>
    <row r="283" spans="2:7" x14ac:dyDescent="0.25">
      <c r="B283" s="1"/>
      <c r="C283" s="1"/>
      <c r="D283" s="1"/>
      <c r="E283" s="1"/>
      <c r="F283" s="1"/>
      <c r="G283" s="1"/>
    </row>
    <row r="284" spans="2:7" x14ac:dyDescent="0.25">
      <c r="B284" s="1"/>
      <c r="C284" s="1"/>
      <c r="D284" s="1"/>
      <c r="E284" s="1"/>
      <c r="F284" s="1"/>
      <c r="G284" s="1"/>
    </row>
    <row r="285" spans="2:7" x14ac:dyDescent="0.25">
      <c r="B285" s="1"/>
      <c r="C285" s="1"/>
      <c r="D285" s="1"/>
      <c r="E285" s="1"/>
      <c r="F285" s="1"/>
      <c r="G285" s="1"/>
    </row>
    <row r="286" spans="2:7" x14ac:dyDescent="0.25">
      <c r="B286" s="1"/>
      <c r="C286" s="1"/>
      <c r="D286" s="1"/>
      <c r="E286" s="1"/>
      <c r="F286" s="1"/>
      <c r="G286" s="1"/>
    </row>
    <row r="287" spans="2:7" x14ac:dyDescent="0.25">
      <c r="B287" s="1"/>
      <c r="C287" s="1"/>
      <c r="D287" s="1"/>
      <c r="E287" s="1"/>
      <c r="F287" s="1"/>
      <c r="G287" s="1"/>
    </row>
    <row r="288" spans="2:7" x14ac:dyDescent="0.25">
      <c r="B288" s="1"/>
      <c r="C288" s="1"/>
      <c r="D288" s="1"/>
      <c r="E288" s="1"/>
      <c r="F288" s="1"/>
      <c r="G288" s="1"/>
    </row>
    <row r="289" spans="2:7" x14ac:dyDescent="0.25">
      <c r="B289" s="1"/>
      <c r="C289" s="1"/>
      <c r="D289" s="1"/>
      <c r="E289" s="1"/>
      <c r="F289" s="1"/>
      <c r="G289" s="1"/>
    </row>
    <row r="290" spans="2:7" x14ac:dyDescent="0.25">
      <c r="B290" s="1"/>
      <c r="C290" s="1"/>
      <c r="D290" s="1"/>
      <c r="E290" s="1"/>
      <c r="F290" s="1"/>
      <c r="G290" s="1"/>
    </row>
    <row r="291" spans="2:7" x14ac:dyDescent="0.25">
      <c r="B291" s="1"/>
      <c r="C291" s="1"/>
      <c r="D291" s="1"/>
      <c r="E291" s="1"/>
      <c r="F291" s="1"/>
      <c r="G291" s="1"/>
    </row>
    <row r="292" spans="2:7" x14ac:dyDescent="0.25">
      <c r="B292" s="1"/>
      <c r="C292" s="1"/>
      <c r="D292" s="1"/>
      <c r="E292" s="1"/>
      <c r="F292" s="1"/>
      <c r="G292" s="1"/>
    </row>
    <row r="293" spans="2:7" x14ac:dyDescent="0.25">
      <c r="B293" s="1"/>
      <c r="C293" s="1"/>
      <c r="D293" s="1"/>
      <c r="E293" s="1"/>
      <c r="F293" s="1"/>
      <c r="G293" s="1"/>
    </row>
    <row r="294" spans="2:7" x14ac:dyDescent="0.25">
      <c r="B294" s="1"/>
      <c r="C294" s="1"/>
      <c r="D294" s="1"/>
      <c r="E294" s="1"/>
      <c r="F294" s="1"/>
      <c r="G294" s="1"/>
    </row>
    <row r="295" spans="2:7" x14ac:dyDescent="0.25">
      <c r="B295" s="1"/>
      <c r="C295" s="1"/>
      <c r="D295" s="1"/>
      <c r="E295" s="1"/>
      <c r="F295" s="1"/>
      <c r="G295" s="1"/>
    </row>
    <row r="296" spans="2:7" x14ac:dyDescent="0.25">
      <c r="B296" s="1"/>
      <c r="C296" s="1"/>
      <c r="D296" s="1"/>
      <c r="E296" s="1"/>
      <c r="F296" s="1"/>
      <c r="G296" s="1"/>
    </row>
    <row r="297" spans="2:7" x14ac:dyDescent="0.25">
      <c r="B297" s="1"/>
      <c r="C297" s="1"/>
      <c r="D297" s="1"/>
      <c r="E297" s="1"/>
      <c r="F297" s="1"/>
      <c r="G297" s="1"/>
    </row>
    <row r="298" spans="2:7" x14ac:dyDescent="0.25">
      <c r="B298" s="1"/>
      <c r="C298" s="1"/>
      <c r="D298" s="1"/>
      <c r="E298" s="1"/>
      <c r="F298" s="1"/>
      <c r="G298" s="1"/>
    </row>
    <row r="299" spans="2:7" x14ac:dyDescent="0.25">
      <c r="B299" s="1"/>
      <c r="C299" s="1"/>
      <c r="D299" s="1"/>
      <c r="E299" s="1"/>
      <c r="F299" s="1"/>
      <c r="G299" s="1"/>
    </row>
    <row r="300" spans="2:7" x14ac:dyDescent="0.25">
      <c r="B300" s="1"/>
      <c r="C300" s="1"/>
      <c r="D300" s="1"/>
      <c r="E300" s="1"/>
      <c r="F300" s="1"/>
      <c r="G300" s="1"/>
    </row>
    <row r="301" spans="2:7" x14ac:dyDescent="0.25">
      <c r="B301" s="1"/>
      <c r="C301" s="1"/>
      <c r="D301" s="1"/>
      <c r="E301" s="1"/>
      <c r="F301" s="1"/>
      <c r="G301" s="1"/>
    </row>
    <row r="302" spans="2:7" x14ac:dyDescent="0.25">
      <c r="B302" s="1"/>
      <c r="C302" s="1"/>
      <c r="D302" s="1"/>
      <c r="E302" s="1"/>
      <c r="F302" s="1"/>
      <c r="G302" s="1"/>
    </row>
    <row r="303" spans="2:7" x14ac:dyDescent="0.25">
      <c r="B303" s="1"/>
      <c r="C303" s="1"/>
      <c r="D303" s="1"/>
      <c r="E303" s="1"/>
      <c r="F303" s="1"/>
      <c r="G303" s="1"/>
    </row>
    <row r="304" spans="2:7" x14ac:dyDescent="0.25">
      <c r="B304" s="1"/>
      <c r="C304" s="1"/>
      <c r="D304" s="1"/>
      <c r="E304" s="1"/>
      <c r="F304" s="1"/>
      <c r="G304" s="1"/>
    </row>
    <row r="305" spans="2:7" x14ac:dyDescent="0.25">
      <c r="B305" s="1"/>
      <c r="C305" s="1"/>
      <c r="D305" s="1"/>
      <c r="E305" s="1"/>
      <c r="F305" s="1"/>
      <c r="G305" s="1"/>
    </row>
    <row r="306" spans="2:7" x14ac:dyDescent="0.25">
      <c r="B306" s="1"/>
      <c r="C306" s="1"/>
      <c r="D306" s="1"/>
      <c r="E306" s="1"/>
      <c r="F306" s="1"/>
      <c r="G306" s="1"/>
    </row>
    <row r="307" spans="2:7" x14ac:dyDescent="0.25">
      <c r="B307" s="1"/>
      <c r="C307" s="1"/>
      <c r="D307" s="1"/>
      <c r="E307" s="1"/>
      <c r="F307" s="1"/>
      <c r="G307" s="1"/>
    </row>
    <row r="308" spans="2:7" x14ac:dyDescent="0.25">
      <c r="B308" s="1"/>
      <c r="C308" s="1"/>
      <c r="D308" s="1"/>
      <c r="E308" s="1"/>
      <c r="F308" s="1"/>
      <c r="G308" s="1"/>
    </row>
    <row r="309" spans="2:7" x14ac:dyDescent="0.25">
      <c r="B309" s="1"/>
      <c r="C309" s="1"/>
      <c r="D309" s="1"/>
      <c r="E309" s="1"/>
      <c r="F309" s="1"/>
      <c r="G309" s="1"/>
    </row>
    <row r="310" spans="2:7" x14ac:dyDescent="0.25">
      <c r="B310" s="1"/>
      <c r="C310" s="1"/>
      <c r="D310" s="1"/>
      <c r="E310" s="1"/>
      <c r="F310" s="1"/>
      <c r="G310" s="1"/>
    </row>
    <row r="311" spans="2:7" x14ac:dyDescent="0.25">
      <c r="B311" s="1"/>
      <c r="C311" s="1"/>
      <c r="D311" s="1"/>
      <c r="E311" s="1"/>
      <c r="F311" s="1"/>
      <c r="G311" s="1"/>
    </row>
    <row r="312" spans="2:7" x14ac:dyDescent="0.25">
      <c r="B312" s="1"/>
      <c r="C312" s="1"/>
      <c r="D312" s="1"/>
      <c r="E312" s="1"/>
      <c r="F312" s="1"/>
      <c r="G312" s="1"/>
    </row>
    <row r="313" spans="2:7" x14ac:dyDescent="0.25">
      <c r="B313" s="1"/>
      <c r="C313" s="1"/>
      <c r="D313" s="1"/>
      <c r="E313" s="1"/>
      <c r="F313" s="1"/>
      <c r="G313" s="1"/>
    </row>
    <row r="314" spans="2:7" x14ac:dyDescent="0.25">
      <c r="B314" s="1"/>
      <c r="C314" s="1"/>
      <c r="D314" s="1"/>
      <c r="E314" s="1"/>
      <c r="F314" s="1"/>
      <c r="G314" s="1"/>
    </row>
    <row r="315" spans="2:7" x14ac:dyDescent="0.25">
      <c r="B315" s="1"/>
      <c r="C315" s="1"/>
      <c r="D315" s="1"/>
      <c r="E315" s="1"/>
      <c r="F315" s="1"/>
      <c r="G315" s="1"/>
    </row>
    <row r="316" spans="2:7" x14ac:dyDescent="0.25">
      <c r="B316" s="1"/>
      <c r="C316" s="1"/>
      <c r="D316" s="1"/>
      <c r="E316" s="1"/>
      <c r="F316" s="1"/>
      <c r="G316" s="1"/>
    </row>
    <row r="317" spans="2:7" x14ac:dyDescent="0.25">
      <c r="B317" s="1"/>
      <c r="C317" s="1"/>
      <c r="D317" s="1"/>
      <c r="E317" s="1"/>
      <c r="F317" s="1"/>
      <c r="G317" s="1"/>
    </row>
    <row r="318" spans="2:7" x14ac:dyDescent="0.25">
      <c r="B318" s="1"/>
      <c r="C318" s="1"/>
      <c r="D318" s="1"/>
      <c r="E318" s="1"/>
      <c r="F318" s="1"/>
      <c r="G318" s="1"/>
    </row>
    <row r="319" spans="2:7" x14ac:dyDescent="0.25">
      <c r="B319" s="1"/>
      <c r="C319" s="1"/>
      <c r="D319" s="1"/>
      <c r="E319" s="1"/>
      <c r="F319" s="1"/>
      <c r="G319" s="1"/>
    </row>
    <row r="320" spans="2:7" x14ac:dyDescent="0.25">
      <c r="B320" s="1"/>
      <c r="C320" s="1"/>
      <c r="D320" s="1"/>
      <c r="E320" s="1"/>
      <c r="F320" s="1"/>
      <c r="G320" s="1"/>
    </row>
    <row r="321" spans="2:7" x14ac:dyDescent="0.25">
      <c r="B321" s="1"/>
      <c r="C321" s="1"/>
      <c r="D321" s="1"/>
      <c r="E321" s="1"/>
      <c r="F321" s="1"/>
      <c r="G321" s="1"/>
    </row>
    <row r="322" spans="2:7" x14ac:dyDescent="0.25">
      <c r="B322" s="1"/>
      <c r="C322" s="1"/>
      <c r="D322" s="1"/>
      <c r="E322" s="1"/>
      <c r="F322" s="1"/>
      <c r="G322" s="1"/>
    </row>
    <row r="323" spans="2:7" x14ac:dyDescent="0.25">
      <c r="B323" s="1"/>
      <c r="C323" s="1"/>
      <c r="D323" s="1"/>
      <c r="E323" s="1"/>
      <c r="F323" s="1"/>
      <c r="G323" s="1"/>
    </row>
    <row r="324" spans="2:7" x14ac:dyDescent="0.25">
      <c r="B324" s="1"/>
      <c r="C324" s="1"/>
      <c r="D324" s="1"/>
      <c r="E324" s="1"/>
      <c r="F324" s="1"/>
      <c r="G324" s="1"/>
    </row>
    <row r="325" spans="2:7" x14ac:dyDescent="0.25">
      <c r="B325" s="1"/>
      <c r="C325" s="1"/>
      <c r="D325" s="1"/>
      <c r="E325" s="1"/>
      <c r="F325" s="1"/>
      <c r="G325" s="1"/>
    </row>
    <row r="326" spans="2:7" x14ac:dyDescent="0.25">
      <c r="B326" s="1"/>
      <c r="C326" s="1"/>
      <c r="D326" s="1"/>
      <c r="E326" s="1"/>
      <c r="F326" s="1"/>
      <c r="G326" s="1"/>
    </row>
    <row r="327" spans="2:7" x14ac:dyDescent="0.25">
      <c r="B327" s="1"/>
      <c r="C327" s="1"/>
      <c r="D327" s="1"/>
      <c r="E327" s="1"/>
      <c r="F327" s="1"/>
      <c r="G327" s="1"/>
    </row>
    <row r="328" spans="2:7" x14ac:dyDescent="0.25">
      <c r="B328" s="1"/>
      <c r="C328" s="1"/>
      <c r="D328" s="1"/>
      <c r="E328" s="1"/>
      <c r="F328" s="1"/>
      <c r="G328" s="1"/>
    </row>
    <row r="329" spans="2:7" x14ac:dyDescent="0.25">
      <c r="B329" s="1"/>
      <c r="C329" s="1"/>
      <c r="D329" s="1"/>
      <c r="E329" s="1"/>
      <c r="F329" s="1"/>
      <c r="G329" s="1"/>
    </row>
    <row r="330" spans="2:7" x14ac:dyDescent="0.25">
      <c r="B330" s="1"/>
      <c r="C330" s="1"/>
      <c r="D330" s="1"/>
      <c r="E330" s="1"/>
      <c r="F330" s="1"/>
      <c r="G330" s="1"/>
    </row>
    <row r="331" spans="2:7" x14ac:dyDescent="0.25">
      <c r="B331" s="1"/>
      <c r="C331" s="1"/>
      <c r="D331" s="1"/>
      <c r="E331" s="1"/>
      <c r="F331" s="1"/>
      <c r="G331" s="1"/>
    </row>
    <row r="332" spans="2:7" x14ac:dyDescent="0.25">
      <c r="B332" s="1"/>
      <c r="C332" s="1"/>
      <c r="D332" s="1"/>
      <c r="E332" s="1"/>
      <c r="F332" s="1"/>
      <c r="G332" s="1"/>
    </row>
    <row r="333" spans="2:7" x14ac:dyDescent="0.25">
      <c r="B333" s="1"/>
      <c r="C333" s="1"/>
      <c r="D333" s="1"/>
      <c r="E333" s="1"/>
      <c r="F333" s="1"/>
      <c r="G333" s="1"/>
    </row>
    <row r="334" spans="2:7" x14ac:dyDescent="0.25">
      <c r="B334" s="1"/>
      <c r="C334" s="1"/>
      <c r="D334" s="1"/>
      <c r="E334" s="1"/>
      <c r="F334" s="1"/>
      <c r="G334" s="1"/>
    </row>
    <row r="335" spans="2:7" x14ac:dyDescent="0.25">
      <c r="B335" s="1"/>
      <c r="C335" s="1"/>
      <c r="D335" s="1"/>
      <c r="E335" s="1"/>
      <c r="F335" s="1"/>
      <c r="G335" s="1"/>
    </row>
    <row r="336" spans="2:7" x14ac:dyDescent="0.25">
      <c r="B336" s="1"/>
      <c r="C336" s="1"/>
      <c r="D336" s="1"/>
      <c r="E336" s="1"/>
      <c r="F336" s="1"/>
      <c r="G336" s="1"/>
    </row>
    <row r="337" spans="2:7" x14ac:dyDescent="0.25">
      <c r="B337" s="1"/>
      <c r="C337" s="1"/>
      <c r="D337" s="1"/>
      <c r="E337" s="1"/>
      <c r="F337" s="1"/>
      <c r="G337" s="1"/>
    </row>
    <row r="338" spans="2:7" x14ac:dyDescent="0.25">
      <c r="B338" s="1"/>
      <c r="C338" s="1"/>
      <c r="D338" s="1"/>
      <c r="E338" s="1"/>
      <c r="F338" s="1"/>
      <c r="G338" s="1"/>
    </row>
    <row r="339" spans="2:7" x14ac:dyDescent="0.25">
      <c r="B339" s="1"/>
      <c r="C339" s="1"/>
      <c r="D339" s="1"/>
      <c r="E339" s="1"/>
      <c r="F339" s="1"/>
      <c r="G339" s="1"/>
    </row>
    <row r="340" spans="2:7" x14ac:dyDescent="0.25">
      <c r="B340" s="1"/>
      <c r="C340" s="1"/>
      <c r="D340" s="1"/>
      <c r="E340" s="1"/>
      <c r="F340" s="1"/>
      <c r="G340" s="1"/>
    </row>
    <row r="341" spans="2:7" x14ac:dyDescent="0.25">
      <c r="B341" s="1"/>
      <c r="C341" s="1"/>
      <c r="D341" s="1"/>
      <c r="E341" s="1"/>
      <c r="F341" s="1"/>
      <c r="G341" s="1"/>
    </row>
    <row r="342" spans="2:7" x14ac:dyDescent="0.25">
      <c r="B342" s="1"/>
      <c r="C342" s="1"/>
      <c r="D342" s="1"/>
      <c r="E342" s="1"/>
      <c r="F342" s="1"/>
      <c r="G342" s="1"/>
    </row>
    <row r="343" spans="2:7" x14ac:dyDescent="0.25">
      <c r="B343" s="1"/>
      <c r="C343" s="1"/>
      <c r="D343" s="1"/>
      <c r="E343" s="1"/>
      <c r="F343" s="1"/>
      <c r="G343" s="1"/>
    </row>
    <row r="344" spans="2:7" x14ac:dyDescent="0.25">
      <c r="B344" s="1"/>
      <c r="C344" s="1"/>
      <c r="D344" s="1"/>
      <c r="E344" s="1"/>
      <c r="F344" s="1"/>
      <c r="G344" s="1"/>
    </row>
    <row r="345" spans="2:7" x14ac:dyDescent="0.25">
      <c r="B345" s="1"/>
      <c r="C345" s="1"/>
      <c r="D345" s="1"/>
      <c r="E345" s="1"/>
      <c r="F345" s="1"/>
      <c r="G345" s="1"/>
    </row>
    <row r="346" spans="2:7" x14ac:dyDescent="0.25">
      <c r="B346" s="1"/>
      <c r="C346" s="1"/>
      <c r="D346" s="1"/>
      <c r="E346" s="1"/>
      <c r="F346" s="1"/>
      <c r="G346" s="1"/>
    </row>
    <row r="347" spans="2:7" x14ac:dyDescent="0.25">
      <c r="B347" s="1"/>
      <c r="C347" s="1"/>
      <c r="D347" s="1"/>
      <c r="E347" s="1"/>
      <c r="F347" s="1"/>
      <c r="G347" s="1"/>
    </row>
    <row r="348" spans="2:7" x14ac:dyDescent="0.25">
      <c r="B348" s="1"/>
      <c r="C348" s="1"/>
      <c r="D348" s="1"/>
      <c r="E348" s="1"/>
      <c r="F348" s="1"/>
      <c r="G348" s="1"/>
    </row>
    <row r="349" spans="2:7" x14ac:dyDescent="0.25">
      <c r="B349" s="1"/>
      <c r="C349" s="1"/>
      <c r="D349" s="1"/>
      <c r="E349" s="1"/>
      <c r="F349" s="1"/>
      <c r="G349" s="1"/>
    </row>
    <row r="350" spans="2:7" x14ac:dyDescent="0.25">
      <c r="B350" s="1"/>
      <c r="C350" s="1"/>
      <c r="D350" s="1"/>
      <c r="E350" s="1"/>
      <c r="F350" s="1"/>
      <c r="G350" s="1"/>
    </row>
    <row r="351" spans="2:7" x14ac:dyDescent="0.25">
      <c r="B351" s="1"/>
      <c r="C351" s="1"/>
      <c r="D351" s="1"/>
      <c r="E351" s="1"/>
      <c r="F351" s="1"/>
      <c r="G351" s="1"/>
    </row>
    <row r="352" spans="2:7" x14ac:dyDescent="0.25">
      <c r="B352" s="1"/>
      <c r="C352" s="1"/>
      <c r="D352" s="1"/>
      <c r="E352" s="1"/>
      <c r="F352" s="1"/>
      <c r="G352" s="1"/>
    </row>
    <row r="353" spans="2:7" x14ac:dyDescent="0.25">
      <c r="B353" s="1"/>
      <c r="C353" s="1"/>
      <c r="D353" s="1"/>
      <c r="E353" s="1"/>
      <c r="F353" s="1"/>
      <c r="G353" s="1"/>
    </row>
    <row r="354" spans="2:7" x14ac:dyDescent="0.25">
      <c r="B354" s="1"/>
      <c r="C354" s="1"/>
      <c r="D354" s="1"/>
      <c r="E354" s="1"/>
      <c r="F354" s="1"/>
      <c r="G354" s="1"/>
    </row>
    <row r="355" spans="2:7" x14ac:dyDescent="0.25">
      <c r="B355" s="1"/>
      <c r="C355" s="1"/>
      <c r="D355" s="1"/>
      <c r="E355" s="1"/>
      <c r="F355" s="1"/>
      <c r="G355" s="1"/>
    </row>
    <row r="356" spans="2:7" x14ac:dyDescent="0.25">
      <c r="B356" s="1"/>
      <c r="C356" s="1"/>
      <c r="D356" s="1"/>
      <c r="E356" s="1"/>
      <c r="F356" s="1"/>
      <c r="G356" s="1"/>
    </row>
    <row r="357" spans="2:7" x14ac:dyDescent="0.25">
      <c r="B357" s="1"/>
      <c r="C357" s="1"/>
      <c r="D357" s="1"/>
      <c r="E357" s="1"/>
      <c r="F357" s="1"/>
      <c r="G357" s="1"/>
    </row>
    <row r="358" spans="2:7" x14ac:dyDescent="0.25">
      <c r="B358" s="1"/>
      <c r="C358" s="1"/>
      <c r="D358" s="1"/>
      <c r="E358" s="1"/>
      <c r="F358" s="1"/>
      <c r="G358" s="1"/>
    </row>
    <row r="359" spans="2:7" x14ac:dyDescent="0.25">
      <c r="B359" s="1"/>
      <c r="C359" s="1"/>
      <c r="D359" s="1"/>
      <c r="E359" s="1"/>
      <c r="F359" s="1"/>
      <c r="G359" s="1"/>
    </row>
    <row r="360" spans="2:7" x14ac:dyDescent="0.25">
      <c r="B360" s="1"/>
      <c r="C360" s="1"/>
      <c r="D360" s="1"/>
      <c r="E360" s="1"/>
      <c r="F360" s="1"/>
      <c r="G360" s="1"/>
    </row>
    <row r="361" spans="2:7" x14ac:dyDescent="0.25">
      <c r="B361" s="1"/>
      <c r="C361" s="1"/>
      <c r="D361" s="1"/>
      <c r="E361" s="1"/>
      <c r="F361" s="1"/>
      <c r="G361" s="1"/>
    </row>
    <row r="362" spans="2:7" x14ac:dyDescent="0.25">
      <c r="B362" s="1"/>
      <c r="C362" s="1"/>
      <c r="D362" s="1"/>
      <c r="E362" s="1"/>
      <c r="F362" s="1"/>
      <c r="G362" s="1"/>
    </row>
    <row r="363" spans="2:7" x14ac:dyDescent="0.25">
      <c r="B363" s="1"/>
      <c r="C363" s="1"/>
      <c r="D363" s="1"/>
      <c r="E363" s="1"/>
      <c r="F363" s="1"/>
      <c r="G363" s="1"/>
    </row>
    <row r="364" spans="2:7" x14ac:dyDescent="0.25">
      <c r="B364" s="1"/>
      <c r="C364" s="1"/>
      <c r="D364" s="1"/>
      <c r="E364" s="1"/>
      <c r="F364" s="1"/>
      <c r="G364" s="1"/>
    </row>
    <row r="365" spans="2:7" x14ac:dyDescent="0.25">
      <c r="B365" s="1"/>
      <c r="C365" s="1"/>
      <c r="D365" s="1"/>
      <c r="E365" s="1"/>
      <c r="F365" s="1"/>
      <c r="G365" s="1"/>
    </row>
    <row r="366" spans="2:7" x14ac:dyDescent="0.25">
      <c r="B366" s="1"/>
      <c r="C366" s="1"/>
      <c r="D366" s="1"/>
      <c r="E366" s="1"/>
      <c r="F366" s="1"/>
      <c r="G366" s="1"/>
    </row>
    <row r="367" spans="2:7" x14ac:dyDescent="0.25">
      <c r="B367" s="1"/>
      <c r="C367" s="1"/>
      <c r="D367" s="1"/>
      <c r="E367" s="1"/>
      <c r="F367" s="1"/>
      <c r="G367" s="1"/>
    </row>
    <row r="368" spans="2:7" x14ac:dyDescent="0.25">
      <c r="B368" s="1"/>
      <c r="C368" s="1"/>
      <c r="D368" s="1"/>
      <c r="E368" s="1"/>
      <c r="F368" s="1"/>
      <c r="G368" s="1"/>
    </row>
    <row r="369" spans="2:7" x14ac:dyDescent="0.25">
      <c r="B369" s="1"/>
      <c r="C369" s="1"/>
      <c r="D369" s="1"/>
      <c r="E369" s="1"/>
      <c r="F369" s="1"/>
      <c r="G369" s="1"/>
    </row>
    <row r="370" spans="2:7" x14ac:dyDescent="0.25">
      <c r="B370" s="1"/>
      <c r="C370" s="1"/>
      <c r="D370" s="1"/>
      <c r="E370" s="1"/>
      <c r="F370" s="1"/>
      <c r="G370" s="1"/>
    </row>
    <row r="371" spans="2:7" x14ac:dyDescent="0.25">
      <c r="B371" s="1"/>
      <c r="C371" s="1"/>
      <c r="D371" s="1"/>
      <c r="E371" s="1"/>
      <c r="F371" s="1"/>
      <c r="G371" s="1"/>
    </row>
    <row r="372" spans="2:7" x14ac:dyDescent="0.25">
      <c r="B372" s="1"/>
      <c r="C372" s="1"/>
      <c r="D372" s="1"/>
      <c r="E372" s="1"/>
      <c r="F372" s="1"/>
      <c r="G372" s="1"/>
    </row>
    <row r="373" spans="2:7" x14ac:dyDescent="0.25">
      <c r="B373" s="1"/>
      <c r="C373" s="1"/>
      <c r="D373" s="1"/>
      <c r="E373" s="1"/>
      <c r="F373" s="1"/>
      <c r="G373" s="1"/>
    </row>
    <row r="374" spans="2:7" x14ac:dyDescent="0.25">
      <c r="B374" s="1"/>
      <c r="C374" s="1"/>
      <c r="D374" s="1"/>
      <c r="E374" s="1"/>
      <c r="F374" s="1"/>
      <c r="G374" s="1"/>
    </row>
    <row r="375" spans="2:7" x14ac:dyDescent="0.25">
      <c r="B375" s="1"/>
      <c r="C375" s="1"/>
      <c r="D375" s="1"/>
      <c r="E375" s="1"/>
      <c r="F375" s="1"/>
      <c r="G375" s="1"/>
    </row>
    <row r="376" spans="2:7" x14ac:dyDescent="0.25">
      <c r="B376" s="1"/>
      <c r="C376" s="1"/>
      <c r="D376" s="1"/>
      <c r="E376" s="1"/>
      <c r="F376" s="1"/>
      <c r="G376" s="1"/>
    </row>
    <row r="377" spans="2:7" x14ac:dyDescent="0.25">
      <c r="B377" s="1"/>
      <c r="C377" s="1"/>
      <c r="D377" s="1"/>
      <c r="E377" s="1"/>
      <c r="F377" s="1"/>
      <c r="G377" s="1"/>
    </row>
    <row r="378" spans="2:7" x14ac:dyDescent="0.25">
      <c r="B378" s="1"/>
      <c r="C378" s="1"/>
      <c r="D378" s="1"/>
      <c r="E378" s="1"/>
      <c r="F378" s="1"/>
      <c r="G378" s="1"/>
    </row>
    <row r="379" spans="2:7" x14ac:dyDescent="0.25">
      <c r="B379" s="1"/>
      <c r="C379" s="1"/>
      <c r="D379" s="1"/>
      <c r="E379" s="1"/>
      <c r="F379" s="1"/>
      <c r="G379" s="1"/>
    </row>
    <row r="380" spans="2:7" x14ac:dyDescent="0.25">
      <c r="B380" s="1"/>
      <c r="C380" s="1"/>
      <c r="D380" s="1"/>
      <c r="E380" s="1"/>
      <c r="F380" s="1"/>
      <c r="G380" s="1"/>
    </row>
    <row r="381" spans="2:7" x14ac:dyDescent="0.25">
      <c r="B381" s="1"/>
      <c r="C381" s="1"/>
      <c r="D381" s="1"/>
      <c r="E381" s="1"/>
      <c r="F381" s="1"/>
      <c r="G381" s="1"/>
    </row>
    <row r="382" spans="2:7" x14ac:dyDescent="0.25">
      <c r="B382" s="1"/>
      <c r="C382" s="1"/>
      <c r="D382" s="1"/>
      <c r="E382" s="1"/>
      <c r="F382" s="1"/>
      <c r="G382" s="1"/>
    </row>
    <row r="383" spans="2:7" x14ac:dyDescent="0.25">
      <c r="B383" s="1"/>
      <c r="C383" s="1"/>
      <c r="D383" s="1"/>
      <c r="E383" s="1"/>
      <c r="F383" s="1"/>
      <c r="G383" s="1"/>
    </row>
    <row r="384" spans="2:7" x14ac:dyDescent="0.25">
      <c r="B384" s="1"/>
      <c r="C384" s="1"/>
      <c r="D384" s="1"/>
      <c r="E384" s="1"/>
      <c r="F384" s="1"/>
      <c r="G384" s="1"/>
    </row>
    <row r="385" spans="2:7" x14ac:dyDescent="0.25">
      <c r="B385" s="1"/>
      <c r="C385" s="1"/>
      <c r="D385" s="1"/>
      <c r="E385" s="1"/>
      <c r="F385" s="1"/>
      <c r="G385" s="1"/>
    </row>
    <row r="386" spans="2:7" x14ac:dyDescent="0.25">
      <c r="B386" s="1"/>
      <c r="C386" s="1"/>
      <c r="D386" s="1"/>
      <c r="E386" s="1"/>
      <c r="F386" s="1"/>
      <c r="G386" s="1"/>
    </row>
    <row r="387" spans="2:7" x14ac:dyDescent="0.25">
      <c r="B387" s="1"/>
      <c r="C387" s="1"/>
      <c r="D387" s="1"/>
      <c r="E387" s="1"/>
      <c r="F387" s="1"/>
      <c r="G387" s="1"/>
    </row>
    <row r="388" spans="2:7" x14ac:dyDescent="0.25">
      <c r="B388" s="1"/>
      <c r="C388" s="1"/>
      <c r="D388" s="1"/>
      <c r="E388" s="1"/>
      <c r="F388" s="1"/>
      <c r="G388" s="1"/>
    </row>
    <row r="389" spans="2:7" x14ac:dyDescent="0.25">
      <c r="B389" s="1"/>
      <c r="C389" s="1"/>
      <c r="D389" s="1"/>
      <c r="E389" s="1"/>
      <c r="F389" s="1"/>
      <c r="G389" s="1"/>
    </row>
    <row r="390" spans="2:7" x14ac:dyDescent="0.25">
      <c r="B390" s="1"/>
      <c r="C390" s="1"/>
      <c r="D390" s="1"/>
      <c r="E390" s="1"/>
      <c r="F390" s="1"/>
      <c r="G390" s="1"/>
    </row>
    <row r="391" spans="2:7" x14ac:dyDescent="0.25">
      <c r="B391" s="1"/>
      <c r="C391" s="1"/>
      <c r="D391" s="1"/>
      <c r="E391" s="1"/>
      <c r="F391" s="1"/>
      <c r="G391" s="1"/>
    </row>
    <row r="392" spans="2:7" x14ac:dyDescent="0.25">
      <c r="B392" s="1"/>
      <c r="C392" s="1"/>
      <c r="D392" s="1"/>
      <c r="E392" s="1"/>
      <c r="F392" s="1"/>
      <c r="G392" s="1"/>
    </row>
    <row r="393" spans="2:7" x14ac:dyDescent="0.25">
      <c r="B393" s="1"/>
      <c r="C393" s="1"/>
      <c r="D393" s="1"/>
      <c r="E393" s="1"/>
      <c r="F393" s="1"/>
      <c r="G393" s="1"/>
    </row>
    <row r="394" spans="2:7" x14ac:dyDescent="0.25">
      <c r="B394" s="1"/>
      <c r="C394" s="1"/>
      <c r="D394" s="1"/>
      <c r="E394" s="1"/>
      <c r="F394" s="1"/>
      <c r="G394" s="1"/>
    </row>
    <row r="395" spans="2:7" x14ac:dyDescent="0.25">
      <c r="B395" s="1"/>
      <c r="C395" s="1"/>
      <c r="D395" s="1"/>
      <c r="E395" s="1"/>
      <c r="F395" s="1"/>
      <c r="G395" s="1"/>
    </row>
    <row r="396" spans="2:7" x14ac:dyDescent="0.25">
      <c r="B396" s="1"/>
      <c r="C396" s="1"/>
      <c r="D396" s="1"/>
      <c r="E396" s="1"/>
      <c r="F396" s="1"/>
      <c r="G396" s="1"/>
    </row>
    <row r="397" spans="2:7" x14ac:dyDescent="0.25">
      <c r="B397" s="1"/>
      <c r="C397" s="1"/>
      <c r="D397" s="1"/>
      <c r="E397" s="1"/>
      <c r="F397" s="1"/>
      <c r="G397" s="1"/>
    </row>
    <row r="398" spans="2:7" x14ac:dyDescent="0.25">
      <c r="B398" s="1"/>
      <c r="C398" s="1"/>
      <c r="D398" s="1"/>
      <c r="E398" s="1"/>
      <c r="F398" s="1"/>
      <c r="G398" s="1"/>
    </row>
    <row r="399" spans="2:7" x14ac:dyDescent="0.25">
      <c r="B399" s="1"/>
      <c r="C399" s="1"/>
      <c r="D399" s="1"/>
      <c r="E399" s="1"/>
      <c r="F399" s="1"/>
      <c r="G399" s="1"/>
    </row>
    <row r="400" spans="2:7" x14ac:dyDescent="0.25">
      <c r="B400" s="1"/>
      <c r="C400" s="1"/>
      <c r="D400" s="1"/>
      <c r="E400" s="1"/>
      <c r="F400" s="1"/>
      <c r="G400" s="1"/>
    </row>
    <row r="401" spans="2:7" x14ac:dyDescent="0.25">
      <c r="B401" s="1"/>
      <c r="C401" s="1"/>
      <c r="D401" s="1"/>
      <c r="E401" s="1"/>
      <c r="F401" s="1"/>
      <c r="G401" s="1"/>
    </row>
    <row r="402" spans="2:7" x14ac:dyDescent="0.25">
      <c r="B402" s="1"/>
      <c r="C402" s="1"/>
      <c r="D402" s="1"/>
      <c r="E402" s="1"/>
      <c r="F402" s="1"/>
      <c r="G402" s="1"/>
    </row>
    <row r="403" spans="2:7" x14ac:dyDescent="0.25">
      <c r="B403" s="1"/>
      <c r="C403" s="1"/>
      <c r="D403" s="1"/>
      <c r="E403" s="1"/>
      <c r="F403" s="1"/>
      <c r="G403" s="1"/>
    </row>
    <row r="404" spans="2:7" x14ac:dyDescent="0.25">
      <c r="B404" s="1"/>
      <c r="C404" s="1"/>
      <c r="D404" s="1"/>
      <c r="E404" s="1"/>
      <c r="F404" s="1"/>
      <c r="G404" s="1"/>
    </row>
    <row r="405" spans="2:7" x14ac:dyDescent="0.25">
      <c r="B405" s="1"/>
      <c r="C405" s="1"/>
      <c r="D405" s="1"/>
      <c r="E405" s="1"/>
      <c r="F405" s="1"/>
      <c r="G405" s="1"/>
    </row>
    <row r="406" spans="2:7" x14ac:dyDescent="0.25">
      <c r="B406" s="1"/>
      <c r="C406" s="1"/>
      <c r="D406" s="1"/>
      <c r="E406" s="1"/>
      <c r="F406" s="1"/>
      <c r="G406" s="1"/>
    </row>
    <row r="407" spans="2:7" x14ac:dyDescent="0.25">
      <c r="B407" s="1"/>
      <c r="C407" s="1"/>
      <c r="D407" s="1"/>
      <c r="E407" s="1"/>
      <c r="F407" s="1"/>
      <c r="G407" s="1"/>
    </row>
    <row r="408" spans="2:7" x14ac:dyDescent="0.25">
      <c r="B408" s="1"/>
      <c r="C408" s="1"/>
      <c r="D408" s="1"/>
      <c r="E408" s="1"/>
      <c r="F408" s="1"/>
      <c r="G408" s="1"/>
    </row>
    <row r="409" spans="2:7" x14ac:dyDescent="0.25">
      <c r="B409" s="1"/>
      <c r="C409" s="1"/>
      <c r="D409" s="1"/>
      <c r="E409" s="1"/>
      <c r="F409" s="1"/>
      <c r="G409" s="1"/>
    </row>
    <row r="410" spans="2:7" x14ac:dyDescent="0.25">
      <c r="B410" s="1"/>
      <c r="C410" s="1"/>
      <c r="D410" s="1"/>
      <c r="E410" s="1"/>
      <c r="F410" s="1"/>
      <c r="G410" s="1"/>
    </row>
    <row r="411" spans="2:7" x14ac:dyDescent="0.25">
      <c r="B411" s="1"/>
      <c r="C411" s="1"/>
      <c r="D411" s="1"/>
      <c r="E411" s="1"/>
      <c r="F411" s="1"/>
      <c r="G411" s="1"/>
    </row>
    <row r="412" spans="2:7" x14ac:dyDescent="0.25">
      <c r="B412" s="1"/>
      <c r="C412" s="1"/>
      <c r="D412" s="1"/>
      <c r="E412" s="1"/>
      <c r="F412" s="1"/>
      <c r="G412" s="1"/>
    </row>
    <row r="413" spans="2:7" x14ac:dyDescent="0.25">
      <c r="B413" s="1"/>
      <c r="C413" s="1"/>
      <c r="D413" s="1"/>
      <c r="E413" s="1"/>
      <c r="F413" s="1"/>
      <c r="G413" s="1"/>
    </row>
    <row r="414" spans="2:7" x14ac:dyDescent="0.25">
      <c r="B414" s="1"/>
      <c r="C414" s="1"/>
      <c r="D414" s="1"/>
      <c r="E414" s="1"/>
      <c r="F414" s="1"/>
      <c r="G414" s="1"/>
    </row>
    <row r="415" spans="2:7" x14ac:dyDescent="0.25">
      <c r="B415" s="1"/>
      <c r="C415" s="1"/>
      <c r="D415" s="1"/>
      <c r="E415" s="1"/>
      <c r="F415" s="1"/>
      <c r="G415" s="1"/>
    </row>
    <row r="416" spans="2:7" x14ac:dyDescent="0.25">
      <c r="B416" s="1"/>
      <c r="C416" s="1"/>
      <c r="D416" s="1"/>
      <c r="E416" s="1"/>
      <c r="F416" s="1"/>
      <c r="G416" s="1"/>
    </row>
    <row r="417" spans="2:7" x14ac:dyDescent="0.25">
      <c r="B417" s="1"/>
      <c r="C417" s="1"/>
      <c r="D417" s="1"/>
      <c r="E417" s="1"/>
      <c r="F417" s="1"/>
      <c r="G417" s="1"/>
    </row>
    <row r="418" spans="2:7" x14ac:dyDescent="0.25">
      <c r="B418" s="1"/>
      <c r="C418" s="1"/>
      <c r="D418" s="1"/>
      <c r="E418" s="1"/>
      <c r="F418" s="1"/>
      <c r="G418" s="1"/>
    </row>
    <row r="419" spans="2:7" x14ac:dyDescent="0.25">
      <c r="B419" s="1"/>
      <c r="C419" s="1"/>
      <c r="D419" s="1"/>
      <c r="E419" s="1"/>
      <c r="F419" s="1"/>
      <c r="G419" s="1"/>
    </row>
    <row r="420" spans="2:7" x14ac:dyDescent="0.25">
      <c r="B420" s="1"/>
      <c r="C420" s="1"/>
      <c r="D420" s="1"/>
      <c r="E420" s="1"/>
      <c r="F420" s="1"/>
      <c r="G420" s="1"/>
    </row>
    <row r="421" spans="2:7" x14ac:dyDescent="0.25">
      <c r="B421" s="1"/>
      <c r="C421" s="1"/>
      <c r="D421" s="1"/>
      <c r="E421" s="1"/>
      <c r="F421" s="1"/>
      <c r="G421" s="1"/>
    </row>
    <row r="422" spans="2:7" x14ac:dyDescent="0.25">
      <c r="B422" s="1"/>
      <c r="C422" s="1"/>
      <c r="D422" s="1"/>
      <c r="E422" s="1"/>
      <c r="F422" s="1"/>
      <c r="G422" s="1"/>
    </row>
    <row r="423" spans="2:7" x14ac:dyDescent="0.25">
      <c r="B423" s="1"/>
      <c r="C423" s="1"/>
      <c r="D423" s="1"/>
      <c r="E423" s="1"/>
      <c r="F423" s="1"/>
      <c r="G423" s="1"/>
    </row>
    <row r="424" spans="2:7" x14ac:dyDescent="0.25">
      <c r="B424" s="1"/>
      <c r="C424" s="1"/>
      <c r="D424" s="1"/>
      <c r="E424" s="1"/>
      <c r="F424" s="1"/>
      <c r="G424" s="1"/>
    </row>
    <row r="425" spans="2:7" x14ac:dyDescent="0.25">
      <c r="B425" s="1"/>
      <c r="C425" s="1"/>
      <c r="D425" s="1"/>
      <c r="E425" s="1"/>
      <c r="F425" s="1"/>
      <c r="G425" s="1"/>
    </row>
    <row r="426" spans="2:7" x14ac:dyDescent="0.25">
      <c r="B426" s="1"/>
      <c r="C426" s="1"/>
      <c r="D426" s="1"/>
      <c r="E426" s="1"/>
      <c r="F426" s="1"/>
      <c r="G426" s="1"/>
    </row>
    <row r="427" spans="2:7" x14ac:dyDescent="0.25">
      <c r="B427" s="1"/>
      <c r="C427" s="1"/>
      <c r="D427" s="1"/>
      <c r="E427" s="1"/>
      <c r="F427" s="1"/>
      <c r="G427" s="1"/>
    </row>
    <row r="428" spans="2:7" x14ac:dyDescent="0.25">
      <c r="B428" s="1"/>
      <c r="C428" s="1"/>
      <c r="D428" s="1"/>
      <c r="E428" s="1"/>
      <c r="F428" s="1"/>
      <c r="G428" s="1"/>
    </row>
    <row r="429" spans="2:7" x14ac:dyDescent="0.25">
      <c r="B429" s="1"/>
      <c r="C429" s="1"/>
      <c r="D429" s="1"/>
      <c r="E429" s="1"/>
      <c r="F429" s="1"/>
      <c r="G429" s="1"/>
    </row>
    <row r="430" spans="2:7" x14ac:dyDescent="0.25">
      <c r="B430" s="1"/>
      <c r="C430" s="1"/>
      <c r="D430" s="1"/>
      <c r="E430" s="1"/>
      <c r="F430" s="1"/>
      <c r="G430" s="1"/>
    </row>
    <row r="431" spans="2:7" x14ac:dyDescent="0.25">
      <c r="B431" s="1"/>
      <c r="C431" s="1"/>
      <c r="D431" s="1"/>
      <c r="E431" s="1"/>
      <c r="F431" s="1"/>
      <c r="G431" s="1"/>
    </row>
    <row r="432" spans="2:7" x14ac:dyDescent="0.25">
      <c r="B432" s="1"/>
      <c r="C432" s="1"/>
      <c r="D432" s="1"/>
      <c r="E432" s="1"/>
      <c r="F432" s="1"/>
      <c r="G432" s="1"/>
    </row>
    <row r="433" spans="2:7" x14ac:dyDescent="0.25">
      <c r="B433" s="1"/>
      <c r="C433" s="1"/>
      <c r="D433" s="1"/>
      <c r="E433" s="1"/>
      <c r="F433" s="1"/>
      <c r="G433" s="1"/>
    </row>
    <row r="434" spans="2:7" x14ac:dyDescent="0.25">
      <c r="B434" s="1"/>
      <c r="C434" s="1"/>
      <c r="D434" s="1"/>
      <c r="E434" s="1"/>
      <c r="F434" s="1"/>
      <c r="G434" s="1"/>
    </row>
    <row r="435" spans="2:7" x14ac:dyDescent="0.25">
      <c r="B435" s="1"/>
      <c r="C435" s="1"/>
      <c r="D435" s="1"/>
      <c r="E435" s="1"/>
      <c r="F435" s="1"/>
      <c r="G435" s="1"/>
    </row>
    <row r="436" spans="2:7" x14ac:dyDescent="0.25">
      <c r="B436" s="1"/>
      <c r="C436" s="1"/>
      <c r="D436" s="1"/>
      <c r="E436" s="1"/>
      <c r="F436" s="1"/>
      <c r="G436" s="1"/>
    </row>
    <row r="437" spans="2:7" x14ac:dyDescent="0.25">
      <c r="B437" s="1"/>
      <c r="C437" s="1"/>
      <c r="D437" s="1"/>
      <c r="E437" s="1"/>
      <c r="F437" s="1"/>
      <c r="G437" s="1"/>
    </row>
    <row r="438" spans="2:7" x14ac:dyDescent="0.25">
      <c r="B438" s="1"/>
      <c r="C438" s="1"/>
      <c r="D438" s="1"/>
      <c r="E438" s="1"/>
      <c r="F438" s="1"/>
      <c r="G438" s="1"/>
    </row>
    <row r="439" spans="2:7" x14ac:dyDescent="0.25">
      <c r="B439" s="1"/>
      <c r="C439" s="1"/>
      <c r="D439" s="1"/>
      <c r="E439" s="1"/>
      <c r="F439" s="1"/>
      <c r="G439" s="1"/>
    </row>
    <row r="440" spans="2:7" x14ac:dyDescent="0.25">
      <c r="B440" s="1"/>
      <c r="C440" s="1"/>
      <c r="D440" s="1"/>
      <c r="E440" s="1"/>
      <c r="F440" s="1"/>
      <c r="G440" s="1"/>
    </row>
    <row r="441" spans="2:7" x14ac:dyDescent="0.25">
      <c r="B441" s="1"/>
      <c r="C441" s="1"/>
      <c r="D441" s="1"/>
      <c r="E441" s="1"/>
      <c r="F441" s="1"/>
      <c r="G441" s="1"/>
    </row>
    <row r="442" spans="2:7" x14ac:dyDescent="0.25">
      <c r="B442" s="1"/>
      <c r="C442" s="1"/>
      <c r="D442" s="1"/>
      <c r="E442" s="1"/>
      <c r="F442" s="1"/>
      <c r="G442" s="1"/>
    </row>
    <row r="443" spans="2:7" x14ac:dyDescent="0.25">
      <c r="B443" s="1"/>
      <c r="C443" s="1"/>
      <c r="D443" s="1"/>
      <c r="E443" s="1"/>
      <c r="F443" s="1"/>
      <c r="G443" s="1"/>
    </row>
    <row r="444" spans="2:7" x14ac:dyDescent="0.25">
      <c r="B444" s="1"/>
      <c r="C444" s="1"/>
      <c r="D444" s="1"/>
      <c r="E444" s="1"/>
      <c r="F444" s="1"/>
      <c r="G444" s="1"/>
    </row>
    <row r="445" spans="2:7" x14ac:dyDescent="0.25">
      <c r="B445" s="1"/>
      <c r="C445" s="1"/>
      <c r="D445" s="1"/>
      <c r="E445" s="1"/>
      <c r="F445" s="1"/>
      <c r="G445" s="1"/>
    </row>
    <row r="446" spans="2:7" x14ac:dyDescent="0.25">
      <c r="B446" s="1"/>
      <c r="C446" s="1"/>
      <c r="D446" s="1"/>
      <c r="E446" s="1"/>
      <c r="F446" s="1"/>
      <c r="G446" s="1"/>
    </row>
    <row r="447" spans="2:7" x14ac:dyDescent="0.25">
      <c r="B447" s="1"/>
      <c r="C447" s="1"/>
      <c r="D447" s="1"/>
      <c r="E447" s="1"/>
      <c r="F447" s="1"/>
      <c r="G447" s="1"/>
    </row>
    <row r="448" spans="2:7" x14ac:dyDescent="0.25">
      <c r="B448" s="1"/>
      <c r="C448" s="1"/>
      <c r="D448" s="1"/>
      <c r="E448" s="1"/>
      <c r="F448" s="1"/>
      <c r="G448" s="1"/>
    </row>
    <row r="449" spans="2:7" x14ac:dyDescent="0.25">
      <c r="B449" s="1"/>
      <c r="C449" s="1"/>
      <c r="D449" s="1"/>
      <c r="E449" s="1"/>
      <c r="F449" s="1"/>
      <c r="G449" s="1"/>
    </row>
    <row r="450" spans="2:7" x14ac:dyDescent="0.25">
      <c r="B450" s="1"/>
      <c r="C450" s="1"/>
      <c r="D450" s="1"/>
      <c r="E450" s="1"/>
      <c r="F450" s="1"/>
      <c r="G450" s="1"/>
    </row>
    <row r="451" spans="2:7" x14ac:dyDescent="0.25">
      <c r="B451" s="1"/>
      <c r="C451" s="1"/>
      <c r="D451" s="1"/>
      <c r="E451" s="1"/>
      <c r="F451" s="1"/>
      <c r="G451" s="1"/>
    </row>
    <row r="452" spans="2:7" x14ac:dyDescent="0.25">
      <c r="B452" s="1"/>
      <c r="C452" s="1"/>
      <c r="D452" s="1"/>
      <c r="E452" s="1"/>
      <c r="F452" s="1"/>
      <c r="G452" s="1"/>
    </row>
    <row r="453" spans="2:7" x14ac:dyDescent="0.25">
      <c r="B453" s="1"/>
      <c r="C453" s="1"/>
      <c r="D453" s="1"/>
      <c r="E453" s="1"/>
      <c r="F453" s="1"/>
      <c r="G453" s="1"/>
    </row>
    <row r="454" spans="2:7" x14ac:dyDescent="0.25">
      <c r="B454" s="1"/>
      <c r="C454" s="1"/>
      <c r="D454" s="1"/>
      <c r="E454" s="1"/>
      <c r="F454" s="1"/>
      <c r="G454" s="1"/>
    </row>
    <row r="455" spans="2:7" x14ac:dyDescent="0.25">
      <c r="B455" s="1"/>
      <c r="C455" s="1"/>
      <c r="D455" s="1"/>
      <c r="E455" s="1"/>
      <c r="F455" s="1"/>
      <c r="G455" s="1"/>
    </row>
    <row r="456" spans="2:7" x14ac:dyDescent="0.25">
      <c r="B456" s="1"/>
      <c r="C456" s="1"/>
      <c r="D456" s="1"/>
      <c r="E456" s="1"/>
      <c r="F456" s="1"/>
      <c r="G456" s="1"/>
    </row>
    <row r="457" spans="2:7" x14ac:dyDescent="0.25">
      <c r="B457" s="1"/>
      <c r="C457" s="1"/>
      <c r="D457" s="1"/>
      <c r="E457" s="1"/>
      <c r="F457" s="1"/>
      <c r="G457" s="1"/>
    </row>
    <row r="458" spans="2:7" x14ac:dyDescent="0.25">
      <c r="B458" s="1"/>
      <c r="C458" s="1"/>
      <c r="D458" s="1"/>
      <c r="E458" s="1"/>
      <c r="F458" s="1"/>
      <c r="G458" s="1"/>
    </row>
    <row r="459" spans="2:7" x14ac:dyDescent="0.25">
      <c r="B459" s="1"/>
      <c r="C459" s="1"/>
      <c r="D459" s="1"/>
      <c r="E459" s="1"/>
      <c r="F459" s="1"/>
      <c r="G459" s="1"/>
    </row>
    <row r="460" spans="2:7" x14ac:dyDescent="0.25">
      <c r="B460" s="1"/>
      <c r="C460" s="1"/>
      <c r="D460" s="1"/>
      <c r="E460" s="1"/>
      <c r="F460" s="1"/>
      <c r="G460" s="1"/>
    </row>
    <row r="461" spans="2:7" x14ac:dyDescent="0.25">
      <c r="B461" s="1"/>
      <c r="C461" s="1"/>
      <c r="D461" s="1"/>
      <c r="E461" s="1"/>
      <c r="F461" s="1"/>
      <c r="G461" s="1"/>
    </row>
    <row r="462" spans="2:7" x14ac:dyDescent="0.25">
      <c r="B462" s="1"/>
      <c r="C462" s="1"/>
      <c r="D462" s="1"/>
      <c r="E462" s="1"/>
      <c r="F462" s="1"/>
      <c r="G462" s="1"/>
    </row>
    <row r="463" spans="2:7" x14ac:dyDescent="0.25">
      <c r="B463" s="1"/>
      <c r="C463" s="1"/>
      <c r="D463" s="1"/>
      <c r="E463" s="1"/>
      <c r="F463" s="1"/>
      <c r="G463" s="1"/>
    </row>
    <row r="464" spans="2:7" x14ac:dyDescent="0.25">
      <c r="B464" s="1"/>
      <c r="C464" s="1"/>
      <c r="D464" s="1"/>
      <c r="E464" s="1"/>
      <c r="F464" s="1"/>
      <c r="G464" s="1"/>
    </row>
    <row r="465" spans="2:7" x14ac:dyDescent="0.25">
      <c r="B465" s="1"/>
      <c r="C465" s="1"/>
      <c r="D465" s="1"/>
      <c r="E465" s="1"/>
      <c r="F465" s="1"/>
      <c r="G465" s="1"/>
    </row>
    <row r="466" spans="2:7" x14ac:dyDescent="0.25">
      <c r="B466" s="1"/>
      <c r="C466" s="1"/>
      <c r="D466" s="1"/>
      <c r="E466" s="1"/>
      <c r="F466" s="1"/>
      <c r="G466" s="1"/>
    </row>
    <row r="467" spans="2:7" x14ac:dyDescent="0.25">
      <c r="B467" s="1"/>
      <c r="C467" s="1"/>
      <c r="D467" s="1"/>
      <c r="E467" s="1"/>
      <c r="F467" s="1"/>
      <c r="G467" s="1"/>
    </row>
    <row r="468" spans="2:7" x14ac:dyDescent="0.25">
      <c r="B468" s="1"/>
      <c r="C468" s="1"/>
      <c r="D468" s="1"/>
      <c r="E468" s="1"/>
      <c r="F468" s="1"/>
      <c r="G468" s="1"/>
    </row>
    <row r="469" spans="2:7" x14ac:dyDescent="0.25">
      <c r="B469" s="1"/>
      <c r="C469" s="1"/>
      <c r="D469" s="1"/>
      <c r="E469" s="1"/>
      <c r="F469" s="1"/>
      <c r="G469" s="1"/>
    </row>
    <row r="470" spans="2:7" x14ac:dyDescent="0.25">
      <c r="B470" s="1"/>
      <c r="C470" s="1"/>
      <c r="D470" s="1"/>
      <c r="E470" s="1"/>
      <c r="F470" s="1"/>
      <c r="G470" s="1"/>
    </row>
    <row r="471" spans="2:7" x14ac:dyDescent="0.25">
      <c r="B471" s="1"/>
      <c r="C471" s="1"/>
      <c r="D471" s="1"/>
      <c r="E471" s="1"/>
      <c r="F471" s="1"/>
      <c r="G471" s="1"/>
    </row>
    <row r="472" spans="2:7" x14ac:dyDescent="0.25">
      <c r="B472" s="1"/>
      <c r="C472" s="1"/>
      <c r="D472" s="1"/>
      <c r="E472" s="1"/>
      <c r="F472" s="1"/>
      <c r="G472" s="1"/>
    </row>
    <row r="473" spans="2:7" x14ac:dyDescent="0.25">
      <c r="B473" s="1"/>
      <c r="C473" s="1"/>
      <c r="D473" s="1"/>
      <c r="E473" s="1"/>
      <c r="F473" s="1"/>
      <c r="G473" s="1"/>
    </row>
    <row r="474" spans="2:7" x14ac:dyDescent="0.25">
      <c r="B474" s="1"/>
      <c r="C474" s="1"/>
      <c r="D474" s="1"/>
      <c r="E474" s="1"/>
      <c r="F474" s="1"/>
      <c r="G474" s="1"/>
    </row>
    <row r="475" spans="2:7" x14ac:dyDescent="0.25">
      <c r="B475" s="1"/>
      <c r="C475" s="1"/>
      <c r="D475" s="1"/>
      <c r="E475" s="1"/>
      <c r="F475" s="1"/>
      <c r="G475" s="1"/>
    </row>
    <row r="476" spans="2:7" x14ac:dyDescent="0.25">
      <c r="B476" s="1"/>
      <c r="C476" s="1"/>
      <c r="D476" s="1"/>
      <c r="E476" s="1"/>
      <c r="F476" s="1"/>
      <c r="G476" s="1"/>
    </row>
    <row r="477" spans="2:7" x14ac:dyDescent="0.25">
      <c r="B477" s="1"/>
      <c r="C477" s="1"/>
      <c r="D477" s="1"/>
      <c r="E477" s="1"/>
      <c r="F477" s="1"/>
      <c r="G477" s="1"/>
    </row>
    <row r="478" spans="2:7" x14ac:dyDescent="0.25">
      <c r="B478" s="1"/>
      <c r="C478" s="1"/>
      <c r="D478" s="1"/>
      <c r="E478" s="1"/>
      <c r="F478" s="1"/>
      <c r="G478" s="1"/>
    </row>
    <row r="479" spans="2:7" x14ac:dyDescent="0.25">
      <c r="B479" s="1"/>
      <c r="C479" s="1"/>
      <c r="D479" s="1"/>
      <c r="E479" s="1"/>
      <c r="F479" s="1"/>
      <c r="G479" s="1"/>
    </row>
    <row r="480" spans="2:7" x14ac:dyDescent="0.25">
      <c r="B480" s="1"/>
      <c r="C480" s="1"/>
      <c r="D480" s="1"/>
      <c r="E480" s="1"/>
      <c r="F480" s="1"/>
      <c r="G480" s="1"/>
    </row>
    <row r="481" spans="2:7" x14ac:dyDescent="0.25">
      <c r="B481" s="1"/>
      <c r="C481" s="1"/>
      <c r="D481" s="1"/>
      <c r="E481" s="1"/>
      <c r="F481" s="1"/>
      <c r="G481" s="1"/>
    </row>
    <row r="482" spans="2:7" x14ac:dyDescent="0.25">
      <c r="B482" s="1"/>
      <c r="C482" s="1"/>
      <c r="D482" s="1"/>
      <c r="E482" s="1"/>
      <c r="F482" s="1"/>
      <c r="G482" s="1"/>
    </row>
    <row r="483" spans="2:7" x14ac:dyDescent="0.25">
      <c r="B483" s="1"/>
      <c r="C483" s="1"/>
      <c r="D483" s="1"/>
      <c r="E483" s="1"/>
      <c r="F483" s="1"/>
      <c r="G483" s="1"/>
    </row>
    <row r="484" spans="2:7" x14ac:dyDescent="0.25">
      <c r="B484" s="1"/>
      <c r="C484" s="1"/>
      <c r="D484" s="1"/>
      <c r="E484" s="1"/>
      <c r="F484" s="1"/>
      <c r="G484" s="1"/>
    </row>
    <row r="485" spans="2:7" x14ac:dyDescent="0.25">
      <c r="B485" s="1"/>
      <c r="C485" s="1"/>
      <c r="D485" s="1"/>
      <c r="E485" s="1"/>
      <c r="F485" s="1"/>
      <c r="G485" s="1"/>
    </row>
    <row r="486" spans="2:7" x14ac:dyDescent="0.25">
      <c r="B486" s="1"/>
      <c r="C486" s="1"/>
      <c r="D486" s="1"/>
      <c r="E486" s="1"/>
      <c r="F486" s="1"/>
      <c r="G486" s="1"/>
    </row>
    <row r="487" spans="2:7" x14ac:dyDescent="0.25">
      <c r="B487" s="1"/>
      <c r="C487" s="1"/>
      <c r="D487" s="1"/>
      <c r="E487" s="1"/>
      <c r="F487" s="1"/>
      <c r="G487" s="1"/>
    </row>
    <row r="488" spans="2:7" x14ac:dyDescent="0.25">
      <c r="B488" s="1"/>
      <c r="C488" s="1"/>
      <c r="D488" s="1"/>
      <c r="E488" s="1"/>
      <c r="F488" s="1"/>
      <c r="G488" s="1"/>
    </row>
    <row r="489" spans="2:7" x14ac:dyDescent="0.25">
      <c r="B489" s="1"/>
      <c r="C489" s="1"/>
      <c r="D489" s="1"/>
      <c r="E489" s="1"/>
      <c r="F489" s="1"/>
      <c r="G489" s="1"/>
    </row>
    <row r="490" spans="2:7" x14ac:dyDescent="0.25">
      <c r="B490" s="1"/>
      <c r="C490" s="1"/>
      <c r="D490" s="1"/>
      <c r="E490" s="1"/>
      <c r="F490" s="1"/>
      <c r="G490" s="1"/>
    </row>
    <row r="491" spans="2:7" x14ac:dyDescent="0.25">
      <c r="B491" s="1"/>
      <c r="C491" s="1"/>
      <c r="D491" s="1"/>
      <c r="E491" s="1"/>
      <c r="F491" s="1"/>
      <c r="G491" s="1"/>
    </row>
    <row r="492" spans="2:7" x14ac:dyDescent="0.25">
      <c r="B492" s="1"/>
      <c r="C492" s="1"/>
      <c r="D492" s="1"/>
      <c r="E492" s="1"/>
      <c r="F492" s="1"/>
      <c r="G492" s="1"/>
    </row>
    <row r="493" spans="2:7" x14ac:dyDescent="0.25">
      <c r="B493" s="1"/>
      <c r="C493" s="1"/>
      <c r="D493" s="1"/>
      <c r="E493" s="1"/>
      <c r="F493" s="1"/>
      <c r="G493" s="1"/>
    </row>
    <row r="494" spans="2:7" x14ac:dyDescent="0.25">
      <c r="B494" s="1"/>
      <c r="C494" s="1"/>
      <c r="D494" s="1"/>
      <c r="E494" s="1"/>
      <c r="F494" s="1"/>
      <c r="G494" s="1"/>
    </row>
    <row r="495" spans="2:7" x14ac:dyDescent="0.25">
      <c r="B495" s="1"/>
      <c r="C495" s="1"/>
      <c r="D495" s="1"/>
      <c r="E495" s="1"/>
      <c r="F495" s="1"/>
      <c r="G495" s="1"/>
    </row>
    <row r="496" spans="2:7" x14ac:dyDescent="0.25">
      <c r="B496" s="1"/>
      <c r="C496" s="1"/>
      <c r="D496" s="1"/>
      <c r="E496" s="1"/>
      <c r="F496" s="1"/>
      <c r="G496" s="1"/>
    </row>
    <row r="497" spans="2:7" x14ac:dyDescent="0.25">
      <c r="B497" s="1"/>
      <c r="C497" s="1"/>
      <c r="D497" s="1"/>
      <c r="E497" s="1"/>
      <c r="F497" s="1"/>
      <c r="G497" s="1"/>
    </row>
    <row r="498" spans="2:7" x14ac:dyDescent="0.25">
      <c r="B498" s="1"/>
      <c r="C498" s="1"/>
      <c r="D498" s="1"/>
      <c r="E498" s="1"/>
      <c r="F498" s="1"/>
      <c r="G498" s="1"/>
    </row>
    <row r="499" spans="2:7" x14ac:dyDescent="0.25">
      <c r="B499" s="1"/>
      <c r="C499" s="1"/>
      <c r="D499" s="1"/>
      <c r="E499" s="1"/>
      <c r="F499" s="1"/>
      <c r="G499" s="1"/>
    </row>
    <row r="500" spans="2:7" x14ac:dyDescent="0.25">
      <c r="B500" s="1"/>
      <c r="C500" s="1"/>
      <c r="D500" s="1"/>
      <c r="E500" s="1"/>
      <c r="F500" s="1"/>
      <c r="G500" s="1"/>
    </row>
    <row r="501" spans="2:7" x14ac:dyDescent="0.25">
      <c r="B501" s="1"/>
      <c r="C501" s="1"/>
      <c r="D501" s="1"/>
      <c r="E501" s="1"/>
      <c r="F501" s="1"/>
      <c r="G501" s="1"/>
    </row>
    <row r="502" spans="2:7" x14ac:dyDescent="0.25">
      <c r="B502" s="1"/>
      <c r="C502" s="1"/>
      <c r="D502" s="1"/>
      <c r="E502" s="1"/>
      <c r="F502" s="1"/>
      <c r="G502" s="1"/>
    </row>
    <row r="503" spans="2:7" x14ac:dyDescent="0.25">
      <c r="B503" s="1"/>
      <c r="C503" s="1"/>
      <c r="D503" s="1"/>
      <c r="E503" s="1"/>
      <c r="F503" s="1"/>
      <c r="G503" s="1"/>
    </row>
    <row r="504" spans="2:7" x14ac:dyDescent="0.25">
      <c r="B504" s="1"/>
      <c r="C504" s="1"/>
      <c r="D504" s="1"/>
      <c r="E504" s="1"/>
      <c r="F504" s="1"/>
      <c r="G504" s="1"/>
    </row>
    <row r="505" spans="2:7" x14ac:dyDescent="0.25">
      <c r="B505" s="1"/>
      <c r="C505" s="1"/>
      <c r="D505" s="1"/>
      <c r="E505" s="1"/>
      <c r="F505" s="1"/>
      <c r="G505" s="1"/>
    </row>
    <row r="506" spans="2:7" x14ac:dyDescent="0.25">
      <c r="B506" s="1"/>
      <c r="C506" s="1"/>
      <c r="D506" s="1"/>
      <c r="E506" s="1"/>
      <c r="F506" s="1"/>
      <c r="G506" s="1"/>
    </row>
    <row r="507" spans="2:7" x14ac:dyDescent="0.25">
      <c r="B507" s="1"/>
      <c r="C507" s="1"/>
      <c r="D507" s="1"/>
      <c r="E507" s="1"/>
      <c r="F507" s="1"/>
      <c r="G507" s="1"/>
    </row>
    <row r="508" spans="2:7" x14ac:dyDescent="0.25">
      <c r="B508" s="1"/>
      <c r="C508" s="1"/>
      <c r="D508" s="1"/>
      <c r="E508" s="1"/>
      <c r="F508" s="1"/>
      <c r="G508" s="1"/>
    </row>
    <row r="509" spans="2:7" x14ac:dyDescent="0.25">
      <c r="B509" s="1"/>
      <c r="C509" s="1"/>
      <c r="D509" s="1"/>
      <c r="E509" s="1"/>
      <c r="F509" s="1"/>
      <c r="G509" s="1"/>
    </row>
    <row r="510" spans="2:7" x14ac:dyDescent="0.25">
      <c r="B510" s="1"/>
      <c r="C510" s="1"/>
      <c r="D510" s="1"/>
      <c r="E510" s="1"/>
      <c r="F510" s="1"/>
      <c r="G510" s="1"/>
    </row>
    <row r="511" spans="2:7" x14ac:dyDescent="0.25">
      <c r="B511" s="1"/>
      <c r="C511" s="1"/>
      <c r="D511" s="1"/>
      <c r="E511" s="1"/>
      <c r="F511" s="1"/>
      <c r="G511" s="1"/>
    </row>
    <row r="512" spans="2:7" x14ac:dyDescent="0.25">
      <c r="B512" s="1"/>
      <c r="C512" s="1"/>
      <c r="D512" s="1"/>
      <c r="E512" s="1"/>
      <c r="F512" s="1"/>
      <c r="G512" s="1"/>
    </row>
    <row r="513" spans="2:7" x14ac:dyDescent="0.25">
      <c r="B513" s="1"/>
      <c r="C513" s="1"/>
      <c r="D513" s="1"/>
      <c r="E513" s="1"/>
      <c r="F513" s="1"/>
      <c r="G513" s="1"/>
    </row>
    <row r="514" spans="2:7" x14ac:dyDescent="0.25">
      <c r="B514" s="1"/>
      <c r="C514" s="1"/>
      <c r="D514" s="1"/>
      <c r="E514" s="1"/>
      <c r="F514" s="1"/>
      <c r="G514" s="1"/>
    </row>
    <row r="515" spans="2:7" x14ac:dyDescent="0.25">
      <c r="B515" s="1"/>
      <c r="C515" s="1"/>
      <c r="D515" s="1"/>
      <c r="E515" s="1"/>
      <c r="F515" s="1"/>
      <c r="G515" s="1"/>
    </row>
    <row r="516" spans="2:7" x14ac:dyDescent="0.25">
      <c r="B516" s="1"/>
      <c r="C516" s="1"/>
      <c r="D516" s="1"/>
      <c r="E516" s="1"/>
      <c r="F516" s="1"/>
      <c r="G516" s="1"/>
    </row>
    <row r="517" spans="2:7" x14ac:dyDescent="0.25">
      <c r="B517" s="1"/>
      <c r="C517" s="1"/>
      <c r="D517" s="1"/>
      <c r="E517" s="1"/>
      <c r="F517" s="1"/>
      <c r="G517" s="1"/>
    </row>
    <row r="518" spans="2:7" x14ac:dyDescent="0.25">
      <c r="B518" s="1"/>
      <c r="C518" s="1"/>
      <c r="D518" s="1"/>
      <c r="E518" s="1"/>
      <c r="F518" s="1"/>
      <c r="G518" s="1"/>
    </row>
    <row r="519" spans="2:7" x14ac:dyDescent="0.25">
      <c r="B519" s="1"/>
      <c r="C519" s="1"/>
      <c r="D519" s="1"/>
      <c r="E519" s="1"/>
      <c r="F519" s="1"/>
      <c r="G519" s="1"/>
    </row>
    <row r="520" spans="2:7" x14ac:dyDescent="0.25">
      <c r="B520" s="1"/>
      <c r="C520" s="1"/>
      <c r="D520" s="1"/>
      <c r="E520" s="1"/>
      <c r="F520" s="1"/>
      <c r="G520" s="1"/>
    </row>
    <row r="521" spans="2:7" x14ac:dyDescent="0.25">
      <c r="B521" s="1"/>
      <c r="C521" s="1"/>
      <c r="D521" s="1"/>
      <c r="E521" s="1"/>
      <c r="F521" s="1"/>
      <c r="G521" s="1"/>
    </row>
    <row r="522" spans="2:7" x14ac:dyDescent="0.25">
      <c r="B522" s="1"/>
      <c r="C522" s="1"/>
      <c r="D522" s="1"/>
      <c r="E522" s="1"/>
      <c r="F522" s="1"/>
      <c r="G522" s="1"/>
    </row>
    <row r="523" spans="2:7" x14ac:dyDescent="0.25">
      <c r="B523" s="1"/>
      <c r="C523" s="1"/>
      <c r="D523" s="1"/>
      <c r="E523" s="1"/>
      <c r="F523" s="1"/>
      <c r="G523" s="1"/>
    </row>
    <row r="524" spans="2:7" x14ac:dyDescent="0.25">
      <c r="B524" s="1"/>
      <c r="C524" s="1"/>
      <c r="D524" s="1"/>
      <c r="E524" s="1"/>
      <c r="F524" s="1"/>
      <c r="G524" s="1"/>
    </row>
    <row r="525" spans="2:7" x14ac:dyDescent="0.25">
      <c r="B525" s="1"/>
      <c r="C525" s="1"/>
      <c r="D525" s="1"/>
      <c r="E525" s="1"/>
      <c r="F525" s="1"/>
      <c r="G525" s="1"/>
    </row>
    <row r="526" spans="2:7" x14ac:dyDescent="0.25">
      <c r="B526" s="1"/>
      <c r="C526" s="1"/>
      <c r="D526" s="1"/>
      <c r="E526" s="1"/>
      <c r="F526" s="1"/>
      <c r="G526" s="1"/>
    </row>
    <row r="527" spans="2:7" x14ac:dyDescent="0.25">
      <c r="B527" s="1"/>
      <c r="C527" s="1"/>
      <c r="D527" s="1"/>
      <c r="E527" s="1"/>
      <c r="F527" s="1"/>
      <c r="G527" s="1"/>
    </row>
    <row r="528" spans="2:7" x14ac:dyDescent="0.25">
      <c r="B528" s="1"/>
      <c r="C528" s="1"/>
      <c r="D528" s="1"/>
      <c r="E528" s="1"/>
      <c r="F528" s="1"/>
      <c r="G528" s="1"/>
    </row>
    <row r="529" spans="2:7" x14ac:dyDescent="0.25">
      <c r="B529" s="1"/>
      <c r="C529" s="1"/>
      <c r="D529" s="1"/>
      <c r="E529" s="1"/>
      <c r="F529" s="1"/>
      <c r="G529" s="1"/>
    </row>
    <row r="530" spans="2:7" x14ac:dyDescent="0.25">
      <c r="B530" s="1"/>
      <c r="C530" s="1"/>
      <c r="D530" s="1"/>
      <c r="E530" s="1"/>
      <c r="F530" s="1"/>
      <c r="G530" s="1"/>
    </row>
    <row r="531" spans="2:7" x14ac:dyDescent="0.25">
      <c r="B531" s="1"/>
      <c r="C531" s="1"/>
      <c r="D531" s="1"/>
      <c r="E531" s="1"/>
      <c r="F531" s="1"/>
      <c r="G531" s="1"/>
    </row>
    <row r="532" spans="2:7" x14ac:dyDescent="0.25">
      <c r="B532" s="1"/>
      <c r="C532" s="1"/>
      <c r="D532" s="1"/>
      <c r="E532" s="1"/>
      <c r="F532" s="1"/>
      <c r="G532" s="1"/>
    </row>
    <row r="533" spans="2:7" x14ac:dyDescent="0.25">
      <c r="B533" s="1"/>
      <c r="C533" s="1"/>
      <c r="D533" s="1"/>
      <c r="E533" s="1"/>
      <c r="F533" s="1"/>
      <c r="G533" s="1"/>
    </row>
    <row r="534" spans="2:7" x14ac:dyDescent="0.25">
      <c r="B534" s="1"/>
      <c r="C534" s="1"/>
      <c r="D534" s="1"/>
      <c r="E534" s="1"/>
      <c r="F534" s="1"/>
      <c r="G534" s="1"/>
    </row>
    <row r="535" spans="2:7" x14ac:dyDescent="0.25">
      <c r="B535" s="1"/>
      <c r="C535" s="1"/>
      <c r="D535" s="1"/>
      <c r="E535" s="1"/>
      <c r="F535" s="1"/>
      <c r="G535" s="1"/>
    </row>
    <row r="536" spans="2:7" x14ac:dyDescent="0.25">
      <c r="B536" s="1"/>
      <c r="C536" s="1"/>
      <c r="D536" s="1"/>
      <c r="E536" s="1"/>
      <c r="F536" s="1"/>
      <c r="G536" s="1"/>
    </row>
    <row r="537" spans="2:7" x14ac:dyDescent="0.25">
      <c r="B537" s="1"/>
      <c r="C537" s="1"/>
      <c r="D537" s="1"/>
      <c r="E537" s="1"/>
      <c r="F537" s="1"/>
      <c r="G537" s="1"/>
    </row>
    <row r="538" spans="2:7" x14ac:dyDescent="0.25">
      <c r="B538" s="1"/>
      <c r="C538" s="1"/>
      <c r="D538" s="1"/>
      <c r="E538" s="1"/>
      <c r="F538" s="1"/>
      <c r="G538" s="1"/>
    </row>
    <row r="539" spans="2:7" x14ac:dyDescent="0.25">
      <c r="B539" s="1"/>
      <c r="C539" s="1"/>
      <c r="D539" s="1"/>
      <c r="E539" s="1"/>
      <c r="F539" s="1"/>
      <c r="G539" s="1"/>
    </row>
    <row r="540" spans="2:7" x14ac:dyDescent="0.25">
      <c r="B540" s="1"/>
      <c r="C540" s="1"/>
      <c r="D540" s="1"/>
      <c r="E540" s="1"/>
      <c r="F540" s="1"/>
      <c r="G540" s="1"/>
    </row>
    <row r="541" spans="2:7" x14ac:dyDescent="0.25">
      <c r="B541" s="1"/>
      <c r="C541" s="1"/>
      <c r="D541" s="1"/>
      <c r="E541" s="1"/>
      <c r="F541" s="1"/>
      <c r="G541" s="1"/>
    </row>
    <row r="542" spans="2:7" x14ac:dyDescent="0.25">
      <c r="B542" s="1"/>
      <c r="C542" s="1"/>
      <c r="D542" s="1"/>
      <c r="E542" s="1"/>
      <c r="F542" s="1"/>
      <c r="G542" s="1"/>
    </row>
    <row r="543" spans="2:7" x14ac:dyDescent="0.25">
      <c r="B543" s="1"/>
      <c r="C543" s="1"/>
      <c r="D543" s="1"/>
      <c r="E543" s="1"/>
      <c r="F543" s="1"/>
      <c r="G543" s="1"/>
    </row>
    <row r="544" spans="2:7" x14ac:dyDescent="0.25">
      <c r="B544" s="1"/>
      <c r="C544" s="1"/>
      <c r="D544" s="1"/>
      <c r="E544" s="1"/>
      <c r="F544" s="1"/>
      <c r="G544" s="1"/>
    </row>
    <row r="545" spans="2:7" x14ac:dyDescent="0.25">
      <c r="B545" s="1"/>
      <c r="C545" s="1"/>
      <c r="D545" s="1"/>
      <c r="E545" s="1"/>
      <c r="F545" s="1"/>
      <c r="G545" s="1"/>
    </row>
    <row r="546" spans="2:7" x14ac:dyDescent="0.25">
      <c r="B546" s="1"/>
      <c r="C546" s="1"/>
      <c r="D546" s="1"/>
      <c r="E546" s="1"/>
      <c r="F546" s="1"/>
      <c r="G546" s="1"/>
    </row>
    <row r="547" spans="2:7" x14ac:dyDescent="0.25">
      <c r="B547" s="1"/>
      <c r="C547" s="1"/>
      <c r="D547" s="1"/>
      <c r="E547" s="1"/>
      <c r="F547" s="1"/>
      <c r="G547" s="1"/>
    </row>
    <row r="548" spans="2:7" x14ac:dyDescent="0.25">
      <c r="B548" s="1"/>
      <c r="C548" s="1"/>
      <c r="D548" s="1"/>
      <c r="E548" s="1"/>
      <c r="F548" s="1"/>
      <c r="G548" s="1"/>
    </row>
    <row r="549" spans="2:7" x14ac:dyDescent="0.25">
      <c r="B549" s="1"/>
      <c r="C549" s="1"/>
      <c r="D549" s="1"/>
      <c r="E549" s="1"/>
      <c r="F549" s="1"/>
      <c r="G549" s="1"/>
    </row>
    <row r="550" spans="2:7" x14ac:dyDescent="0.25">
      <c r="B550" s="1"/>
      <c r="C550" s="1"/>
      <c r="D550" s="1"/>
      <c r="E550" s="1"/>
      <c r="F550" s="1"/>
      <c r="G550" s="1"/>
    </row>
    <row r="551" spans="2:7" x14ac:dyDescent="0.25">
      <c r="B551" s="1"/>
      <c r="C551" s="1"/>
      <c r="D551" s="1"/>
      <c r="E551" s="1"/>
      <c r="F551" s="1"/>
      <c r="G551" s="1"/>
    </row>
    <row r="552" spans="2:7" x14ac:dyDescent="0.25">
      <c r="B552" s="1"/>
      <c r="C552" s="1"/>
      <c r="D552" s="1"/>
      <c r="E552" s="1"/>
      <c r="F552" s="1"/>
      <c r="G552" s="1"/>
    </row>
    <row r="553" spans="2:7" x14ac:dyDescent="0.25">
      <c r="B553" s="1"/>
      <c r="C553" s="1"/>
      <c r="D553" s="1"/>
      <c r="E553" s="1"/>
      <c r="F553" s="1"/>
      <c r="G553" s="1"/>
    </row>
    <row r="554" spans="2:7" x14ac:dyDescent="0.25">
      <c r="B554" s="1"/>
      <c r="C554" s="1"/>
      <c r="D554" s="1"/>
      <c r="E554" s="1"/>
      <c r="F554" s="1"/>
      <c r="G554" s="1"/>
    </row>
    <row r="555" spans="2:7" x14ac:dyDescent="0.25">
      <c r="B555" s="1"/>
      <c r="C555" s="1"/>
      <c r="D555" s="1"/>
      <c r="E555" s="1"/>
      <c r="F555" s="1"/>
      <c r="G555" s="1"/>
    </row>
    <row r="556" spans="2:7" x14ac:dyDescent="0.25">
      <c r="B556" s="1"/>
      <c r="C556" s="1"/>
      <c r="D556" s="1"/>
      <c r="E556" s="1"/>
      <c r="F556" s="1"/>
      <c r="G556" s="1"/>
    </row>
    <row r="557" spans="2:7" x14ac:dyDescent="0.25">
      <c r="B557" s="1"/>
      <c r="C557" s="1"/>
      <c r="D557" s="1"/>
      <c r="E557" s="1"/>
      <c r="F557" s="1"/>
      <c r="G557" s="1"/>
    </row>
    <row r="558" spans="2:7" x14ac:dyDescent="0.25">
      <c r="B558" s="1"/>
      <c r="C558" s="1"/>
      <c r="D558" s="1"/>
      <c r="E558" s="1"/>
      <c r="F558" s="1"/>
      <c r="G558" s="1"/>
    </row>
    <row r="559" spans="2:7" x14ac:dyDescent="0.25">
      <c r="B559" s="1"/>
      <c r="C559" s="1"/>
      <c r="D559" s="1"/>
      <c r="E559" s="1"/>
      <c r="F559" s="1"/>
      <c r="G559" s="1"/>
    </row>
    <row r="560" spans="2:7" x14ac:dyDescent="0.25">
      <c r="B560" s="1"/>
      <c r="C560" s="1"/>
      <c r="D560" s="1"/>
      <c r="E560" s="1"/>
      <c r="F560" s="1"/>
      <c r="G560" s="1"/>
    </row>
    <row r="561" spans="2:7" x14ac:dyDescent="0.25">
      <c r="B561" s="1"/>
      <c r="C561" s="1"/>
      <c r="D561" s="1"/>
      <c r="E561" s="1"/>
      <c r="F561" s="1"/>
      <c r="G561" s="1"/>
    </row>
    <row r="562" spans="2:7" x14ac:dyDescent="0.25">
      <c r="B562" s="1"/>
      <c r="C562" s="1"/>
      <c r="D562" s="1"/>
      <c r="E562" s="1"/>
      <c r="F562" s="1"/>
      <c r="G562" s="1"/>
    </row>
    <row r="563" spans="2:7" x14ac:dyDescent="0.25">
      <c r="B563" s="1"/>
      <c r="C563" s="1"/>
      <c r="D563" s="1"/>
      <c r="E563" s="1"/>
      <c r="F563" s="1"/>
      <c r="G563" s="1"/>
    </row>
    <row r="564" spans="2:7" x14ac:dyDescent="0.25">
      <c r="B564" s="1"/>
      <c r="C564" s="1"/>
      <c r="D564" s="1"/>
      <c r="E564" s="1"/>
      <c r="F564" s="1"/>
      <c r="G564" s="1"/>
    </row>
    <row r="565" spans="2:7" x14ac:dyDescent="0.25">
      <c r="B565" s="1"/>
      <c r="C565" s="1"/>
      <c r="D565" s="1"/>
      <c r="E565" s="1"/>
      <c r="F565" s="1"/>
      <c r="G565" s="1"/>
    </row>
    <row r="566" spans="2:7" x14ac:dyDescent="0.25">
      <c r="B566" s="1"/>
      <c r="C566" s="1"/>
      <c r="D566" s="1"/>
      <c r="E566" s="1"/>
      <c r="F566" s="1"/>
      <c r="G566" s="1"/>
    </row>
    <row r="567" spans="2:7" x14ac:dyDescent="0.25">
      <c r="B567" s="1"/>
      <c r="C567" s="1"/>
      <c r="D567" s="1"/>
      <c r="E567" s="1"/>
      <c r="F567" s="1"/>
      <c r="G567" s="1"/>
    </row>
    <row r="568" spans="2:7" x14ac:dyDescent="0.25">
      <c r="B568" s="1"/>
      <c r="C568" s="1"/>
      <c r="D568" s="1"/>
      <c r="E568" s="1"/>
      <c r="F568" s="1"/>
      <c r="G568" s="1"/>
    </row>
    <row r="569" spans="2:7" x14ac:dyDescent="0.25">
      <c r="B569" s="1"/>
      <c r="C569" s="1"/>
      <c r="D569" s="1"/>
      <c r="E569" s="1"/>
      <c r="F569" s="1"/>
      <c r="G569" s="1"/>
    </row>
    <row r="570" spans="2:7" x14ac:dyDescent="0.25">
      <c r="B570" s="1"/>
      <c r="C570" s="1"/>
      <c r="D570" s="1"/>
      <c r="E570" s="1"/>
      <c r="F570" s="1"/>
      <c r="G570" s="1"/>
    </row>
    <row r="571" spans="2:7" x14ac:dyDescent="0.25">
      <c r="B571" s="1"/>
      <c r="C571" s="1"/>
      <c r="D571" s="1"/>
      <c r="E571" s="1"/>
      <c r="F571" s="1"/>
      <c r="G571" s="1"/>
    </row>
    <row r="572" spans="2:7" x14ac:dyDescent="0.25">
      <c r="B572" s="1"/>
      <c r="C572" s="1"/>
      <c r="D572" s="1"/>
      <c r="E572" s="1"/>
      <c r="F572" s="1"/>
      <c r="G572" s="1"/>
    </row>
    <row r="573" spans="2:7" x14ac:dyDescent="0.25">
      <c r="B573" s="1"/>
      <c r="C573" s="1"/>
      <c r="D573" s="1"/>
      <c r="E573" s="1"/>
      <c r="F573" s="1"/>
      <c r="G573" s="1"/>
    </row>
    <row r="574" spans="2:7" x14ac:dyDescent="0.25">
      <c r="B574" s="1"/>
      <c r="C574" s="1"/>
      <c r="D574" s="1"/>
      <c r="E574" s="1"/>
      <c r="F574" s="1"/>
      <c r="G574" s="1"/>
    </row>
    <row r="575" spans="2:7" x14ac:dyDescent="0.25">
      <c r="B575" s="1"/>
      <c r="C575" s="1"/>
      <c r="D575" s="1"/>
      <c r="E575" s="1"/>
      <c r="F575" s="1"/>
      <c r="G575" s="1"/>
    </row>
    <row r="576" spans="2:7" x14ac:dyDescent="0.25">
      <c r="B576" s="1"/>
      <c r="C576" s="1"/>
      <c r="D576" s="1"/>
      <c r="E576" s="1"/>
      <c r="F576" s="1"/>
      <c r="G576" s="1"/>
    </row>
    <row r="577" spans="2:7" x14ac:dyDescent="0.25">
      <c r="B577" s="1"/>
      <c r="C577" s="1"/>
      <c r="D577" s="1"/>
      <c r="E577" s="1"/>
      <c r="F577" s="1"/>
      <c r="G577" s="1"/>
    </row>
    <row r="578" spans="2:7" x14ac:dyDescent="0.25">
      <c r="B578" s="1"/>
      <c r="C578" s="1"/>
      <c r="D578" s="1"/>
      <c r="E578" s="1"/>
      <c r="F578" s="1"/>
      <c r="G578" s="1"/>
    </row>
    <row r="579" spans="2:7" x14ac:dyDescent="0.25">
      <c r="B579" s="1"/>
      <c r="C579" s="1"/>
      <c r="D579" s="1"/>
      <c r="E579" s="1"/>
      <c r="F579" s="1"/>
      <c r="G579" s="1"/>
    </row>
    <row r="580" spans="2:7" x14ac:dyDescent="0.25">
      <c r="B580" s="1"/>
      <c r="C580" s="1"/>
      <c r="D580" s="1"/>
      <c r="E580" s="1"/>
      <c r="F580" s="1"/>
      <c r="G580" s="1"/>
    </row>
    <row r="581" spans="2:7" x14ac:dyDescent="0.25">
      <c r="B581" s="1"/>
      <c r="C581" s="1"/>
      <c r="D581" s="1"/>
      <c r="E581" s="1"/>
      <c r="F581" s="1"/>
      <c r="G581" s="1"/>
    </row>
    <row r="582" spans="2:7" x14ac:dyDescent="0.25">
      <c r="B582" s="1"/>
      <c r="C582" s="1"/>
      <c r="D582" s="1"/>
      <c r="E582" s="1"/>
      <c r="F582" s="1"/>
      <c r="G582" s="1"/>
    </row>
    <row r="583" spans="2:7" x14ac:dyDescent="0.25">
      <c r="B583" s="1"/>
      <c r="C583" s="1"/>
      <c r="D583" s="1"/>
      <c r="E583" s="1"/>
      <c r="F583" s="1"/>
      <c r="G583" s="1"/>
    </row>
    <row r="584" spans="2:7" x14ac:dyDescent="0.25">
      <c r="B584" s="1"/>
      <c r="C584" s="1"/>
      <c r="D584" s="1"/>
      <c r="E584" s="1"/>
      <c r="F584" s="1"/>
      <c r="G584" s="1"/>
    </row>
    <row r="585" spans="2:7" x14ac:dyDescent="0.25">
      <c r="B585" s="1"/>
      <c r="C585" s="1"/>
      <c r="D585" s="1"/>
      <c r="E585" s="1"/>
      <c r="F585" s="1"/>
      <c r="G585" s="1"/>
    </row>
    <row r="586" spans="2:7" x14ac:dyDescent="0.25">
      <c r="B586" s="1"/>
      <c r="C586" s="1"/>
      <c r="D586" s="1"/>
      <c r="E586" s="1"/>
      <c r="F586" s="1"/>
      <c r="G586" s="1"/>
    </row>
    <row r="587" spans="2:7" x14ac:dyDescent="0.25">
      <c r="B587" s="1"/>
      <c r="C587" s="1"/>
      <c r="D587" s="1"/>
      <c r="E587" s="1"/>
      <c r="F587" s="1"/>
      <c r="G587" s="1"/>
    </row>
    <row r="588" spans="2:7" x14ac:dyDescent="0.25">
      <c r="B588" s="1"/>
      <c r="C588" s="1"/>
      <c r="D588" s="1"/>
      <c r="E588" s="1"/>
      <c r="F588" s="1"/>
      <c r="G588" s="1"/>
    </row>
    <row r="589" spans="2:7" x14ac:dyDescent="0.25">
      <c r="B589" s="1"/>
      <c r="C589" s="1"/>
      <c r="D589" s="1"/>
      <c r="E589" s="1"/>
      <c r="F589" s="1"/>
      <c r="G589" s="1"/>
    </row>
    <row r="590" spans="2:7" x14ac:dyDescent="0.25">
      <c r="B590" s="1"/>
      <c r="C590" s="1"/>
      <c r="D590" s="1"/>
      <c r="E590" s="1"/>
      <c r="F590" s="1"/>
      <c r="G590" s="1"/>
    </row>
    <row r="591" spans="2:7" x14ac:dyDescent="0.25">
      <c r="B591" s="1"/>
      <c r="C591" s="1"/>
      <c r="D591" s="1"/>
      <c r="E591" s="1"/>
      <c r="F591" s="1"/>
      <c r="G591" s="1"/>
    </row>
    <row r="592" spans="2:7" x14ac:dyDescent="0.25">
      <c r="B592" s="1"/>
      <c r="C592" s="1"/>
      <c r="D592" s="1"/>
      <c r="E592" s="1"/>
      <c r="F592" s="1"/>
      <c r="G592" s="1"/>
    </row>
    <row r="593" spans="2:7" x14ac:dyDescent="0.25">
      <c r="B593" s="1"/>
      <c r="C593" s="1"/>
      <c r="D593" s="1"/>
      <c r="E593" s="1"/>
      <c r="F593" s="1"/>
      <c r="G593" s="1"/>
    </row>
    <row r="594" spans="2:7" x14ac:dyDescent="0.25">
      <c r="B594" s="1"/>
      <c r="C594" s="1"/>
      <c r="D594" s="1"/>
      <c r="E594" s="1"/>
      <c r="F594" s="1"/>
      <c r="G594" s="1"/>
    </row>
    <row r="595" spans="2:7" x14ac:dyDescent="0.25">
      <c r="B595" s="1"/>
      <c r="C595" s="1"/>
      <c r="D595" s="1"/>
      <c r="E595" s="1"/>
      <c r="F595" s="1"/>
      <c r="G595" s="1"/>
    </row>
    <row r="596" spans="2:7" x14ac:dyDescent="0.25">
      <c r="B596" s="1"/>
      <c r="C596" s="1"/>
      <c r="D596" s="1"/>
      <c r="E596" s="1"/>
      <c r="F596" s="1"/>
      <c r="G596" s="1"/>
    </row>
    <row r="597" spans="2:7" x14ac:dyDescent="0.25">
      <c r="B597" s="1"/>
      <c r="C597" s="1"/>
      <c r="D597" s="1"/>
      <c r="E597" s="1"/>
      <c r="F597" s="1"/>
      <c r="G597" s="1"/>
    </row>
    <row r="598" spans="2:7" x14ac:dyDescent="0.25">
      <c r="B598" s="1"/>
      <c r="C598" s="1"/>
      <c r="D598" s="1"/>
      <c r="E598" s="1"/>
      <c r="F598" s="1"/>
      <c r="G598" s="1"/>
    </row>
    <row r="599" spans="2:7" x14ac:dyDescent="0.25">
      <c r="B599" s="1"/>
      <c r="C599" s="1"/>
      <c r="D599" s="1"/>
      <c r="E599" s="1"/>
      <c r="F599" s="1"/>
      <c r="G599" s="1"/>
    </row>
    <row r="600" spans="2:7" x14ac:dyDescent="0.25">
      <c r="B600" s="1"/>
      <c r="C600" s="1"/>
      <c r="D600" s="1"/>
      <c r="E600" s="1"/>
      <c r="F600" s="1"/>
      <c r="G600" s="1"/>
    </row>
    <row r="601" spans="2:7" x14ac:dyDescent="0.25">
      <c r="B601" s="1"/>
      <c r="C601" s="1"/>
      <c r="D601" s="1"/>
      <c r="E601" s="1"/>
      <c r="F601" s="1"/>
      <c r="G601" s="1"/>
    </row>
    <row r="602" spans="2:7" x14ac:dyDescent="0.25">
      <c r="B602" s="1"/>
      <c r="C602" s="1"/>
      <c r="D602" s="1"/>
      <c r="E602" s="1"/>
      <c r="F602" s="1"/>
      <c r="G602" s="1"/>
    </row>
    <row r="603" spans="2:7" x14ac:dyDescent="0.25">
      <c r="B603" s="1"/>
      <c r="C603" s="1"/>
      <c r="D603" s="1"/>
      <c r="E603" s="1"/>
      <c r="F603" s="1"/>
      <c r="G603" s="1"/>
    </row>
    <row r="604" spans="2:7" x14ac:dyDescent="0.25">
      <c r="B604" s="1"/>
      <c r="C604" s="1"/>
      <c r="D604" s="1"/>
      <c r="E604" s="1"/>
      <c r="F604" s="1"/>
      <c r="G604" s="1"/>
    </row>
    <row r="605" spans="2:7" x14ac:dyDescent="0.25">
      <c r="B605" s="1"/>
      <c r="C605" s="1"/>
      <c r="D605" s="1"/>
      <c r="E605" s="1"/>
      <c r="F605" s="1"/>
      <c r="G605" s="1"/>
    </row>
    <row r="606" spans="2:7" x14ac:dyDescent="0.25">
      <c r="B606" s="1"/>
      <c r="C606" s="1"/>
      <c r="D606" s="1"/>
      <c r="E606" s="1"/>
      <c r="F606" s="1"/>
      <c r="G606" s="1"/>
    </row>
    <row r="607" spans="2:7" x14ac:dyDescent="0.25">
      <c r="B607" s="1"/>
      <c r="C607" s="1"/>
      <c r="D607" s="1"/>
      <c r="E607" s="1"/>
      <c r="F607" s="1"/>
      <c r="G607" s="1"/>
    </row>
    <row r="608" spans="2:7" x14ac:dyDescent="0.25">
      <c r="B608" s="1"/>
      <c r="C608" s="1"/>
      <c r="D608" s="1"/>
      <c r="E608" s="1"/>
      <c r="F608" s="1"/>
      <c r="G608" s="1"/>
    </row>
    <row r="609" spans="2:7" x14ac:dyDescent="0.25">
      <c r="B609" s="1"/>
      <c r="C609" s="1"/>
      <c r="D609" s="1"/>
      <c r="E609" s="1"/>
      <c r="F609" s="1"/>
      <c r="G609" s="1"/>
    </row>
    <row r="610" spans="2:7" x14ac:dyDescent="0.25">
      <c r="B610" s="1"/>
      <c r="C610" s="1"/>
      <c r="D610" s="1"/>
      <c r="E610" s="1"/>
      <c r="F610" s="1"/>
      <c r="G610" s="1"/>
    </row>
    <row r="611" spans="2:7" x14ac:dyDescent="0.25">
      <c r="B611" s="1"/>
      <c r="C611" s="1"/>
      <c r="D611" s="1"/>
      <c r="E611" s="1"/>
      <c r="F611" s="1"/>
      <c r="G611" s="1"/>
    </row>
    <row r="612" spans="2:7" x14ac:dyDescent="0.25">
      <c r="B612" s="1"/>
      <c r="C612" s="1"/>
      <c r="D612" s="1"/>
      <c r="E612" s="1"/>
      <c r="F612" s="1"/>
      <c r="G612" s="1"/>
    </row>
    <row r="613" spans="2:7" x14ac:dyDescent="0.25">
      <c r="B613" s="1"/>
      <c r="C613" s="1"/>
      <c r="D613" s="1"/>
      <c r="E613" s="1"/>
      <c r="F613" s="1"/>
      <c r="G613" s="1"/>
    </row>
    <row r="614" spans="2:7" x14ac:dyDescent="0.25">
      <c r="B614" s="1"/>
      <c r="C614" s="1"/>
      <c r="D614" s="1"/>
      <c r="E614" s="1"/>
      <c r="F614" s="1"/>
      <c r="G614" s="1"/>
    </row>
    <row r="615" spans="2:7" x14ac:dyDescent="0.25">
      <c r="B615" s="1"/>
      <c r="C615" s="1"/>
      <c r="D615" s="1"/>
      <c r="E615" s="1"/>
      <c r="F615" s="1"/>
      <c r="G615" s="1"/>
    </row>
    <row r="616" spans="2:7" x14ac:dyDescent="0.25">
      <c r="B616" s="1"/>
      <c r="C616" s="1"/>
      <c r="D616" s="1"/>
      <c r="E616" s="1"/>
      <c r="F616" s="1"/>
      <c r="G616" s="1"/>
    </row>
    <row r="617" spans="2:7" x14ac:dyDescent="0.25">
      <c r="B617" s="1"/>
      <c r="C617" s="1"/>
      <c r="D617" s="1"/>
      <c r="E617" s="1"/>
      <c r="F617" s="1"/>
      <c r="G617" s="1"/>
    </row>
    <row r="618" spans="2:7" x14ac:dyDescent="0.25">
      <c r="B618" s="1"/>
      <c r="C618" s="1"/>
      <c r="D618" s="1"/>
      <c r="E618" s="1"/>
      <c r="F618" s="1"/>
      <c r="G618" s="1"/>
    </row>
    <row r="619" spans="2:7" x14ac:dyDescent="0.25">
      <c r="B619" s="1"/>
      <c r="C619" s="1"/>
      <c r="D619" s="1"/>
      <c r="E619" s="1"/>
      <c r="F619" s="1"/>
      <c r="G619" s="1"/>
    </row>
    <row r="620" spans="2:7" x14ac:dyDescent="0.25">
      <c r="B620" s="1"/>
      <c r="C620" s="1"/>
      <c r="D620" s="1"/>
      <c r="E620" s="1"/>
      <c r="F620" s="1"/>
      <c r="G620" s="1"/>
    </row>
    <row r="621" spans="2:7" x14ac:dyDescent="0.25">
      <c r="B621" s="1"/>
      <c r="C621" s="1"/>
      <c r="D621" s="1"/>
      <c r="E621" s="1"/>
      <c r="F621" s="1"/>
      <c r="G621" s="1"/>
    </row>
    <row r="622" spans="2:7" x14ac:dyDescent="0.25">
      <c r="B622" s="1"/>
      <c r="C622" s="1"/>
      <c r="D622" s="1"/>
      <c r="E622" s="1"/>
      <c r="F622" s="1"/>
      <c r="G622" s="1"/>
    </row>
    <row r="623" spans="2:7" x14ac:dyDescent="0.25">
      <c r="B623" s="1"/>
      <c r="C623" s="1"/>
      <c r="D623" s="1"/>
      <c r="E623" s="1"/>
      <c r="F623" s="1"/>
      <c r="G623" s="1"/>
    </row>
    <row r="624" spans="2:7" x14ac:dyDescent="0.25">
      <c r="B624" s="1"/>
      <c r="C624" s="1"/>
      <c r="D624" s="1"/>
      <c r="E624" s="1"/>
      <c r="F624" s="1"/>
      <c r="G624" s="1"/>
    </row>
    <row r="625" spans="2:7" x14ac:dyDescent="0.25">
      <c r="B625" s="1"/>
      <c r="C625" s="1"/>
      <c r="D625" s="1"/>
      <c r="E625" s="1"/>
      <c r="F625" s="1"/>
      <c r="G625" s="1"/>
    </row>
    <row r="626" spans="2:7" x14ac:dyDescent="0.25">
      <c r="B626" s="1"/>
      <c r="C626" s="1"/>
      <c r="D626" s="1"/>
      <c r="E626" s="1"/>
      <c r="F626" s="1"/>
      <c r="G626" s="1"/>
    </row>
    <row r="627" spans="2:7" x14ac:dyDescent="0.25">
      <c r="B627" s="1"/>
      <c r="C627" s="1"/>
      <c r="D627" s="1"/>
      <c r="E627" s="1"/>
      <c r="F627" s="1"/>
      <c r="G627" s="1"/>
    </row>
    <row r="628" spans="2:7" x14ac:dyDescent="0.25">
      <c r="B628" s="1"/>
      <c r="C628" s="1"/>
      <c r="D628" s="1"/>
      <c r="E628" s="1"/>
      <c r="F628" s="1"/>
      <c r="G628" s="1"/>
    </row>
    <row r="629" spans="2:7" x14ac:dyDescent="0.25">
      <c r="B629" s="1"/>
      <c r="C629" s="1"/>
      <c r="D629" s="1"/>
      <c r="E629" s="1"/>
      <c r="F629" s="1"/>
      <c r="G629" s="1"/>
    </row>
    <row r="630" spans="2:7" x14ac:dyDescent="0.25">
      <c r="B630" s="1"/>
      <c r="C630" s="1"/>
      <c r="D630" s="1"/>
      <c r="E630" s="1"/>
      <c r="F630" s="1"/>
      <c r="G630" s="1"/>
    </row>
    <row r="631" spans="2:7" x14ac:dyDescent="0.25">
      <c r="B631" s="1"/>
      <c r="C631" s="1"/>
      <c r="D631" s="1"/>
      <c r="E631" s="1"/>
      <c r="F631" s="1"/>
      <c r="G631" s="1"/>
    </row>
    <row r="632" spans="2:7" x14ac:dyDescent="0.25">
      <c r="B632" s="1"/>
      <c r="C632" s="1"/>
      <c r="D632" s="1"/>
      <c r="E632" s="1"/>
      <c r="F632" s="1"/>
      <c r="G632" s="1"/>
    </row>
    <row r="633" spans="2:7" x14ac:dyDescent="0.25">
      <c r="B633" s="1"/>
      <c r="C633" s="1"/>
      <c r="D633" s="1"/>
      <c r="E633" s="1"/>
      <c r="F633" s="1"/>
      <c r="G633" s="1"/>
    </row>
    <row r="634" spans="2:7" x14ac:dyDescent="0.25">
      <c r="B634" s="1"/>
      <c r="C634" s="1"/>
      <c r="D634" s="1"/>
      <c r="E634" s="1"/>
      <c r="F634" s="1"/>
      <c r="G634" s="1"/>
    </row>
    <row r="635" spans="2:7" x14ac:dyDescent="0.25">
      <c r="B635" s="1"/>
      <c r="C635" s="1"/>
      <c r="D635" s="1"/>
      <c r="E635" s="1"/>
      <c r="F635" s="1"/>
      <c r="G635" s="1"/>
    </row>
    <row r="636" spans="2:7" x14ac:dyDescent="0.25">
      <c r="B636" s="1"/>
      <c r="C636" s="1"/>
      <c r="D636" s="1"/>
      <c r="E636" s="1"/>
      <c r="F636" s="1"/>
      <c r="G636" s="1"/>
    </row>
    <row r="637" spans="2:7" x14ac:dyDescent="0.25">
      <c r="B637" s="1"/>
      <c r="C637" s="1"/>
      <c r="D637" s="1"/>
      <c r="E637" s="1"/>
      <c r="F637" s="1"/>
      <c r="G637" s="1"/>
    </row>
    <row r="638" spans="2:7" x14ac:dyDescent="0.25">
      <c r="B638" s="1"/>
      <c r="C638" s="1"/>
      <c r="D638" s="1"/>
      <c r="E638" s="1"/>
      <c r="F638" s="1"/>
      <c r="G638" s="1"/>
    </row>
    <row r="639" spans="2:7" x14ac:dyDescent="0.25">
      <c r="B639" s="1"/>
      <c r="C639" s="1"/>
      <c r="D639" s="1"/>
      <c r="E639" s="1"/>
      <c r="F639" s="1"/>
      <c r="G639" s="1"/>
    </row>
    <row r="640" spans="2:7" x14ac:dyDescent="0.25">
      <c r="B640" s="1"/>
      <c r="C640" s="1"/>
      <c r="D640" s="1"/>
      <c r="E640" s="1"/>
      <c r="F640" s="1"/>
      <c r="G640" s="1"/>
    </row>
    <row r="641" spans="2:7" x14ac:dyDescent="0.25">
      <c r="B641" s="1"/>
      <c r="C641" s="1"/>
      <c r="D641" s="1"/>
      <c r="E641" s="1"/>
      <c r="F641" s="1"/>
      <c r="G641" s="1"/>
    </row>
    <row r="642" spans="2:7" x14ac:dyDescent="0.25">
      <c r="B642" s="1"/>
      <c r="C642" s="1"/>
      <c r="D642" s="1"/>
      <c r="E642" s="1"/>
      <c r="F642" s="1"/>
      <c r="G642" s="1"/>
    </row>
    <row r="643" spans="2:7" x14ac:dyDescent="0.25">
      <c r="B643" s="1"/>
      <c r="C643" s="1"/>
      <c r="D643" s="1"/>
      <c r="E643" s="1"/>
      <c r="F643" s="1"/>
      <c r="G643" s="1"/>
    </row>
    <row r="644" spans="2:7" x14ac:dyDescent="0.25">
      <c r="B644" s="1"/>
      <c r="C644" s="1"/>
      <c r="D644" s="1"/>
      <c r="E644" s="1"/>
      <c r="F644" s="1"/>
      <c r="G644" s="1"/>
    </row>
    <row r="645" spans="2:7" x14ac:dyDescent="0.25">
      <c r="B645" s="1"/>
      <c r="C645" s="1"/>
      <c r="D645" s="1"/>
      <c r="E645" s="1"/>
      <c r="F645" s="1"/>
      <c r="G645" s="1"/>
    </row>
    <row r="646" spans="2:7" x14ac:dyDescent="0.25">
      <c r="B646" s="1"/>
      <c r="C646" s="1"/>
      <c r="D646" s="1"/>
      <c r="E646" s="1"/>
      <c r="F646" s="1"/>
      <c r="G646" s="1"/>
    </row>
    <row r="647" spans="2:7" x14ac:dyDescent="0.25">
      <c r="B647" s="1"/>
      <c r="C647" s="1"/>
      <c r="D647" s="1"/>
      <c r="E647" s="1"/>
      <c r="F647" s="1"/>
      <c r="G647" s="1"/>
    </row>
    <row r="648" spans="2:7" x14ac:dyDescent="0.25">
      <c r="B648" s="1"/>
      <c r="C648" s="1"/>
      <c r="D648" s="1"/>
      <c r="E648" s="1"/>
      <c r="F648" s="1"/>
      <c r="G648" s="1"/>
    </row>
    <row r="649" spans="2:7" x14ac:dyDescent="0.25">
      <c r="B649" s="1"/>
      <c r="C649" s="1"/>
      <c r="D649" s="1"/>
      <c r="E649" s="1"/>
      <c r="F649" s="1"/>
      <c r="G649" s="1"/>
    </row>
    <row r="650" spans="2:7" x14ac:dyDescent="0.25">
      <c r="B650" s="1"/>
      <c r="C650" s="1"/>
      <c r="D650" s="1"/>
      <c r="E650" s="1"/>
      <c r="F650" s="1"/>
      <c r="G650" s="1"/>
    </row>
    <row r="651" spans="2:7" x14ac:dyDescent="0.25">
      <c r="B651" s="1"/>
      <c r="C651" s="1"/>
      <c r="D651" s="1"/>
      <c r="E651" s="1"/>
      <c r="F651" s="1"/>
      <c r="G651" s="1"/>
    </row>
    <row r="652" spans="2:7" x14ac:dyDescent="0.25">
      <c r="B652" s="1"/>
      <c r="C652" s="1"/>
      <c r="D652" s="1"/>
      <c r="E652" s="1"/>
      <c r="F652" s="1"/>
      <c r="G652" s="1"/>
    </row>
    <row r="653" spans="2:7" x14ac:dyDescent="0.25">
      <c r="B653" s="1"/>
      <c r="C653" s="1"/>
      <c r="D653" s="1"/>
      <c r="E653" s="1"/>
      <c r="F653" s="1"/>
      <c r="G653" s="1"/>
    </row>
    <row r="654" spans="2:7" x14ac:dyDescent="0.25">
      <c r="B654" s="1"/>
      <c r="C654" s="1"/>
      <c r="D654" s="1"/>
      <c r="E654" s="1"/>
      <c r="F654" s="1"/>
      <c r="G654" s="1"/>
    </row>
    <row r="655" spans="2:7" x14ac:dyDescent="0.25">
      <c r="B655" s="1"/>
      <c r="C655" s="1"/>
      <c r="D655" s="1"/>
      <c r="E655" s="1"/>
      <c r="F655" s="1"/>
      <c r="G655" s="1"/>
    </row>
    <row r="656" spans="2:7" x14ac:dyDescent="0.25">
      <c r="B656" s="1"/>
      <c r="C656" s="1"/>
      <c r="D656" s="1"/>
      <c r="E656" s="1"/>
      <c r="F656" s="1"/>
      <c r="G656" s="1"/>
    </row>
    <row r="657" spans="2:7" x14ac:dyDescent="0.25">
      <c r="B657" s="1"/>
      <c r="C657" s="1"/>
      <c r="D657" s="1"/>
      <c r="E657" s="1"/>
      <c r="F657" s="1"/>
      <c r="G657" s="1"/>
    </row>
    <row r="658" spans="2:7" x14ac:dyDescent="0.25">
      <c r="B658" s="1"/>
      <c r="C658" s="1"/>
      <c r="D658" s="1"/>
      <c r="E658" s="1"/>
      <c r="F658" s="1"/>
      <c r="G658" s="1"/>
    </row>
    <row r="659" spans="2:7" x14ac:dyDescent="0.25">
      <c r="B659" s="1"/>
      <c r="C659" s="1"/>
      <c r="D659" s="1"/>
      <c r="E659" s="1"/>
      <c r="F659" s="1"/>
      <c r="G659" s="1"/>
    </row>
    <row r="660" spans="2:7" x14ac:dyDescent="0.25">
      <c r="B660" s="1"/>
      <c r="C660" s="1"/>
      <c r="D660" s="1"/>
      <c r="E660" s="1"/>
      <c r="F660" s="1"/>
      <c r="G660" s="1"/>
    </row>
    <row r="661" spans="2:7" x14ac:dyDescent="0.25">
      <c r="B661" s="1"/>
      <c r="C661" s="1"/>
      <c r="D661" s="1"/>
      <c r="E661" s="1"/>
      <c r="F661" s="1"/>
      <c r="G661" s="1"/>
    </row>
    <row r="662" spans="2:7" x14ac:dyDescent="0.25">
      <c r="B662" s="1"/>
      <c r="C662" s="1"/>
      <c r="D662" s="1"/>
      <c r="E662" s="1"/>
      <c r="F662" s="1"/>
      <c r="G662" s="1"/>
    </row>
    <row r="663" spans="2:7" x14ac:dyDescent="0.25">
      <c r="B663" s="1"/>
      <c r="C663" s="1"/>
      <c r="D663" s="1"/>
      <c r="E663" s="1"/>
      <c r="F663" s="1"/>
      <c r="G663" s="1"/>
    </row>
    <row r="664" spans="2:7" x14ac:dyDescent="0.25">
      <c r="B664" s="1"/>
      <c r="C664" s="1"/>
      <c r="D664" s="1"/>
      <c r="E664" s="1"/>
      <c r="F664" s="1"/>
      <c r="G664" s="1"/>
    </row>
    <row r="665" spans="2:7" x14ac:dyDescent="0.25">
      <c r="B665" s="1"/>
      <c r="C665" s="1"/>
      <c r="D665" s="1"/>
      <c r="E665" s="1"/>
      <c r="F665" s="1"/>
      <c r="G665" s="1"/>
    </row>
    <row r="666" spans="2:7" x14ac:dyDescent="0.25">
      <c r="B666" s="1"/>
      <c r="C666" s="1"/>
      <c r="D666" s="1"/>
      <c r="E666" s="1"/>
      <c r="F666" s="1"/>
      <c r="G666" s="1"/>
    </row>
    <row r="667" spans="2:7" x14ac:dyDescent="0.25">
      <c r="B667" s="1"/>
      <c r="C667" s="1"/>
      <c r="D667" s="1"/>
      <c r="E667" s="1"/>
      <c r="F667" s="1"/>
      <c r="G667" s="1"/>
    </row>
    <row r="668" spans="2:7" x14ac:dyDescent="0.25">
      <c r="B668" s="1"/>
      <c r="C668" s="1"/>
      <c r="D668" s="1"/>
      <c r="E668" s="1"/>
      <c r="F668" s="1"/>
      <c r="G668" s="1"/>
    </row>
    <row r="669" spans="2:7" x14ac:dyDescent="0.25">
      <c r="B669" s="1"/>
      <c r="C669" s="1"/>
      <c r="D669" s="1"/>
      <c r="E669" s="1"/>
      <c r="F669" s="1"/>
      <c r="G669" s="1"/>
    </row>
    <row r="670" spans="2:7" x14ac:dyDescent="0.25">
      <c r="B670" s="1"/>
      <c r="C670" s="1"/>
      <c r="D670" s="1"/>
      <c r="E670" s="1"/>
      <c r="F670" s="1"/>
      <c r="G670" s="1"/>
    </row>
    <row r="671" spans="2:7" x14ac:dyDescent="0.25">
      <c r="B671" s="1"/>
      <c r="C671" s="1"/>
      <c r="D671" s="1"/>
      <c r="E671" s="1"/>
      <c r="F671" s="1"/>
      <c r="G671" s="1"/>
    </row>
    <row r="672" spans="2:7" x14ac:dyDescent="0.25">
      <c r="B672" s="1"/>
      <c r="C672" s="1"/>
      <c r="D672" s="1"/>
      <c r="E672" s="1"/>
      <c r="F672" s="1"/>
      <c r="G672" s="1"/>
    </row>
    <row r="673" spans="2:7" x14ac:dyDescent="0.25">
      <c r="B673" s="1"/>
      <c r="C673" s="1"/>
      <c r="D673" s="1"/>
      <c r="E673" s="1"/>
      <c r="F673" s="1"/>
      <c r="G673" s="1"/>
    </row>
    <row r="674" spans="2:7" x14ac:dyDescent="0.25">
      <c r="B674" s="1"/>
      <c r="C674" s="1"/>
      <c r="D674" s="1"/>
      <c r="E674" s="1"/>
      <c r="F674" s="1"/>
      <c r="G674" s="1"/>
    </row>
    <row r="675" spans="2:7" x14ac:dyDescent="0.25">
      <c r="B675" s="1"/>
      <c r="C675" s="1"/>
      <c r="D675" s="1"/>
      <c r="E675" s="1"/>
      <c r="F675" s="1"/>
      <c r="G675" s="1"/>
    </row>
    <row r="676" spans="2:7" x14ac:dyDescent="0.25">
      <c r="B676" s="1"/>
      <c r="C676" s="1"/>
      <c r="D676" s="1"/>
      <c r="E676" s="1"/>
      <c r="F676" s="1"/>
      <c r="G676" s="1"/>
    </row>
    <row r="677" spans="2:7" x14ac:dyDescent="0.25">
      <c r="B677" s="1"/>
      <c r="C677" s="1"/>
      <c r="D677" s="1"/>
      <c r="E677" s="1"/>
      <c r="F677" s="1"/>
      <c r="G677" s="1"/>
    </row>
    <row r="678" spans="2:7" x14ac:dyDescent="0.25">
      <c r="B678" s="1"/>
      <c r="C678" s="1"/>
      <c r="D678" s="1"/>
      <c r="E678" s="1"/>
      <c r="F678" s="1"/>
      <c r="G678" s="1"/>
    </row>
    <row r="679" spans="2:7" x14ac:dyDescent="0.25">
      <c r="B679" s="1"/>
      <c r="C679" s="1"/>
      <c r="D679" s="1"/>
      <c r="E679" s="1"/>
      <c r="F679" s="1"/>
      <c r="G679" s="1"/>
    </row>
    <row r="680" spans="2:7" x14ac:dyDescent="0.25">
      <c r="B680" s="1"/>
      <c r="C680" s="1"/>
      <c r="D680" s="1"/>
      <c r="E680" s="1"/>
      <c r="F680" s="1"/>
      <c r="G680" s="1"/>
    </row>
    <row r="681" spans="2:7" x14ac:dyDescent="0.25">
      <c r="B681" s="1"/>
      <c r="C681" s="1"/>
      <c r="D681" s="1"/>
      <c r="E681" s="1"/>
      <c r="F681" s="1"/>
      <c r="G681" s="1"/>
    </row>
    <row r="682" spans="2:7" x14ac:dyDescent="0.25">
      <c r="B682" s="1"/>
      <c r="C682" s="1"/>
      <c r="D682" s="1"/>
      <c r="E682" s="1"/>
      <c r="F682" s="1"/>
      <c r="G682" s="1"/>
    </row>
    <row r="683" spans="2:7" x14ac:dyDescent="0.25">
      <c r="B683" s="1"/>
      <c r="C683" s="1"/>
      <c r="D683" s="1"/>
      <c r="E683" s="1"/>
      <c r="F683" s="1"/>
      <c r="G683" s="1"/>
    </row>
    <row r="684" spans="2:7" x14ac:dyDescent="0.25">
      <c r="B684" s="1"/>
      <c r="C684" s="1"/>
      <c r="D684" s="1"/>
      <c r="E684" s="1"/>
      <c r="F684" s="1"/>
      <c r="G684" s="1"/>
    </row>
    <row r="685" spans="2:7" x14ac:dyDescent="0.25">
      <c r="B685" s="1"/>
      <c r="C685" s="1"/>
      <c r="D685" s="1"/>
      <c r="E685" s="1"/>
      <c r="F685" s="1"/>
      <c r="G685" s="1"/>
    </row>
    <row r="686" spans="2:7" x14ac:dyDescent="0.25">
      <c r="B686" s="1"/>
      <c r="C686" s="1"/>
      <c r="D686" s="1"/>
      <c r="E686" s="1"/>
      <c r="F686" s="1"/>
      <c r="G686" s="1"/>
    </row>
    <row r="687" spans="2:7" x14ac:dyDescent="0.25">
      <c r="B687" s="1"/>
      <c r="C687" s="1"/>
      <c r="D687" s="1"/>
      <c r="E687" s="1"/>
      <c r="F687" s="1"/>
      <c r="G687" s="1"/>
    </row>
    <row r="688" spans="2:7" x14ac:dyDescent="0.25">
      <c r="B688" s="1"/>
      <c r="C688" s="1"/>
      <c r="D688" s="1"/>
      <c r="E688" s="1"/>
      <c r="F688" s="1"/>
      <c r="G688" s="1"/>
    </row>
    <row r="689" spans="2:7" x14ac:dyDescent="0.25">
      <c r="B689" s="1"/>
      <c r="C689" s="1"/>
      <c r="D689" s="1"/>
      <c r="E689" s="1"/>
      <c r="F689" s="1"/>
      <c r="G689" s="1"/>
    </row>
    <row r="690" spans="2:7" x14ac:dyDescent="0.25">
      <c r="B690" s="1"/>
      <c r="C690" s="1"/>
      <c r="D690" s="1"/>
      <c r="E690" s="1"/>
      <c r="F690" s="1"/>
      <c r="G690" s="1"/>
    </row>
    <row r="691" spans="2:7" x14ac:dyDescent="0.25">
      <c r="B691" s="1"/>
      <c r="C691" s="1"/>
      <c r="D691" s="1"/>
      <c r="E691" s="1"/>
      <c r="F691" s="1"/>
      <c r="G691" s="1"/>
    </row>
    <row r="692" spans="2:7" x14ac:dyDescent="0.25">
      <c r="B692" s="1"/>
      <c r="C692" s="1"/>
      <c r="D692" s="1"/>
      <c r="E692" s="1"/>
      <c r="F692" s="1"/>
      <c r="G692" s="1"/>
    </row>
    <row r="693" spans="2:7" x14ac:dyDescent="0.25">
      <c r="B693" s="1"/>
      <c r="C693" s="1"/>
      <c r="D693" s="1"/>
      <c r="E693" s="1"/>
      <c r="F693" s="1"/>
      <c r="G693" s="1"/>
    </row>
    <row r="694" spans="2:7" x14ac:dyDescent="0.25">
      <c r="B694" s="1"/>
      <c r="C694" s="1"/>
      <c r="D694" s="1"/>
      <c r="E694" s="1"/>
      <c r="F694" s="1"/>
      <c r="G694" s="1"/>
    </row>
    <row r="695" spans="2:7" x14ac:dyDescent="0.25">
      <c r="B695" s="1"/>
      <c r="C695" s="1"/>
      <c r="D695" s="1"/>
      <c r="E695" s="1"/>
      <c r="F695" s="1"/>
      <c r="G695" s="1"/>
    </row>
    <row r="696" spans="2:7" x14ac:dyDescent="0.25">
      <c r="B696" s="1"/>
      <c r="C696" s="1"/>
      <c r="D696" s="1"/>
      <c r="E696" s="1"/>
      <c r="F696" s="1"/>
      <c r="G696" s="1"/>
    </row>
    <row r="697" spans="2:7" x14ac:dyDescent="0.25">
      <c r="B697" s="1"/>
      <c r="C697" s="1"/>
      <c r="D697" s="1"/>
      <c r="E697" s="1"/>
      <c r="F697" s="1"/>
      <c r="G697" s="1"/>
    </row>
    <row r="698" spans="2:7" x14ac:dyDescent="0.25">
      <c r="B698" s="1"/>
      <c r="C698" s="1"/>
      <c r="D698" s="1"/>
      <c r="E698" s="1"/>
      <c r="F698" s="1"/>
      <c r="G698" s="1"/>
    </row>
    <row r="699" spans="2:7" x14ac:dyDescent="0.25">
      <c r="B699" s="1"/>
      <c r="C699" s="1"/>
      <c r="D699" s="1"/>
      <c r="E699" s="1"/>
      <c r="F699" s="1"/>
      <c r="G699" s="1"/>
    </row>
    <row r="700" spans="2:7" x14ac:dyDescent="0.25">
      <c r="B700" s="1"/>
      <c r="C700" s="1"/>
      <c r="D700" s="1"/>
      <c r="E700" s="1"/>
      <c r="F700" s="1"/>
      <c r="G700" s="1"/>
    </row>
    <row r="701" spans="2:7" x14ac:dyDescent="0.25">
      <c r="B701" s="1"/>
      <c r="C701" s="1"/>
      <c r="D701" s="1"/>
      <c r="E701" s="1"/>
      <c r="F701" s="1"/>
      <c r="G701" s="1"/>
    </row>
    <row r="702" spans="2:7" x14ac:dyDescent="0.25">
      <c r="B702" s="1"/>
      <c r="C702" s="1"/>
      <c r="D702" s="1"/>
      <c r="E702" s="1"/>
      <c r="F702" s="1"/>
      <c r="G702" s="1"/>
    </row>
    <row r="703" spans="2:7" x14ac:dyDescent="0.25">
      <c r="B703" s="1"/>
      <c r="C703" s="1"/>
      <c r="D703" s="1"/>
      <c r="E703" s="1"/>
      <c r="F703" s="1"/>
      <c r="G703" s="1"/>
    </row>
    <row r="704" spans="2:7" x14ac:dyDescent="0.25">
      <c r="B704" s="1"/>
      <c r="C704" s="1"/>
      <c r="D704" s="1"/>
      <c r="E704" s="1"/>
      <c r="F704" s="1"/>
      <c r="G704" s="1"/>
    </row>
    <row r="705" spans="2:7" x14ac:dyDescent="0.25">
      <c r="B705" s="1"/>
      <c r="C705" s="1"/>
      <c r="D705" s="1"/>
      <c r="E705" s="1"/>
      <c r="F705" s="1"/>
      <c r="G705" s="1"/>
    </row>
    <row r="706" spans="2:7" x14ac:dyDescent="0.25">
      <c r="B706" s="1"/>
      <c r="C706" s="1"/>
      <c r="D706" s="1"/>
      <c r="E706" s="1"/>
      <c r="F706" s="1"/>
      <c r="G706" s="1"/>
    </row>
    <row r="707" spans="2:7" x14ac:dyDescent="0.25">
      <c r="B707" s="1"/>
      <c r="C707" s="1"/>
      <c r="D707" s="1"/>
      <c r="E707" s="1"/>
      <c r="F707" s="1"/>
      <c r="G707" s="1"/>
    </row>
    <row r="708" spans="2:7" x14ac:dyDescent="0.25">
      <c r="B708" s="1"/>
      <c r="C708" s="1"/>
      <c r="D708" s="1"/>
      <c r="E708" s="1"/>
      <c r="F708" s="1"/>
      <c r="G708" s="1"/>
    </row>
    <row r="709" spans="2:7" x14ac:dyDescent="0.25">
      <c r="B709" s="1"/>
      <c r="C709" s="1"/>
      <c r="D709" s="1"/>
      <c r="E709" s="1"/>
      <c r="F709" s="1"/>
      <c r="G709" s="1"/>
    </row>
    <row r="710" spans="2:7" x14ac:dyDescent="0.25">
      <c r="B710" s="1"/>
      <c r="C710" s="1"/>
      <c r="D710" s="1"/>
      <c r="E710" s="1"/>
      <c r="F710" s="1"/>
      <c r="G710" s="1"/>
    </row>
    <row r="711" spans="2:7" x14ac:dyDescent="0.25">
      <c r="B711" s="1"/>
      <c r="C711" s="1"/>
      <c r="D711" s="1"/>
      <c r="E711" s="1"/>
      <c r="F711" s="1"/>
      <c r="G711" s="1"/>
    </row>
    <row r="712" spans="2:7" x14ac:dyDescent="0.25">
      <c r="B712" s="1"/>
      <c r="C712" s="1"/>
      <c r="D712" s="1"/>
      <c r="E712" s="1"/>
      <c r="F712" s="1"/>
      <c r="G712" s="1"/>
    </row>
    <row r="713" spans="2:7" x14ac:dyDescent="0.25">
      <c r="B713" s="1"/>
      <c r="C713" s="1"/>
      <c r="D713" s="1"/>
      <c r="E713" s="1"/>
      <c r="F713" s="1"/>
      <c r="G713" s="1"/>
    </row>
    <row r="714" spans="2:7" x14ac:dyDescent="0.25">
      <c r="B714" s="1"/>
      <c r="C714" s="1"/>
      <c r="D714" s="1"/>
      <c r="E714" s="1"/>
      <c r="F714" s="1"/>
      <c r="G714" s="1"/>
    </row>
    <row r="715" spans="2:7" x14ac:dyDescent="0.25">
      <c r="B715" s="1"/>
      <c r="C715" s="1"/>
      <c r="D715" s="1"/>
      <c r="E715" s="1"/>
      <c r="F715" s="1"/>
      <c r="G715" s="1"/>
    </row>
    <row r="716" spans="2:7" x14ac:dyDescent="0.25">
      <c r="B716" s="1"/>
      <c r="C716" s="1"/>
      <c r="D716" s="1"/>
      <c r="E716" s="1"/>
      <c r="F716" s="1"/>
      <c r="G716" s="1"/>
    </row>
    <row r="717" spans="2:7" x14ac:dyDescent="0.25">
      <c r="B717" s="1"/>
      <c r="C717" s="1"/>
      <c r="D717" s="1"/>
      <c r="E717" s="1"/>
      <c r="F717" s="1"/>
      <c r="G717" s="1"/>
    </row>
    <row r="718" spans="2:7" x14ac:dyDescent="0.25">
      <c r="B718" s="1"/>
      <c r="C718" s="1"/>
      <c r="D718" s="1"/>
      <c r="E718" s="1"/>
      <c r="F718" s="1"/>
      <c r="G718" s="1"/>
    </row>
    <row r="719" spans="2:7" x14ac:dyDescent="0.25">
      <c r="B719" s="1"/>
      <c r="C719" s="1"/>
      <c r="D719" s="1"/>
      <c r="E719" s="1"/>
      <c r="F719" s="1"/>
      <c r="G719" s="1"/>
    </row>
    <row r="720" spans="2:7" x14ac:dyDescent="0.25">
      <c r="B720" s="1"/>
      <c r="C720" s="1"/>
      <c r="D720" s="1"/>
      <c r="E720" s="1"/>
      <c r="F720" s="1"/>
      <c r="G720" s="1"/>
    </row>
    <row r="721" spans="2:7" x14ac:dyDescent="0.25">
      <c r="B721" s="1"/>
      <c r="C721" s="1"/>
      <c r="D721" s="1"/>
      <c r="E721" s="1"/>
      <c r="F721" s="1"/>
      <c r="G721" s="1"/>
    </row>
    <row r="722" spans="2:7" x14ac:dyDescent="0.25">
      <c r="B722" s="1"/>
      <c r="C722" s="1"/>
      <c r="D722" s="1"/>
      <c r="E722" s="1"/>
      <c r="F722" s="1"/>
      <c r="G722" s="1"/>
    </row>
    <row r="723" spans="2:7" x14ac:dyDescent="0.25">
      <c r="B723" s="1"/>
      <c r="C723" s="1"/>
      <c r="D723" s="1"/>
      <c r="E723" s="1"/>
      <c r="F723" s="1"/>
      <c r="G723" s="1"/>
    </row>
    <row r="724" spans="2:7" x14ac:dyDescent="0.25">
      <c r="B724" s="1"/>
      <c r="C724" s="1"/>
      <c r="D724" s="1"/>
      <c r="E724" s="1"/>
      <c r="F724" s="1"/>
      <c r="G724" s="1"/>
    </row>
    <row r="725" spans="2:7" x14ac:dyDescent="0.25">
      <c r="B725" s="1"/>
      <c r="C725" s="1"/>
      <c r="D725" s="1"/>
      <c r="E725" s="1"/>
      <c r="F725" s="1"/>
      <c r="G725" s="1"/>
    </row>
    <row r="726" spans="2:7" x14ac:dyDescent="0.25">
      <c r="B726" s="1"/>
      <c r="C726" s="1"/>
      <c r="D726" s="1"/>
      <c r="E726" s="1"/>
      <c r="F726" s="1"/>
      <c r="G726" s="1"/>
    </row>
    <row r="727" spans="2:7" x14ac:dyDescent="0.25">
      <c r="B727" s="1"/>
      <c r="C727" s="1"/>
      <c r="D727" s="1"/>
      <c r="E727" s="1"/>
      <c r="F727" s="1"/>
      <c r="G727" s="1"/>
    </row>
    <row r="728" spans="2:7" x14ac:dyDescent="0.25">
      <c r="B728" s="1"/>
      <c r="C728" s="1"/>
      <c r="D728" s="1"/>
      <c r="E728" s="1"/>
      <c r="F728" s="1"/>
      <c r="G728" s="1"/>
    </row>
    <row r="729" spans="2:7" x14ac:dyDescent="0.25">
      <c r="B729" s="1"/>
      <c r="C729" s="1"/>
      <c r="D729" s="1"/>
      <c r="E729" s="1"/>
      <c r="F729" s="1"/>
      <c r="G729" s="1"/>
    </row>
    <row r="730" spans="2:7" x14ac:dyDescent="0.25">
      <c r="B730" s="1"/>
      <c r="C730" s="1"/>
      <c r="D730" s="1"/>
      <c r="E730" s="1"/>
      <c r="F730" s="1"/>
      <c r="G730" s="1"/>
    </row>
    <row r="731" spans="2:7" x14ac:dyDescent="0.25">
      <c r="B731" s="1"/>
      <c r="C731" s="1"/>
      <c r="D731" s="1"/>
      <c r="E731" s="1"/>
      <c r="F731" s="1"/>
      <c r="G731" s="1"/>
    </row>
    <row r="732" spans="2:7" x14ac:dyDescent="0.25">
      <c r="B732" s="1"/>
      <c r="C732" s="1"/>
      <c r="D732" s="1"/>
      <c r="E732" s="1"/>
      <c r="F732" s="1"/>
      <c r="G732" s="1"/>
    </row>
    <row r="733" spans="2:7" x14ac:dyDescent="0.25">
      <c r="B733" s="1"/>
      <c r="C733" s="1"/>
      <c r="D733" s="1"/>
      <c r="E733" s="1"/>
      <c r="F733" s="1"/>
      <c r="G733" s="1"/>
    </row>
    <row r="734" spans="2:7" x14ac:dyDescent="0.25">
      <c r="B734" s="1"/>
      <c r="C734" s="1"/>
      <c r="D734" s="1"/>
      <c r="E734" s="1"/>
      <c r="F734" s="1"/>
      <c r="G734" s="1"/>
    </row>
    <row r="735" spans="2:7" x14ac:dyDescent="0.25">
      <c r="B735" s="1"/>
      <c r="C735" s="1"/>
      <c r="D735" s="1"/>
      <c r="E735" s="1"/>
      <c r="F735" s="1"/>
      <c r="G735" s="1"/>
    </row>
    <row r="736" spans="2:7" x14ac:dyDescent="0.25">
      <c r="B736" s="1"/>
      <c r="C736" s="1"/>
      <c r="D736" s="1"/>
      <c r="E736" s="1"/>
      <c r="F736" s="1"/>
      <c r="G736" s="1"/>
    </row>
    <row r="737" spans="2:7" x14ac:dyDescent="0.25">
      <c r="B737" s="1"/>
      <c r="C737" s="1"/>
      <c r="D737" s="1"/>
      <c r="E737" s="1"/>
      <c r="F737" s="1"/>
      <c r="G737" s="1"/>
    </row>
    <row r="738" spans="2:7" x14ac:dyDescent="0.25">
      <c r="B738" s="1"/>
      <c r="C738" s="1"/>
      <c r="D738" s="1"/>
      <c r="E738" s="1"/>
      <c r="F738" s="1"/>
      <c r="G738" s="1"/>
    </row>
    <row r="739" spans="2:7" x14ac:dyDescent="0.25">
      <c r="B739" s="1"/>
      <c r="C739" s="1"/>
      <c r="D739" s="1"/>
      <c r="E739" s="1"/>
      <c r="F739" s="1"/>
      <c r="G739" s="1"/>
    </row>
    <row r="740" spans="2:7" x14ac:dyDescent="0.25">
      <c r="B740" s="1"/>
      <c r="C740" s="1"/>
      <c r="D740" s="1"/>
      <c r="E740" s="1"/>
      <c r="F740" s="1"/>
      <c r="G740" s="1"/>
    </row>
    <row r="741" spans="2:7" x14ac:dyDescent="0.25">
      <c r="B741" s="1"/>
      <c r="C741" s="1"/>
      <c r="D741" s="1"/>
      <c r="E741" s="1"/>
      <c r="F741" s="1"/>
      <c r="G741" s="1"/>
    </row>
    <row r="742" spans="2:7" x14ac:dyDescent="0.25">
      <c r="B742" s="1"/>
      <c r="C742" s="1"/>
      <c r="D742" s="1"/>
      <c r="E742" s="1"/>
      <c r="F742" s="1"/>
      <c r="G742" s="1"/>
    </row>
    <row r="743" spans="2:7" x14ac:dyDescent="0.25">
      <c r="B743" s="1"/>
      <c r="C743" s="1"/>
      <c r="D743" s="1"/>
      <c r="E743" s="1"/>
      <c r="F743" s="1"/>
      <c r="G743" s="1"/>
    </row>
    <row r="744" spans="2:7" x14ac:dyDescent="0.25">
      <c r="B744" s="1"/>
      <c r="C744" s="1"/>
      <c r="D744" s="1"/>
      <c r="E744" s="1"/>
      <c r="F744" s="1"/>
      <c r="G744" s="1"/>
    </row>
    <row r="745" spans="2:7" x14ac:dyDescent="0.25">
      <c r="B745" s="1"/>
      <c r="C745" s="1"/>
      <c r="D745" s="1"/>
      <c r="E745" s="1"/>
      <c r="F745" s="1"/>
      <c r="G745" s="1"/>
    </row>
    <row r="746" spans="2:7" x14ac:dyDescent="0.25">
      <c r="B746" s="1"/>
      <c r="C746" s="1"/>
      <c r="D746" s="1"/>
      <c r="E746" s="1"/>
      <c r="F746" s="1"/>
      <c r="G746" s="1"/>
    </row>
    <row r="747" spans="2:7" x14ac:dyDescent="0.25">
      <c r="B747" s="1"/>
      <c r="C747" s="1"/>
      <c r="D747" s="1"/>
      <c r="E747" s="1"/>
      <c r="F747" s="1"/>
      <c r="G747" s="1"/>
    </row>
    <row r="748" spans="2:7" x14ac:dyDescent="0.25">
      <c r="B748" s="1"/>
      <c r="C748" s="1"/>
      <c r="D748" s="1"/>
      <c r="E748" s="1"/>
      <c r="F748" s="1"/>
      <c r="G748" s="1"/>
    </row>
    <row r="749" spans="2:7" x14ac:dyDescent="0.25">
      <c r="B749" s="1"/>
      <c r="C749" s="1"/>
      <c r="D749" s="1"/>
      <c r="E749" s="1"/>
      <c r="F749" s="1"/>
      <c r="G749" s="1"/>
    </row>
    <row r="750" spans="2:7" x14ac:dyDescent="0.25">
      <c r="B750" s="1"/>
      <c r="C750" s="1"/>
      <c r="D750" s="1"/>
      <c r="E750" s="1"/>
      <c r="F750" s="1"/>
      <c r="G750" s="1"/>
    </row>
    <row r="751" spans="2:7" x14ac:dyDescent="0.25">
      <c r="B751" s="1"/>
      <c r="C751" s="1"/>
      <c r="D751" s="1"/>
      <c r="E751" s="1"/>
      <c r="F751" s="1"/>
      <c r="G751" s="1"/>
    </row>
    <row r="752" spans="2:7" x14ac:dyDescent="0.25">
      <c r="B752" s="1"/>
      <c r="C752" s="1"/>
      <c r="D752" s="1"/>
      <c r="E752" s="1"/>
      <c r="F752" s="1"/>
      <c r="G752" s="1"/>
    </row>
    <row r="753" spans="2:7" x14ac:dyDescent="0.25">
      <c r="B753" s="1"/>
      <c r="C753" s="1"/>
      <c r="D753" s="1"/>
      <c r="E753" s="1"/>
      <c r="F753" s="1"/>
      <c r="G753" s="1"/>
    </row>
    <row r="754" spans="2:7" x14ac:dyDescent="0.25">
      <c r="B754" s="1"/>
      <c r="C754" s="1"/>
      <c r="D754" s="1"/>
      <c r="E754" s="1"/>
      <c r="F754" s="1"/>
      <c r="G754" s="1"/>
    </row>
    <row r="755" spans="2:7" x14ac:dyDescent="0.25">
      <c r="B755" s="1"/>
      <c r="C755" s="1"/>
      <c r="D755" s="1"/>
      <c r="E755" s="1"/>
      <c r="F755" s="1"/>
      <c r="G755" s="1"/>
    </row>
    <row r="756" spans="2:7" x14ac:dyDescent="0.25">
      <c r="B756" s="1"/>
      <c r="C756" s="1"/>
      <c r="D756" s="1"/>
      <c r="E756" s="1"/>
      <c r="F756" s="1"/>
      <c r="G756" s="1"/>
    </row>
    <row r="757" spans="2:7" x14ac:dyDescent="0.25">
      <c r="B757" s="1"/>
      <c r="C757" s="1"/>
      <c r="D757" s="1"/>
      <c r="E757" s="1"/>
      <c r="F757" s="1"/>
      <c r="G757" s="1"/>
    </row>
    <row r="758" spans="2:7" x14ac:dyDescent="0.25">
      <c r="B758" s="1"/>
      <c r="C758" s="1"/>
      <c r="D758" s="1"/>
      <c r="E758" s="1"/>
      <c r="F758" s="1"/>
      <c r="G758" s="1"/>
    </row>
    <row r="759" spans="2:7" x14ac:dyDescent="0.25">
      <c r="B759" s="1"/>
      <c r="C759" s="1"/>
      <c r="D759" s="1"/>
      <c r="E759" s="1"/>
      <c r="F759" s="1"/>
      <c r="G759" s="1"/>
    </row>
    <row r="760" spans="2:7" x14ac:dyDescent="0.25">
      <c r="B760" s="1"/>
      <c r="C760" s="1"/>
      <c r="D760" s="1"/>
      <c r="E760" s="1"/>
      <c r="F760" s="1"/>
      <c r="G760" s="1"/>
    </row>
    <row r="761" spans="2:7" x14ac:dyDescent="0.25">
      <c r="B761" s="1"/>
      <c r="C761" s="1"/>
      <c r="D761" s="1"/>
      <c r="E761" s="1"/>
      <c r="F761" s="1"/>
      <c r="G761" s="1"/>
    </row>
    <row r="762" spans="2:7" x14ac:dyDescent="0.25">
      <c r="B762" s="1"/>
      <c r="C762" s="1"/>
      <c r="D762" s="1"/>
      <c r="E762" s="1"/>
      <c r="F762" s="1"/>
      <c r="G762" s="1"/>
    </row>
    <row r="763" spans="2:7" x14ac:dyDescent="0.25">
      <c r="B763" s="1"/>
      <c r="C763" s="1"/>
      <c r="D763" s="1"/>
      <c r="E763" s="1"/>
      <c r="F763" s="1"/>
      <c r="G763" s="1"/>
    </row>
    <row r="764" spans="2:7" x14ac:dyDescent="0.25">
      <c r="B764" s="1"/>
      <c r="C764" s="1"/>
      <c r="D764" s="1"/>
      <c r="E764" s="1"/>
      <c r="F764" s="1"/>
      <c r="G764" s="1"/>
    </row>
    <row r="765" spans="2:7" x14ac:dyDescent="0.25">
      <c r="B765" s="1"/>
      <c r="C765" s="1"/>
      <c r="D765" s="1"/>
      <c r="E765" s="1"/>
      <c r="F765" s="1"/>
      <c r="G765" s="1"/>
    </row>
    <row r="766" spans="2:7" x14ac:dyDescent="0.25">
      <c r="B766" s="1"/>
      <c r="C766" s="1"/>
      <c r="D766" s="1"/>
      <c r="E766" s="1"/>
      <c r="F766" s="1"/>
      <c r="G766" s="1"/>
    </row>
    <row r="767" spans="2:7" x14ac:dyDescent="0.25">
      <c r="B767" s="1"/>
      <c r="C767" s="1"/>
      <c r="D767" s="1"/>
      <c r="E767" s="1"/>
      <c r="F767" s="1"/>
      <c r="G767" s="1"/>
    </row>
    <row r="768" spans="2:7" x14ac:dyDescent="0.25">
      <c r="B768" s="1"/>
      <c r="C768" s="1"/>
      <c r="D768" s="1"/>
      <c r="E768" s="1"/>
      <c r="F768" s="1"/>
      <c r="G768" s="1"/>
    </row>
    <row r="769" spans="2:7" x14ac:dyDescent="0.25">
      <c r="B769" s="1"/>
      <c r="C769" s="1"/>
      <c r="D769" s="1"/>
      <c r="E769" s="1"/>
      <c r="F769" s="1"/>
      <c r="G769" s="1"/>
    </row>
    <row r="770" spans="2:7" x14ac:dyDescent="0.25">
      <c r="B770" s="1"/>
      <c r="C770" s="1"/>
      <c r="D770" s="1"/>
      <c r="E770" s="1"/>
      <c r="F770" s="1"/>
      <c r="G770" s="1"/>
    </row>
    <row r="771" spans="2:7" x14ac:dyDescent="0.25">
      <c r="B771" s="1"/>
      <c r="C771" s="1"/>
      <c r="D771" s="1"/>
      <c r="E771" s="1"/>
      <c r="F771" s="1"/>
      <c r="G771" s="1"/>
    </row>
    <row r="772" spans="2:7" x14ac:dyDescent="0.25">
      <c r="B772" s="1"/>
      <c r="C772" s="1"/>
      <c r="D772" s="1"/>
      <c r="E772" s="1"/>
      <c r="F772" s="1"/>
      <c r="G772" s="1"/>
    </row>
    <row r="773" spans="2:7" x14ac:dyDescent="0.25">
      <c r="B773" s="1"/>
      <c r="C773" s="1"/>
      <c r="D773" s="1"/>
      <c r="E773" s="1"/>
      <c r="F773" s="1"/>
      <c r="G773" s="1"/>
    </row>
    <row r="774" spans="2:7" x14ac:dyDescent="0.25">
      <c r="B774" s="1"/>
      <c r="C774" s="1"/>
      <c r="D774" s="1"/>
      <c r="E774" s="1"/>
      <c r="F774" s="1"/>
      <c r="G774" s="1"/>
    </row>
    <row r="775" spans="2:7" x14ac:dyDescent="0.25">
      <c r="B775" s="1"/>
      <c r="C775" s="1"/>
      <c r="D775" s="1"/>
      <c r="E775" s="1"/>
      <c r="F775" s="1"/>
      <c r="G775" s="1"/>
    </row>
    <row r="776" spans="2:7" x14ac:dyDescent="0.25">
      <c r="B776" s="1"/>
      <c r="C776" s="1"/>
      <c r="D776" s="1"/>
      <c r="E776" s="1"/>
      <c r="F776" s="1"/>
      <c r="G776" s="1"/>
    </row>
    <row r="777" spans="2:7" x14ac:dyDescent="0.25">
      <c r="B777" s="1"/>
      <c r="C777" s="1"/>
      <c r="D777" s="1"/>
      <c r="E777" s="1"/>
      <c r="F777" s="1"/>
      <c r="G777" s="1"/>
    </row>
    <row r="778" spans="2:7" x14ac:dyDescent="0.25">
      <c r="B778" s="1"/>
      <c r="C778" s="1"/>
      <c r="D778" s="1"/>
      <c r="E778" s="1"/>
      <c r="F778" s="1"/>
      <c r="G778" s="1"/>
    </row>
    <row r="779" spans="2:7" x14ac:dyDescent="0.25">
      <c r="B779" s="1"/>
      <c r="C779" s="1"/>
      <c r="D779" s="1"/>
      <c r="E779" s="1"/>
      <c r="F779" s="1"/>
      <c r="G779" s="1"/>
    </row>
    <row r="780" spans="2:7" x14ac:dyDescent="0.25">
      <c r="B780" s="1"/>
      <c r="C780" s="1"/>
      <c r="D780" s="1"/>
      <c r="E780" s="1"/>
      <c r="F780" s="1"/>
      <c r="G780" s="1"/>
    </row>
    <row r="781" spans="2:7" x14ac:dyDescent="0.25">
      <c r="B781" s="1"/>
      <c r="C781" s="1"/>
      <c r="D781" s="1"/>
      <c r="E781" s="1"/>
      <c r="F781" s="1"/>
      <c r="G781" s="1"/>
    </row>
    <row r="782" spans="2:7" x14ac:dyDescent="0.25">
      <c r="B782" s="1"/>
      <c r="C782" s="1"/>
      <c r="D782" s="1"/>
      <c r="E782" s="1"/>
      <c r="F782" s="1"/>
      <c r="G782" s="1"/>
    </row>
    <row r="783" spans="2:7" x14ac:dyDescent="0.25">
      <c r="B783" s="1"/>
      <c r="C783" s="1"/>
      <c r="D783" s="1"/>
      <c r="E783" s="1"/>
      <c r="F783" s="1"/>
      <c r="G783" s="1"/>
    </row>
    <row r="784" spans="2:7" x14ac:dyDescent="0.25">
      <c r="B784" s="1"/>
      <c r="C784" s="1"/>
      <c r="D784" s="1"/>
      <c r="E784" s="1"/>
      <c r="F784" s="1"/>
      <c r="G784" s="1"/>
    </row>
    <row r="785" spans="2:7" x14ac:dyDescent="0.25">
      <c r="B785" s="1"/>
      <c r="C785" s="1"/>
      <c r="D785" s="1"/>
      <c r="E785" s="1"/>
      <c r="F785" s="1"/>
      <c r="G785" s="1"/>
    </row>
    <row r="786" spans="2:7" x14ac:dyDescent="0.25">
      <c r="B786" s="1"/>
      <c r="C786" s="1"/>
      <c r="D786" s="1"/>
      <c r="E786" s="1"/>
      <c r="F786" s="1"/>
      <c r="G786" s="1"/>
    </row>
    <row r="787" spans="2:7" x14ac:dyDescent="0.25">
      <c r="B787" s="1"/>
      <c r="C787" s="1"/>
      <c r="D787" s="1"/>
      <c r="E787" s="1"/>
      <c r="F787" s="1"/>
      <c r="G787" s="1"/>
    </row>
    <row r="788" spans="2:7" x14ac:dyDescent="0.25">
      <c r="B788" s="1"/>
      <c r="C788" s="1"/>
      <c r="D788" s="1"/>
      <c r="E788" s="1"/>
      <c r="F788" s="1"/>
      <c r="G788" s="1"/>
    </row>
    <row r="789" spans="2:7" x14ac:dyDescent="0.25">
      <c r="B789" s="1"/>
      <c r="C789" s="1"/>
      <c r="D789" s="1"/>
      <c r="E789" s="1"/>
      <c r="F789" s="1"/>
      <c r="G789" s="1"/>
    </row>
    <row r="790" spans="2:7" x14ac:dyDescent="0.25">
      <c r="B790" s="1"/>
      <c r="C790" s="1"/>
      <c r="D790" s="1"/>
      <c r="E790" s="1"/>
      <c r="F790" s="1"/>
      <c r="G790" s="1"/>
    </row>
    <row r="791" spans="2:7" x14ac:dyDescent="0.25">
      <c r="B791" s="1"/>
      <c r="C791" s="1"/>
      <c r="D791" s="1"/>
      <c r="E791" s="1"/>
      <c r="F791" s="1"/>
      <c r="G791" s="1"/>
    </row>
    <row r="792" spans="2:7" x14ac:dyDescent="0.25">
      <c r="B792" s="1"/>
      <c r="C792" s="1"/>
      <c r="D792" s="1"/>
      <c r="E792" s="1"/>
      <c r="F792" s="1"/>
      <c r="G792" s="1"/>
    </row>
    <row r="793" spans="2:7" x14ac:dyDescent="0.25">
      <c r="B793" s="1"/>
      <c r="C793" s="1"/>
      <c r="D793" s="1"/>
      <c r="E793" s="1"/>
      <c r="F793" s="1"/>
      <c r="G793" s="1"/>
    </row>
    <row r="794" spans="2:7" x14ac:dyDescent="0.25">
      <c r="B794" s="1"/>
      <c r="C794" s="1"/>
      <c r="D794" s="1"/>
      <c r="E794" s="1"/>
      <c r="F794" s="1"/>
      <c r="G794" s="1"/>
    </row>
    <row r="795" spans="2:7" x14ac:dyDescent="0.25">
      <c r="B795" s="1"/>
      <c r="C795" s="1"/>
      <c r="D795" s="1"/>
      <c r="E795" s="1"/>
      <c r="F795" s="1"/>
      <c r="G795" s="1"/>
    </row>
    <row r="796" spans="2:7" x14ac:dyDescent="0.25">
      <c r="B796" s="1"/>
      <c r="C796" s="1"/>
      <c r="D796" s="1"/>
      <c r="E796" s="1"/>
      <c r="F796" s="1"/>
      <c r="G796" s="1"/>
    </row>
    <row r="797" spans="2:7" x14ac:dyDescent="0.25">
      <c r="B797" s="1"/>
      <c r="C797" s="1"/>
      <c r="D797" s="1"/>
      <c r="E797" s="1"/>
      <c r="F797" s="1"/>
      <c r="G797" s="1"/>
    </row>
    <row r="798" spans="2:7" x14ac:dyDescent="0.25">
      <c r="B798" s="1"/>
      <c r="C798" s="1"/>
      <c r="D798" s="1"/>
      <c r="E798" s="1"/>
      <c r="F798" s="1"/>
      <c r="G798" s="1"/>
    </row>
    <row r="799" spans="2:7" x14ac:dyDescent="0.25">
      <c r="B799" s="1"/>
      <c r="C799" s="1"/>
      <c r="D799" s="1"/>
      <c r="E799" s="1"/>
      <c r="F799" s="1"/>
      <c r="G799" s="1"/>
    </row>
    <row r="800" spans="2:7" x14ac:dyDescent="0.25">
      <c r="B800" s="1"/>
      <c r="C800" s="1"/>
      <c r="D800" s="1"/>
      <c r="E800" s="1"/>
      <c r="F800" s="1"/>
      <c r="G800" s="1"/>
    </row>
    <row r="801" spans="2:7" x14ac:dyDescent="0.25">
      <c r="B801" s="1"/>
      <c r="C801" s="1"/>
      <c r="D801" s="1"/>
      <c r="E801" s="1"/>
      <c r="F801" s="1"/>
      <c r="G801" s="1"/>
    </row>
    <row r="802" spans="2:7" x14ac:dyDescent="0.25">
      <c r="B802" s="1"/>
      <c r="C802" s="1"/>
      <c r="D802" s="1"/>
      <c r="E802" s="1"/>
      <c r="F802" s="1"/>
      <c r="G802" s="1"/>
    </row>
    <row r="803" spans="2:7" x14ac:dyDescent="0.25">
      <c r="B803" s="1"/>
      <c r="C803" s="1"/>
      <c r="D803" s="1"/>
      <c r="E803" s="1"/>
      <c r="F803" s="1"/>
      <c r="G803" s="1"/>
    </row>
    <row r="804" spans="2:7" x14ac:dyDescent="0.25">
      <c r="B804" s="1"/>
      <c r="C804" s="1"/>
      <c r="D804" s="1"/>
      <c r="E804" s="1"/>
      <c r="F804" s="1"/>
      <c r="G804" s="1"/>
    </row>
    <row r="805" spans="2:7" x14ac:dyDescent="0.25">
      <c r="B805" s="1"/>
      <c r="C805" s="1"/>
      <c r="D805" s="1"/>
      <c r="E805" s="1"/>
      <c r="F805" s="1"/>
      <c r="G805" s="1"/>
    </row>
    <row r="806" spans="2:7" x14ac:dyDescent="0.25">
      <c r="B806" s="1"/>
      <c r="C806" s="1"/>
      <c r="D806" s="1"/>
      <c r="E806" s="1"/>
      <c r="F806" s="1"/>
      <c r="G806" s="1"/>
    </row>
    <row r="807" spans="2:7" x14ac:dyDescent="0.25">
      <c r="B807" s="1"/>
      <c r="C807" s="1"/>
      <c r="D807" s="1"/>
      <c r="E807" s="1"/>
      <c r="F807" s="1"/>
      <c r="G807" s="1"/>
    </row>
    <row r="808" spans="2:7" x14ac:dyDescent="0.25">
      <c r="B808" s="1"/>
      <c r="C808" s="1"/>
      <c r="D808" s="1"/>
      <c r="E808" s="1"/>
      <c r="F808" s="1"/>
      <c r="G808" s="1"/>
    </row>
    <row r="809" spans="2:7" x14ac:dyDescent="0.25">
      <c r="B809" s="1"/>
      <c r="C809" s="1"/>
      <c r="D809" s="1"/>
      <c r="E809" s="1"/>
      <c r="F809" s="1"/>
      <c r="G809" s="1"/>
    </row>
    <row r="810" spans="2:7" x14ac:dyDescent="0.25">
      <c r="B810" s="1"/>
      <c r="C810" s="1"/>
      <c r="D810" s="1"/>
      <c r="E810" s="1"/>
      <c r="F810" s="1"/>
      <c r="G810" s="1"/>
    </row>
    <row r="811" spans="2:7" x14ac:dyDescent="0.25">
      <c r="B811" s="1"/>
      <c r="C811" s="1"/>
      <c r="D811" s="1"/>
      <c r="E811" s="1"/>
      <c r="F811" s="1"/>
      <c r="G811" s="1"/>
    </row>
    <row r="812" spans="2:7" x14ac:dyDescent="0.25">
      <c r="B812" s="1"/>
      <c r="C812" s="1"/>
      <c r="D812" s="1"/>
      <c r="E812" s="1"/>
      <c r="F812" s="1"/>
      <c r="G812" s="1"/>
    </row>
    <row r="813" spans="2:7" x14ac:dyDescent="0.25">
      <c r="B813" s="1"/>
      <c r="C813" s="1"/>
      <c r="D813" s="1"/>
      <c r="E813" s="1"/>
      <c r="F813" s="1"/>
      <c r="G813" s="1"/>
    </row>
    <row r="814" spans="2:7" x14ac:dyDescent="0.25">
      <c r="B814" s="1"/>
      <c r="C814" s="1"/>
      <c r="D814" s="1"/>
      <c r="E814" s="1"/>
      <c r="F814" s="1"/>
      <c r="G814" s="1"/>
    </row>
    <row r="815" spans="2:7" x14ac:dyDescent="0.25">
      <c r="B815" s="1"/>
      <c r="C815" s="1"/>
      <c r="D815" s="1"/>
      <c r="E815" s="1"/>
      <c r="F815" s="1"/>
      <c r="G815" s="1"/>
    </row>
    <row r="816" spans="2:7" x14ac:dyDescent="0.25">
      <c r="B816" s="1"/>
      <c r="C816" s="1"/>
      <c r="D816" s="1"/>
      <c r="E816" s="1"/>
      <c r="F816" s="1"/>
      <c r="G816" s="1"/>
    </row>
    <row r="817" spans="2:7" x14ac:dyDescent="0.25">
      <c r="B817" s="1"/>
      <c r="C817" s="1"/>
      <c r="D817" s="1"/>
      <c r="E817" s="1"/>
      <c r="F817" s="1"/>
      <c r="G817" s="1"/>
    </row>
    <row r="818" spans="2:7" x14ac:dyDescent="0.25">
      <c r="B818" s="1"/>
      <c r="C818" s="1"/>
      <c r="D818" s="1"/>
      <c r="E818" s="1"/>
      <c r="F818" s="1"/>
      <c r="G818" s="1"/>
    </row>
    <row r="819" spans="2:7" x14ac:dyDescent="0.25">
      <c r="B819" s="1"/>
      <c r="C819" s="1"/>
      <c r="D819" s="1"/>
      <c r="E819" s="1"/>
      <c r="F819" s="1"/>
      <c r="G819" s="1"/>
    </row>
    <row r="820" spans="2:7" x14ac:dyDescent="0.25">
      <c r="B820" s="1"/>
      <c r="C820" s="1"/>
      <c r="D820" s="1"/>
      <c r="E820" s="1"/>
      <c r="F820" s="1"/>
      <c r="G820" s="1"/>
    </row>
    <row r="821" spans="2:7" x14ac:dyDescent="0.25">
      <c r="B821" s="1"/>
      <c r="C821" s="1"/>
      <c r="D821" s="1"/>
      <c r="E821" s="1"/>
      <c r="F821" s="1"/>
      <c r="G821" s="1"/>
    </row>
    <row r="822" spans="2:7" x14ac:dyDescent="0.25">
      <c r="B822" s="1"/>
      <c r="C822" s="1"/>
      <c r="D822" s="1"/>
      <c r="E822" s="1"/>
      <c r="F822" s="1"/>
      <c r="G822" s="1"/>
    </row>
    <row r="823" spans="2:7" x14ac:dyDescent="0.25">
      <c r="B823" s="1"/>
      <c r="C823" s="1"/>
      <c r="D823" s="1"/>
      <c r="E823" s="1"/>
      <c r="F823" s="1"/>
      <c r="G823" s="1"/>
    </row>
    <row r="824" spans="2:7" x14ac:dyDescent="0.25">
      <c r="B824" s="1"/>
      <c r="C824" s="1"/>
      <c r="D824" s="1"/>
      <c r="E824" s="1"/>
      <c r="F824" s="1"/>
      <c r="G824" s="1"/>
    </row>
    <row r="825" spans="2:7" x14ac:dyDescent="0.25">
      <c r="B825" s="1"/>
      <c r="C825" s="1"/>
      <c r="D825" s="1"/>
      <c r="E825" s="1"/>
      <c r="F825" s="1"/>
      <c r="G825" s="1"/>
    </row>
    <row r="826" spans="2:7" x14ac:dyDescent="0.25">
      <c r="B826" s="1"/>
      <c r="C826" s="1"/>
      <c r="D826" s="1"/>
      <c r="E826" s="1"/>
      <c r="F826" s="1"/>
      <c r="G826" s="1"/>
    </row>
    <row r="827" spans="2:7" x14ac:dyDescent="0.25">
      <c r="B827" s="1"/>
      <c r="C827" s="1"/>
      <c r="D827" s="1"/>
      <c r="E827" s="1"/>
      <c r="F827" s="1"/>
      <c r="G827" s="1"/>
    </row>
    <row r="828" spans="2:7" x14ac:dyDescent="0.25">
      <c r="B828" s="1"/>
      <c r="C828" s="1"/>
      <c r="D828" s="1"/>
      <c r="E828" s="1"/>
      <c r="F828" s="1"/>
      <c r="G828" s="1"/>
    </row>
    <row r="829" spans="2:7" x14ac:dyDescent="0.25">
      <c r="B829" s="1"/>
      <c r="C829" s="1"/>
      <c r="D829" s="1"/>
      <c r="E829" s="1"/>
      <c r="F829" s="1"/>
      <c r="G829" s="1"/>
    </row>
    <row r="830" spans="2:7" x14ac:dyDescent="0.25">
      <c r="B830" s="1"/>
      <c r="C830" s="1"/>
      <c r="D830" s="1"/>
      <c r="E830" s="1"/>
      <c r="F830" s="1"/>
      <c r="G830" s="1"/>
    </row>
    <row r="831" spans="2:7" x14ac:dyDescent="0.25">
      <c r="B831" s="1"/>
      <c r="C831" s="1"/>
      <c r="D831" s="1"/>
      <c r="E831" s="1"/>
      <c r="F831" s="1"/>
      <c r="G831" s="1"/>
    </row>
    <row r="832" spans="2:7" x14ac:dyDescent="0.25">
      <c r="B832" s="1"/>
      <c r="C832" s="1"/>
      <c r="D832" s="1"/>
      <c r="E832" s="1"/>
      <c r="F832" s="1"/>
      <c r="G832" s="1"/>
    </row>
    <row r="833" spans="2:7" x14ac:dyDescent="0.25">
      <c r="B833" s="1"/>
      <c r="C833" s="1"/>
      <c r="D833" s="1"/>
      <c r="E833" s="1"/>
      <c r="F833" s="1"/>
      <c r="G833" s="1"/>
    </row>
    <row r="834" spans="2:7" x14ac:dyDescent="0.25">
      <c r="B834" s="1"/>
      <c r="C834" s="1"/>
      <c r="D834" s="1"/>
      <c r="E834" s="1"/>
      <c r="F834" s="1"/>
      <c r="G834" s="1"/>
    </row>
    <row r="835" spans="2:7" x14ac:dyDescent="0.25">
      <c r="B835" s="1"/>
      <c r="C835" s="1"/>
      <c r="D835" s="1"/>
      <c r="E835" s="1"/>
      <c r="F835" s="1"/>
      <c r="G835" s="1"/>
    </row>
    <row r="836" spans="2:7" x14ac:dyDescent="0.25">
      <c r="B836" s="1"/>
      <c r="C836" s="1"/>
      <c r="D836" s="1"/>
      <c r="E836" s="1"/>
      <c r="F836" s="1"/>
      <c r="G836" s="1"/>
    </row>
    <row r="837" spans="2:7" x14ac:dyDescent="0.25">
      <c r="B837" s="1"/>
      <c r="C837" s="1"/>
      <c r="D837" s="1"/>
      <c r="E837" s="1"/>
      <c r="F837" s="1"/>
      <c r="G837" s="1"/>
    </row>
    <row r="838" spans="2:7" x14ac:dyDescent="0.25">
      <c r="B838" s="1"/>
      <c r="C838" s="1"/>
      <c r="D838" s="1"/>
      <c r="E838" s="1"/>
      <c r="F838" s="1"/>
      <c r="G838" s="1"/>
    </row>
    <row r="839" spans="2:7" x14ac:dyDescent="0.25">
      <c r="B839" s="1"/>
      <c r="C839" s="1"/>
      <c r="D839" s="1"/>
      <c r="E839" s="1"/>
      <c r="F839" s="1"/>
      <c r="G839" s="1"/>
    </row>
    <row r="840" spans="2:7" x14ac:dyDescent="0.25">
      <c r="B840" s="1"/>
      <c r="C840" s="1"/>
      <c r="D840" s="1"/>
      <c r="E840" s="1"/>
      <c r="F840" s="1"/>
      <c r="G840" s="1"/>
    </row>
    <row r="841" spans="2:7" x14ac:dyDescent="0.25">
      <c r="B841" s="1"/>
      <c r="C841" s="1"/>
      <c r="D841" s="1"/>
      <c r="E841" s="1"/>
      <c r="F841" s="1"/>
      <c r="G841" s="1"/>
    </row>
    <row r="842" spans="2:7" x14ac:dyDescent="0.25">
      <c r="B842" s="1"/>
      <c r="C842" s="1"/>
      <c r="D842" s="1"/>
      <c r="E842" s="1"/>
      <c r="F842" s="1"/>
      <c r="G842" s="1"/>
    </row>
    <row r="843" spans="2:7" x14ac:dyDescent="0.25">
      <c r="B843" s="1"/>
      <c r="C843" s="1"/>
      <c r="D843" s="1"/>
      <c r="E843" s="1"/>
      <c r="F843" s="1"/>
      <c r="G843" s="1"/>
    </row>
    <row r="844" spans="2:7" x14ac:dyDescent="0.25">
      <c r="B844" s="1"/>
      <c r="C844" s="1"/>
      <c r="D844" s="1"/>
      <c r="E844" s="1"/>
      <c r="F844" s="1"/>
      <c r="G844" s="1"/>
    </row>
    <row r="845" spans="2:7" x14ac:dyDescent="0.25">
      <c r="B845" s="1"/>
      <c r="C845" s="1"/>
      <c r="D845" s="1"/>
      <c r="E845" s="1"/>
      <c r="F845" s="1"/>
      <c r="G845" s="1"/>
    </row>
    <row r="846" spans="2:7" x14ac:dyDescent="0.25">
      <c r="B846" s="1"/>
      <c r="C846" s="1"/>
      <c r="D846" s="1"/>
      <c r="E846" s="1"/>
      <c r="F846" s="1"/>
      <c r="G846" s="1"/>
    </row>
    <row r="847" spans="2:7" x14ac:dyDescent="0.25">
      <c r="B847" s="1"/>
      <c r="C847" s="1"/>
      <c r="D847" s="1"/>
      <c r="E847" s="1"/>
      <c r="F847" s="1"/>
      <c r="G847" s="1"/>
    </row>
    <row r="848" spans="2:7" x14ac:dyDescent="0.25">
      <c r="B848" s="1"/>
      <c r="C848" s="1"/>
      <c r="D848" s="1"/>
      <c r="E848" s="1"/>
      <c r="F848" s="1"/>
      <c r="G848" s="1"/>
    </row>
    <row r="849" spans="2:7" x14ac:dyDescent="0.25">
      <c r="B849" s="1"/>
      <c r="C849" s="1"/>
      <c r="D849" s="1"/>
      <c r="E849" s="1"/>
      <c r="F849" s="1"/>
      <c r="G849" s="1"/>
    </row>
    <row r="850" spans="2:7" x14ac:dyDescent="0.25">
      <c r="B850" s="1"/>
      <c r="C850" s="1"/>
      <c r="D850" s="1"/>
      <c r="E850" s="1"/>
      <c r="F850" s="1"/>
      <c r="G850" s="1"/>
    </row>
    <row r="851" spans="2:7" x14ac:dyDescent="0.25">
      <c r="B851" s="1"/>
      <c r="C851" s="1"/>
      <c r="D851" s="1"/>
      <c r="E851" s="1"/>
      <c r="F851" s="1"/>
      <c r="G851" s="1"/>
    </row>
    <row r="852" spans="2:7" x14ac:dyDescent="0.25">
      <c r="B852" s="1"/>
      <c r="C852" s="1"/>
      <c r="D852" s="1"/>
      <c r="E852" s="1"/>
      <c r="F852" s="1"/>
      <c r="G852" s="1"/>
    </row>
    <row r="853" spans="2:7" x14ac:dyDescent="0.25">
      <c r="B853" s="1"/>
      <c r="C853" s="1"/>
      <c r="D853" s="1"/>
      <c r="E853" s="1"/>
      <c r="F853" s="1"/>
      <c r="G853" s="1"/>
    </row>
    <row r="854" spans="2:7" x14ac:dyDescent="0.25">
      <c r="B854" s="1"/>
      <c r="C854" s="1"/>
      <c r="D854" s="1"/>
      <c r="E854" s="1"/>
      <c r="F854" s="1"/>
      <c r="G854" s="1"/>
    </row>
    <row r="855" spans="2:7" x14ac:dyDescent="0.25">
      <c r="B855" s="1"/>
      <c r="C855" s="1"/>
      <c r="D855" s="1"/>
      <c r="E855" s="1"/>
      <c r="F855" s="1"/>
      <c r="G855" s="1"/>
    </row>
    <row r="856" spans="2:7" x14ac:dyDescent="0.25">
      <c r="B856" s="1"/>
      <c r="C856" s="1"/>
      <c r="D856" s="1"/>
      <c r="E856" s="1"/>
      <c r="F856" s="1"/>
      <c r="G856" s="1"/>
    </row>
    <row r="857" spans="2:7" x14ac:dyDescent="0.25">
      <c r="B857" s="1"/>
      <c r="C857" s="1"/>
      <c r="D857" s="1"/>
      <c r="E857" s="1"/>
      <c r="F857" s="1"/>
      <c r="G857" s="1"/>
    </row>
    <row r="858" spans="2:7" x14ac:dyDescent="0.25">
      <c r="B858" s="1"/>
      <c r="C858" s="1"/>
      <c r="D858" s="1"/>
      <c r="E858" s="1"/>
      <c r="F858" s="1"/>
      <c r="G858" s="1"/>
    </row>
    <row r="859" spans="2:7" x14ac:dyDescent="0.25">
      <c r="B859" s="1"/>
      <c r="C859" s="1"/>
      <c r="D859" s="1"/>
      <c r="E859" s="1"/>
      <c r="F859" s="1"/>
      <c r="G859" s="1"/>
    </row>
    <row r="860" spans="2:7" x14ac:dyDescent="0.25">
      <c r="B860" s="1"/>
      <c r="C860" s="1"/>
      <c r="D860" s="1"/>
      <c r="E860" s="1"/>
      <c r="F860" s="1"/>
      <c r="G860" s="1"/>
    </row>
    <row r="861" spans="2:7" x14ac:dyDescent="0.25">
      <c r="B861" s="1"/>
      <c r="C861" s="1"/>
      <c r="D861" s="1"/>
      <c r="E861" s="1"/>
      <c r="F861" s="1"/>
      <c r="G861" s="1"/>
    </row>
    <row r="862" spans="2:7" x14ac:dyDescent="0.25">
      <c r="B862" s="1"/>
      <c r="C862" s="1"/>
      <c r="D862" s="1"/>
      <c r="E862" s="1"/>
      <c r="F862" s="1"/>
      <c r="G862" s="1"/>
    </row>
    <row r="863" spans="2:7" x14ac:dyDescent="0.25">
      <c r="B863" s="1"/>
      <c r="C863" s="1"/>
      <c r="D863" s="1"/>
      <c r="E863" s="1"/>
      <c r="F863" s="1"/>
      <c r="G863" s="1"/>
    </row>
    <row r="864" spans="2:7" x14ac:dyDescent="0.25">
      <c r="B864" s="1"/>
      <c r="C864" s="1"/>
      <c r="D864" s="1"/>
      <c r="E864" s="1"/>
      <c r="F864" s="1"/>
      <c r="G864" s="1"/>
    </row>
    <row r="865" spans="2:7" x14ac:dyDescent="0.25">
      <c r="B865" s="1"/>
      <c r="C865" s="1"/>
      <c r="D865" s="1"/>
      <c r="E865" s="1"/>
      <c r="F865" s="1"/>
      <c r="G865" s="1"/>
    </row>
    <row r="866" spans="2:7" x14ac:dyDescent="0.25">
      <c r="B866" s="1"/>
      <c r="C866" s="1"/>
      <c r="D866" s="1"/>
      <c r="E866" s="1"/>
      <c r="F866" s="1"/>
      <c r="G866" s="1"/>
    </row>
    <row r="867" spans="2:7" x14ac:dyDescent="0.25">
      <c r="B867" s="1"/>
      <c r="C867" s="1"/>
      <c r="D867" s="1"/>
      <c r="E867" s="1"/>
      <c r="F867" s="1"/>
      <c r="G867" s="1"/>
    </row>
    <row r="868" spans="2:7" x14ac:dyDescent="0.25">
      <c r="B868" s="1"/>
      <c r="C868" s="1"/>
      <c r="D868" s="1"/>
      <c r="E868" s="1"/>
      <c r="F868" s="1"/>
      <c r="G868" s="1"/>
    </row>
    <row r="869" spans="2:7" x14ac:dyDescent="0.25">
      <c r="B869" s="1"/>
      <c r="C869" s="1"/>
      <c r="D869" s="1"/>
      <c r="E869" s="1"/>
      <c r="F869" s="1"/>
      <c r="G869" s="1"/>
    </row>
    <row r="870" spans="2:7" x14ac:dyDescent="0.25">
      <c r="B870" s="1"/>
      <c r="C870" s="1"/>
      <c r="D870" s="1"/>
      <c r="E870" s="1"/>
      <c r="F870" s="1"/>
      <c r="G870" s="1"/>
    </row>
    <row r="871" spans="2:7" x14ac:dyDescent="0.25">
      <c r="B871" s="1"/>
      <c r="C871" s="1"/>
      <c r="D871" s="1"/>
      <c r="E871" s="1"/>
      <c r="F871" s="1"/>
      <c r="G871" s="1"/>
    </row>
    <row r="872" spans="2:7" x14ac:dyDescent="0.25">
      <c r="B872" s="1"/>
      <c r="C872" s="1"/>
      <c r="D872" s="1"/>
      <c r="E872" s="1"/>
      <c r="F872" s="1"/>
      <c r="G872" s="1"/>
    </row>
    <row r="873" spans="2:7" x14ac:dyDescent="0.25">
      <c r="B873" s="1"/>
      <c r="C873" s="1"/>
      <c r="D873" s="1"/>
      <c r="E873" s="1"/>
      <c r="F873" s="1"/>
      <c r="G873" s="1"/>
    </row>
    <row r="874" spans="2:7" x14ac:dyDescent="0.25">
      <c r="B874" s="1"/>
      <c r="C874" s="1"/>
      <c r="D874" s="1"/>
      <c r="E874" s="1"/>
      <c r="F874" s="1"/>
      <c r="G874" s="1"/>
    </row>
    <row r="875" spans="2:7" x14ac:dyDescent="0.25">
      <c r="B875" s="1"/>
      <c r="C875" s="1"/>
      <c r="D875" s="1"/>
      <c r="E875" s="1"/>
      <c r="F875" s="1"/>
      <c r="G875" s="1"/>
    </row>
    <row r="876" spans="2:7" x14ac:dyDescent="0.25">
      <c r="B876" s="1"/>
      <c r="C876" s="1"/>
      <c r="D876" s="1"/>
      <c r="E876" s="1"/>
      <c r="F876" s="1"/>
      <c r="G876" s="1"/>
    </row>
    <row r="877" spans="2:7" x14ac:dyDescent="0.25">
      <c r="B877" s="1"/>
      <c r="C877" s="1"/>
      <c r="D877" s="1"/>
      <c r="E877" s="1"/>
      <c r="F877" s="1"/>
      <c r="G877" s="1"/>
    </row>
    <row r="878" spans="2:7" x14ac:dyDescent="0.25">
      <c r="B878" s="1"/>
      <c r="C878" s="1"/>
      <c r="D878" s="1"/>
      <c r="E878" s="1"/>
      <c r="F878" s="1"/>
      <c r="G878" s="1"/>
    </row>
    <row r="879" spans="2:7" x14ac:dyDescent="0.25">
      <c r="B879" s="1"/>
      <c r="C879" s="1"/>
      <c r="D879" s="1"/>
      <c r="E879" s="1"/>
      <c r="F879" s="1"/>
      <c r="G879" s="1"/>
    </row>
    <row r="880" spans="2:7" x14ac:dyDescent="0.25">
      <c r="B880" s="1"/>
      <c r="C880" s="1"/>
      <c r="D880" s="1"/>
      <c r="E880" s="1"/>
      <c r="F880" s="1"/>
      <c r="G880" s="1"/>
    </row>
    <row r="881" spans="2:7" x14ac:dyDescent="0.25">
      <c r="B881" s="1"/>
      <c r="C881" s="1"/>
      <c r="D881" s="1"/>
      <c r="E881" s="1"/>
      <c r="F881" s="1"/>
      <c r="G881" s="1"/>
    </row>
    <row r="882" spans="2:7" x14ac:dyDescent="0.25">
      <c r="B882" s="1"/>
      <c r="C882" s="1"/>
      <c r="D882" s="1"/>
      <c r="E882" s="1"/>
      <c r="F882" s="1"/>
      <c r="G882" s="1"/>
    </row>
    <row r="883" spans="2:7" x14ac:dyDescent="0.25">
      <c r="B883" s="1"/>
      <c r="C883" s="1"/>
      <c r="D883" s="1"/>
      <c r="E883" s="1"/>
      <c r="F883" s="1"/>
      <c r="G883" s="1"/>
    </row>
    <row r="884" spans="2:7" x14ac:dyDescent="0.25">
      <c r="B884" s="1"/>
      <c r="C884" s="1"/>
      <c r="D884" s="1"/>
      <c r="E884" s="1"/>
      <c r="F884" s="1"/>
      <c r="G884" s="1"/>
    </row>
    <row r="885" spans="2:7" x14ac:dyDescent="0.25">
      <c r="B885" s="1"/>
      <c r="C885" s="1"/>
      <c r="D885" s="1"/>
      <c r="E885" s="1"/>
      <c r="F885" s="1"/>
      <c r="G885" s="1"/>
    </row>
    <row r="886" spans="2:7" x14ac:dyDescent="0.25">
      <c r="B886" s="1"/>
      <c r="C886" s="1"/>
      <c r="D886" s="1"/>
      <c r="E886" s="1"/>
      <c r="F886" s="1"/>
      <c r="G886" s="1"/>
    </row>
    <row r="887" spans="2:7" x14ac:dyDescent="0.25">
      <c r="B887" s="1"/>
      <c r="C887" s="1"/>
      <c r="D887" s="1"/>
      <c r="E887" s="1"/>
      <c r="F887" s="1"/>
      <c r="G887" s="1"/>
    </row>
    <row r="888" spans="2:7" x14ac:dyDescent="0.25">
      <c r="B888" s="1"/>
      <c r="C888" s="1"/>
      <c r="D888" s="1"/>
      <c r="E888" s="1"/>
      <c r="F888" s="1"/>
      <c r="G888" s="1"/>
    </row>
    <row r="889" spans="2:7" x14ac:dyDescent="0.25">
      <c r="B889" s="1"/>
      <c r="C889" s="1"/>
      <c r="D889" s="1"/>
      <c r="E889" s="1"/>
      <c r="F889" s="1"/>
      <c r="G889" s="1"/>
    </row>
    <row r="890" spans="2:7" x14ac:dyDescent="0.25">
      <c r="B890" s="1"/>
      <c r="C890" s="1"/>
      <c r="D890" s="1"/>
      <c r="E890" s="1"/>
      <c r="F890" s="1"/>
      <c r="G890" s="1"/>
    </row>
    <row r="891" spans="2:7" x14ac:dyDescent="0.25">
      <c r="B891" s="1"/>
      <c r="C891" s="1"/>
      <c r="D891" s="1"/>
      <c r="E891" s="1"/>
      <c r="F891" s="1"/>
      <c r="G891" s="1"/>
    </row>
    <row r="892" spans="2:7" x14ac:dyDescent="0.25">
      <c r="B892" s="1"/>
      <c r="C892" s="1"/>
      <c r="D892" s="1"/>
      <c r="E892" s="1"/>
      <c r="F892" s="1"/>
      <c r="G892" s="1"/>
    </row>
    <row r="893" spans="2:7" x14ac:dyDescent="0.25">
      <c r="B893" s="1"/>
      <c r="C893" s="1"/>
      <c r="D893" s="1"/>
      <c r="E893" s="1"/>
      <c r="F893" s="1"/>
      <c r="G893" s="1"/>
    </row>
    <row r="894" spans="2:7" x14ac:dyDescent="0.25">
      <c r="B894" s="1"/>
      <c r="C894" s="1"/>
      <c r="D894" s="1"/>
      <c r="E894" s="1"/>
      <c r="F894" s="1"/>
      <c r="G894" s="1"/>
    </row>
    <row r="895" spans="2:7" x14ac:dyDescent="0.25">
      <c r="B895" s="1"/>
      <c r="C895" s="1"/>
      <c r="D895" s="1"/>
      <c r="E895" s="1"/>
      <c r="F895" s="1"/>
      <c r="G895" s="1"/>
    </row>
    <row r="896" spans="2:7" x14ac:dyDescent="0.25">
      <c r="B896" s="1"/>
      <c r="C896" s="1"/>
      <c r="D896" s="1"/>
      <c r="E896" s="1"/>
      <c r="F896" s="1"/>
      <c r="G896" s="1"/>
    </row>
    <row r="897" spans="2:7" x14ac:dyDescent="0.25">
      <c r="B897" s="1"/>
      <c r="C897" s="1"/>
      <c r="D897" s="1"/>
      <c r="E897" s="1"/>
      <c r="F897" s="1"/>
      <c r="G897" s="1"/>
    </row>
    <row r="898" spans="2:7" x14ac:dyDescent="0.25">
      <c r="B898" s="1"/>
      <c r="C898" s="1"/>
      <c r="D898" s="1"/>
      <c r="E898" s="1"/>
      <c r="F898" s="1"/>
      <c r="G898" s="1"/>
    </row>
    <row r="899" spans="2:7" x14ac:dyDescent="0.25">
      <c r="B899" s="1"/>
      <c r="C899" s="1"/>
      <c r="D899" s="1"/>
      <c r="E899" s="1"/>
      <c r="F899" s="1"/>
      <c r="G899" s="1"/>
    </row>
    <row r="900" spans="2:7" x14ac:dyDescent="0.25">
      <c r="B900" s="1"/>
      <c r="C900" s="1"/>
      <c r="D900" s="1"/>
      <c r="E900" s="1"/>
      <c r="F900" s="1"/>
      <c r="G900" s="1"/>
    </row>
    <row r="901" spans="2:7" x14ac:dyDescent="0.25">
      <c r="B901" s="1"/>
      <c r="C901" s="1"/>
      <c r="D901" s="1"/>
      <c r="E901" s="1"/>
      <c r="F901" s="1"/>
      <c r="G901" s="1"/>
    </row>
    <row r="902" spans="2:7" x14ac:dyDescent="0.25">
      <c r="B902" s="1"/>
      <c r="C902" s="1"/>
      <c r="D902" s="1"/>
      <c r="E902" s="1"/>
      <c r="F902" s="1"/>
      <c r="G902" s="1"/>
    </row>
    <row r="903" spans="2:7" x14ac:dyDescent="0.25">
      <c r="B903" s="1"/>
      <c r="C903" s="1"/>
      <c r="D903" s="1"/>
      <c r="E903" s="1"/>
      <c r="F903" s="1"/>
      <c r="G903" s="1"/>
    </row>
    <row r="904" spans="2:7" x14ac:dyDescent="0.25">
      <c r="B904" s="1"/>
      <c r="C904" s="1"/>
      <c r="D904" s="1"/>
      <c r="E904" s="1"/>
      <c r="F904" s="1"/>
      <c r="G904" s="1"/>
    </row>
    <row r="905" spans="2:7" x14ac:dyDescent="0.25">
      <c r="B905" s="1"/>
      <c r="C905" s="1"/>
      <c r="D905" s="1"/>
      <c r="E905" s="1"/>
      <c r="F905" s="1"/>
      <c r="G905" s="1"/>
    </row>
    <row r="906" spans="2:7" x14ac:dyDescent="0.25">
      <c r="B906" s="1"/>
      <c r="C906" s="1"/>
      <c r="D906" s="1"/>
      <c r="E906" s="1"/>
      <c r="F906" s="1"/>
      <c r="G906" s="1"/>
    </row>
    <row r="907" spans="2:7" x14ac:dyDescent="0.25">
      <c r="B907" s="1"/>
      <c r="C907" s="1"/>
      <c r="D907" s="1"/>
      <c r="E907" s="1"/>
      <c r="F907" s="1"/>
      <c r="G907" s="1"/>
    </row>
    <row r="908" spans="2:7" x14ac:dyDescent="0.25">
      <c r="B908" s="1"/>
      <c r="C908" s="1"/>
      <c r="D908" s="1"/>
      <c r="E908" s="1"/>
      <c r="F908" s="1"/>
      <c r="G908" s="1"/>
    </row>
    <row r="909" spans="2:7" x14ac:dyDescent="0.25">
      <c r="B909" s="1"/>
      <c r="C909" s="1"/>
      <c r="D909" s="1"/>
      <c r="E909" s="1"/>
      <c r="F909" s="1"/>
      <c r="G909" s="1"/>
    </row>
    <row r="910" spans="2:7" x14ac:dyDescent="0.25">
      <c r="B910" s="1"/>
      <c r="C910" s="1"/>
      <c r="D910" s="1"/>
      <c r="E910" s="1"/>
      <c r="F910" s="1"/>
      <c r="G910" s="1"/>
    </row>
    <row r="911" spans="2:7" x14ac:dyDescent="0.25">
      <c r="B911" s="1"/>
      <c r="C911" s="1"/>
      <c r="D911" s="1"/>
      <c r="E911" s="1"/>
      <c r="F911" s="1"/>
      <c r="G911" s="1"/>
    </row>
    <row r="912" spans="2:7" x14ac:dyDescent="0.25">
      <c r="B912" s="1"/>
      <c r="C912" s="1"/>
      <c r="D912" s="1"/>
      <c r="E912" s="1"/>
      <c r="F912" s="1"/>
      <c r="G912" s="1"/>
    </row>
    <row r="913" spans="2:7" x14ac:dyDescent="0.25">
      <c r="B913" s="1"/>
      <c r="C913" s="1"/>
      <c r="D913" s="1"/>
      <c r="E913" s="1"/>
      <c r="F913" s="1"/>
      <c r="G913" s="1"/>
    </row>
    <row r="914" spans="2:7" x14ac:dyDescent="0.25">
      <c r="B914" s="1"/>
      <c r="C914" s="1"/>
      <c r="D914" s="1"/>
      <c r="E914" s="1"/>
      <c r="F914" s="1"/>
      <c r="G914" s="1"/>
    </row>
    <row r="915" spans="2:7" x14ac:dyDescent="0.25">
      <c r="B915" s="1"/>
      <c r="C915" s="1"/>
      <c r="D915" s="1"/>
      <c r="E915" s="1"/>
      <c r="F915" s="1"/>
      <c r="G915" s="1"/>
    </row>
    <row r="916" spans="2:7" x14ac:dyDescent="0.25">
      <c r="B916" s="1"/>
      <c r="C916" s="1"/>
      <c r="D916" s="1"/>
      <c r="E916" s="1"/>
      <c r="F916" s="1"/>
      <c r="G916" s="1"/>
    </row>
    <row r="917" spans="2:7" x14ac:dyDescent="0.25">
      <c r="B917" s="1"/>
      <c r="C917" s="1"/>
      <c r="D917" s="1"/>
      <c r="E917" s="1"/>
      <c r="F917" s="1"/>
      <c r="G917" s="1"/>
    </row>
    <row r="918" spans="2:7" x14ac:dyDescent="0.25">
      <c r="B918" s="1"/>
      <c r="C918" s="1"/>
      <c r="D918" s="1"/>
      <c r="E918" s="1"/>
      <c r="F918" s="1"/>
      <c r="G918" s="1"/>
    </row>
    <row r="919" spans="2:7" x14ac:dyDescent="0.25">
      <c r="B919" s="1"/>
      <c r="C919" s="1"/>
      <c r="D919" s="1"/>
      <c r="E919" s="1"/>
      <c r="F919" s="1"/>
      <c r="G919" s="1"/>
    </row>
    <row r="920" spans="2:7" x14ac:dyDescent="0.25">
      <c r="B920" s="1"/>
      <c r="C920" s="1"/>
      <c r="D920" s="1"/>
      <c r="E920" s="1"/>
      <c r="F920" s="1"/>
      <c r="G920" s="1"/>
    </row>
    <row r="921" spans="2:7" x14ac:dyDescent="0.25">
      <c r="B921" s="1"/>
      <c r="C921" s="1"/>
      <c r="D921" s="1"/>
      <c r="E921" s="1"/>
      <c r="F921" s="1"/>
      <c r="G921" s="1"/>
    </row>
    <row r="922" spans="2:7" x14ac:dyDescent="0.25">
      <c r="B922" s="1"/>
      <c r="C922" s="1"/>
      <c r="D922" s="1"/>
      <c r="E922" s="1"/>
      <c r="F922" s="1"/>
      <c r="G922" s="1"/>
    </row>
    <row r="923" spans="2:7" x14ac:dyDescent="0.25">
      <c r="B923" s="1"/>
      <c r="C923" s="1"/>
      <c r="D923" s="1"/>
      <c r="E923" s="1"/>
      <c r="F923" s="1"/>
      <c r="G923" s="1"/>
    </row>
    <row r="924" spans="2:7" x14ac:dyDescent="0.25">
      <c r="B924" s="1"/>
      <c r="C924" s="1"/>
      <c r="D924" s="1"/>
      <c r="E924" s="1"/>
      <c r="F924" s="1"/>
      <c r="G924" s="1"/>
    </row>
    <row r="925" spans="2:7" x14ac:dyDescent="0.25">
      <c r="B925" s="1"/>
      <c r="C925" s="1"/>
      <c r="D925" s="1"/>
      <c r="E925" s="1"/>
      <c r="F925" s="1"/>
      <c r="G925" s="1"/>
    </row>
    <row r="926" spans="2:7" x14ac:dyDescent="0.25">
      <c r="B926" s="1"/>
      <c r="C926" s="1"/>
      <c r="D926" s="1"/>
      <c r="E926" s="1"/>
      <c r="F926" s="1"/>
      <c r="G926" s="1"/>
    </row>
    <row r="927" spans="2:7" x14ac:dyDescent="0.25">
      <c r="B927" s="1"/>
      <c r="C927" s="1"/>
      <c r="D927" s="1"/>
      <c r="E927" s="1"/>
      <c r="F927" s="1"/>
      <c r="G927" s="1"/>
    </row>
    <row r="928" spans="2:7" x14ac:dyDescent="0.25">
      <c r="B928" s="1"/>
      <c r="C928" s="1"/>
      <c r="D928" s="1"/>
      <c r="E928" s="1"/>
      <c r="F928" s="1"/>
      <c r="G928" s="1"/>
    </row>
    <row r="929" spans="2:7" x14ac:dyDescent="0.25">
      <c r="B929" s="1"/>
      <c r="C929" s="1"/>
      <c r="D929" s="1"/>
      <c r="E929" s="1"/>
      <c r="F929" s="1"/>
      <c r="G929" s="1"/>
    </row>
    <row r="930" spans="2:7" x14ac:dyDescent="0.25">
      <c r="B930" s="1"/>
      <c r="C930" s="1"/>
      <c r="D930" s="1"/>
      <c r="E930" s="1"/>
      <c r="F930" s="1"/>
      <c r="G930" s="1"/>
    </row>
    <row r="931" spans="2:7" x14ac:dyDescent="0.25">
      <c r="B931" s="1"/>
      <c r="C931" s="1"/>
      <c r="D931" s="1"/>
      <c r="E931" s="1"/>
      <c r="F931" s="1"/>
      <c r="G931" s="1"/>
    </row>
    <row r="932" spans="2:7" x14ac:dyDescent="0.25">
      <c r="B932" s="1"/>
      <c r="C932" s="1"/>
      <c r="D932" s="1"/>
      <c r="E932" s="1"/>
      <c r="F932" s="1"/>
      <c r="G932" s="1"/>
    </row>
    <row r="933" spans="2:7" x14ac:dyDescent="0.25">
      <c r="B933" s="1"/>
      <c r="C933" s="1"/>
      <c r="D933" s="1"/>
      <c r="E933" s="1"/>
      <c r="F933" s="1"/>
      <c r="G933" s="1"/>
    </row>
    <row r="934" spans="2:7" x14ac:dyDescent="0.25">
      <c r="B934" s="1"/>
      <c r="C934" s="1"/>
      <c r="D934" s="1"/>
      <c r="E934" s="1"/>
      <c r="F934" s="1"/>
      <c r="G934" s="1"/>
    </row>
    <row r="935" spans="2:7" x14ac:dyDescent="0.25">
      <c r="B935" s="1"/>
      <c r="C935" s="1"/>
      <c r="D935" s="1"/>
      <c r="E935" s="1"/>
      <c r="F935" s="1"/>
      <c r="G935" s="1"/>
    </row>
    <row r="936" spans="2:7" x14ac:dyDescent="0.25">
      <c r="B936" s="1"/>
      <c r="C936" s="1"/>
      <c r="D936" s="1"/>
      <c r="E936" s="1"/>
      <c r="F936" s="1"/>
      <c r="G936" s="1"/>
    </row>
    <row r="937" spans="2:7" x14ac:dyDescent="0.25">
      <c r="B937" s="1"/>
      <c r="C937" s="1"/>
      <c r="D937" s="1"/>
      <c r="E937" s="1"/>
      <c r="F937" s="1"/>
      <c r="G937" s="1"/>
    </row>
    <row r="938" spans="2:7" x14ac:dyDescent="0.25">
      <c r="B938" s="1"/>
      <c r="C938" s="1"/>
      <c r="D938" s="1"/>
      <c r="E938" s="1"/>
      <c r="F938" s="1"/>
      <c r="G938" s="1"/>
    </row>
    <row r="939" spans="2:7" x14ac:dyDescent="0.25">
      <c r="B939" s="1"/>
      <c r="C939" s="1"/>
      <c r="D939" s="1"/>
      <c r="E939" s="1"/>
      <c r="F939" s="1"/>
      <c r="G939" s="1"/>
    </row>
    <row r="940" spans="2:7" x14ac:dyDescent="0.25">
      <c r="B940" s="1"/>
      <c r="C940" s="1"/>
      <c r="D940" s="1"/>
      <c r="E940" s="1"/>
      <c r="F940" s="1"/>
      <c r="G940" s="1"/>
    </row>
    <row r="941" spans="2:7" x14ac:dyDescent="0.25">
      <c r="B941" s="1"/>
      <c r="C941" s="1"/>
      <c r="D941" s="1"/>
      <c r="E941" s="1"/>
      <c r="F941" s="1"/>
      <c r="G941" s="1"/>
    </row>
    <row r="942" spans="2:7" x14ac:dyDescent="0.25">
      <c r="B942" s="1"/>
      <c r="C942" s="1"/>
      <c r="D942" s="1"/>
      <c r="E942" s="1"/>
      <c r="F942" s="1"/>
      <c r="G942" s="1"/>
    </row>
    <row r="943" spans="2:7" x14ac:dyDescent="0.25">
      <c r="B943" s="1"/>
      <c r="C943" s="1"/>
      <c r="D943" s="1"/>
      <c r="E943" s="1"/>
      <c r="F943" s="1"/>
      <c r="G943" s="1"/>
    </row>
    <row r="944" spans="2:7" x14ac:dyDescent="0.25">
      <c r="B944" s="1"/>
      <c r="C944" s="1"/>
      <c r="D944" s="1"/>
      <c r="E944" s="1"/>
      <c r="F944" s="1"/>
      <c r="G944" s="1"/>
    </row>
    <row r="945" spans="2:7" x14ac:dyDescent="0.25">
      <c r="B945" s="1"/>
      <c r="C945" s="1"/>
      <c r="D945" s="1"/>
      <c r="E945" s="1"/>
      <c r="F945" s="1"/>
      <c r="G945" s="1"/>
    </row>
    <row r="946" spans="2:7" x14ac:dyDescent="0.25">
      <c r="B946" s="1"/>
      <c r="C946" s="1"/>
      <c r="D946" s="1"/>
      <c r="E946" s="1"/>
      <c r="F946" s="1"/>
      <c r="G946" s="1"/>
    </row>
    <row r="947" spans="2:7" x14ac:dyDescent="0.25">
      <c r="B947" s="1"/>
      <c r="C947" s="1"/>
      <c r="D947" s="1"/>
      <c r="E947" s="1"/>
      <c r="F947" s="1"/>
      <c r="G947" s="1"/>
    </row>
    <row r="948" spans="2:7" x14ac:dyDescent="0.25">
      <c r="B948" s="1"/>
      <c r="C948" s="1"/>
      <c r="D948" s="1"/>
      <c r="E948" s="1"/>
      <c r="F948" s="1"/>
      <c r="G948" s="1"/>
    </row>
    <row r="949" spans="2:7" x14ac:dyDescent="0.25">
      <c r="B949" s="1"/>
      <c r="C949" s="1"/>
      <c r="D949" s="1"/>
      <c r="E949" s="1"/>
      <c r="F949" s="1"/>
      <c r="G949" s="1"/>
    </row>
    <row r="950" spans="2:7" x14ac:dyDescent="0.25">
      <c r="B950" s="1"/>
      <c r="C950" s="1"/>
      <c r="D950" s="1"/>
      <c r="E950" s="1"/>
      <c r="F950" s="1"/>
      <c r="G950" s="1"/>
    </row>
    <row r="951" spans="2:7" x14ac:dyDescent="0.25">
      <c r="B951" s="1"/>
      <c r="C951" s="1"/>
      <c r="D951" s="1"/>
      <c r="E951" s="1"/>
      <c r="F951" s="1"/>
      <c r="G951" s="1"/>
    </row>
    <row r="952" spans="2:7" x14ac:dyDescent="0.25">
      <c r="B952" s="1"/>
      <c r="C952" s="1"/>
      <c r="D952" s="1"/>
      <c r="E952" s="1"/>
      <c r="F952" s="1"/>
      <c r="G952" s="1"/>
    </row>
    <row r="953" spans="2:7" x14ac:dyDescent="0.25">
      <c r="B953" s="1"/>
      <c r="C953" s="1"/>
      <c r="D953" s="1"/>
      <c r="E953" s="1"/>
      <c r="F953" s="1"/>
      <c r="G953" s="1"/>
    </row>
    <row r="954" spans="2:7" x14ac:dyDescent="0.25">
      <c r="B954" s="1"/>
      <c r="C954" s="1"/>
      <c r="D954" s="1"/>
      <c r="E954" s="1"/>
      <c r="F954" s="1"/>
      <c r="G954" s="1"/>
    </row>
    <row r="955" spans="2:7" x14ac:dyDescent="0.25">
      <c r="B955" s="1"/>
      <c r="C955" s="1"/>
      <c r="D955" s="1"/>
      <c r="E955" s="1"/>
      <c r="F955" s="1"/>
      <c r="G955" s="1"/>
    </row>
    <row r="956" spans="2:7" x14ac:dyDescent="0.25">
      <c r="B956" s="1"/>
      <c r="C956" s="1"/>
      <c r="D956" s="1"/>
      <c r="E956" s="1"/>
      <c r="F956" s="1"/>
      <c r="G956" s="1"/>
    </row>
    <row r="957" spans="2:7" x14ac:dyDescent="0.25">
      <c r="B957" s="1"/>
      <c r="C957" s="1"/>
      <c r="D957" s="1"/>
      <c r="E957" s="1"/>
      <c r="F957" s="1"/>
      <c r="G957" s="1"/>
    </row>
    <row r="958" spans="2:7" x14ac:dyDescent="0.25">
      <c r="B958" s="1"/>
      <c r="C958" s="1"/>
      <c r="D958" s="1"/>
      <c r="E958" s="1"/>
      <c r="F958" s="1"/>
      <c r="G958" s="1"/>
    </row>
    <row r="959" spans="2:7" x14ac:dyDescent="0.25">
      <c r="B959" s="1"/>
      <c r="C959" s="1"/>
      <c r="D959" s="1"/>
      <c r="E959" s="1"/>
      <c r="F959" s="1"/>
      <c r="G959" s="1"/>
    </row>
    <row r="960" spans="2:7" x14ac:dyDescent="0.25">
      <c r="B960" s="1"/>
      <c r="C960" s="1"/>
      <c r="D960" s="1"/>
      <c r="E960" s="1"/>
      <c r="F960" s="1"/>
      <c r="G960" s="1"/>
    </row>
    <row r="961" spans="2:7" x14ac:dyDescent="0.25">
      <c r="B961" s="1"/>
      <c r="C961" s="1"/>
      <c r="D961" s="1"/>
      <c r="E961" s="1"/>
      <c r="F961" s="1"/>
      <c r="G961" s="1"/>
    </row>
    <row r="962" spans="2:7" x14ac:dyDescent="0.25">
      <c r="B962" s="1"/>
      <c r="C962" s="1"/>
      <c r="D962" s="1"/>
      <c r="E962" s="1"/>
      <c r="F962" s="1"/>
      <c r="G962" s="1"/>
    </row>
    <row r="963" spans="2:7" x14ac:dyDescent="0.25">
      <c r="B963" s="1"/>
      <c r="C963" s="1"/>
      <c r="D963" s="1"/>
      <c r="E963" s="1"/>
      <c r="F963" s="1"/>
      <c r="G963" s="1"/>
    </row>
    <row r="964" spans="2:7" x14ac:dyDescent="0.25">
      <c r="B964" s="1"/>
      <c r="C964" s="1"/>
      <c r="D964" s="1"/>
      <c r="E964" s="1"/>
      <c r="F964" s="1"/>
      <c r="G964" s="1"/>
    </row>
    <row r="965" spans="2:7" x14ac:dyDescent="0.25">
      <c r="B965" s="1"/>
      <c r="C965" s="1"/>
      <c r="D965" s="1"/>
      <c r="E965" s="1"/>
      <c r="F965" s="1"/>
      <c r="G965" s="1"/>
    </row>
    <row r="966" spans="2:7" x14ac:dyDescent="0.25">
      <c r="B966" s="1"/>
      <c r="C966" s="1"/>
      <c r="D966" s="1"/>
      <c r="E966" s="1"/>
      <c r="F966" s="1"/>
      <c r="G966" s="1"/>
    </row>
    <row r="967" spans="2:7" x14ac:dyDescent="0.25">
      <c r="B967" s="1"/>
      <c r="C967" s="1"/>
      <c r="D967" s="1"/>
      <c r="E967" s="1"/>
      <c r="F967" s="1"/>
      <c r="G967" s="1"/>
    </row>
    <row r="968" spans="2:7" x14ac:dyDescent="0.25">
      <c r="B968" s="1"/>
      <c r="C968" s="1"/>
      <c r="D968" s="1"/>
      <c r="E968" s="1"/>
      <c r="F968" s="1"/>
      <c r="G968" s="1"/>
    </row>
    <row r="969" spans="2:7" x14ac:dyDescent="0.25">
      <c r="B969" s="1"/>
      <c r="C969" s="1"/>
      <c r="D969" s="1"/>
      <c r="E969" s="1"/>
      <c r="F969" s="1"/>
      <c r="G969" s="1"/>
    </row>
    <row r="970" spans="2:7" x14ac:dyDescent="0.25">
      <c r="B970" s="1"/>
      <c r="C970" s="1"/>
      <c r="D970" s="1"/>
      <c r="E970" s="1"/>
      <c r="F970" s="1"/>
      <c r="G970" s="1"/>
    </row>
    <row r="971" spans="2:7" x14ac:dyDescent="0.25">
      <c r="B971" s="1"/>
      <c r="C971" s="1"/>
      <c r="D971" s="1"/>
      <c r="E971" s="1"/>
      <c r="F971" s="1"/>
      <c r="G971" s="1"/>
    </row>
    <row r="972" spans="2:7" x14ac:dyDescent="0.25">
      <c r="B972" s="1"/>
      <c r="C972" s="1"/>
      <c r="D972" s="1"/>
      <c r="E972" s="1"/>
      <c r="F972" s="1"/>
      <c r="G972" s="1"/>
    </row>
    <row r="973" spans="2:7" x14ac:dyDescent="0.25">
      <c r="B973" s="1"/>
      <c r="C973" s="1"/>
      <c r="D973" s="1"/>
      <c r="E973" s="1"/>
      <c r="F973" s="1"/>
      <c r="G973" s="1"/>
    </row>
    <row r="974" spans="2:7" x14ac:dyDescent="0.25">
      <c r="B974" s="1"/>
      <c r="C974" s="1"/>
      <c r="D974" s="1"/>
      <c r="E974" s="1"/>
      <c r="F974" s="1"/>
      <c r="G974" s="1"/>
    </row>
    <row r="975" spans="2:7" x14ac:dyDescent="0.25">
      <c r="B975" s="1"/>
      <c r="C975" s="1"/>
      <c r="D975" s="1"/>
      <c r="E975" s="1"/>
      <c r="F975" s="1"/>
      <c r="G975" s="1"/>
    </row>
    <row r="976" spans="2:7" x14ac:dyDescent="0.25">
      <c r="B976" s="1"/>
      <c r="C976" s="1"/>
      <c r="D976" s="1"/>
      <c r="E976" s="1"/>
      <c r="F976" s="1"/>
      <c r="G976" s="1"/>
    </row>
    <row r="977" spans="2:7" x14ac:dyDescent="0.25">
      <c r="B977" s="1"/>
      <c r="C977" s="1"/>
      <c r="D977" s="1"/>
      <c r="E977" s="1"/>
      <c r="F977" s="1"/>
      <c r="G977" s="1"/>
    </row>
    <row r="978" spans="2:7" x14ac:dyDescent="0.25">
      <c r="B978" s="1"/>
      <c r="C978" s="1"/>
      <c r="D978" s="1"/>
      <c r="E978" s="1"/>
      <c r="F978" s="1"/>
      <c r="G978" s="1"/>
    </row>
    <row r="979" spans="2:7" x14ac:dyDescent="0.25">
      <c r="B979" s="1"/>
      <c r="C979" s="1"/>
      <c r="D979" s="1"/>
      <c r="E979" s="1"/>
      <c r="F979" s="1"/>
      <c r="G979" s="1"/>
    </row>
    <row r="980" spans="2:7" x14ac:dyDescent="0.25">
      <c r="B980" s="1"/>
      <c r="C980" s="1"/>
      <c r="D980" s="1"/>
      <c r="E980" s="1"/>
      <c r="F980" s="1"/>
      <c r="G980" s="1"/>
    </row>
    <row r="981" spans="2:7" x14ac:dyDescent="0.25">
      <c r="B981" s="1"/>
      <c r="C981" s="1"/>
      <c r="D981" s="1"/>
      <c r="E981" s="1"/>
      <c r="F981" s="1"/>
      <c r="G981" s="1"/>
    </row>
    <row r="982" spans="2:7" x14ac:dyDescent="0.25">
      <c r="B982" s="1"/>
      <c r="C982" s="1"/>
      <c r="D982" s="1"/>
      <c r="E982" s="1"/>
      <c r="F982" s="1"/>
      <c r="G982" s="1"/>
    </row>
    <row r="983" spans="2:7" x14ac:dyDescent="0.25">
      <c r="B983" s="1"/>
      <c r="C983" s="1"/>
      <c r="D983" s="1"/>
      <c r="E983" s="1"/>
      <c r="F983" s="1"/>
      <c r="G983" s="1"/>
    </row>
    <row r="984" spans="2:7" x14ac:dyDescent="0.25">
      <c r="B984" s="1"/>
      <c r="C984" s="1"/>
      <c r="D984" s="1"/>
      <c r="E984" s="1"/>
      <c r="F984" s="1"/>
      <c r="G984" s="1"/>
    </row>
    <row r="985" spans="2:7" x14ac:dyDescent="0.25">
      <c r="B985" s="1"/>
      <c r="C985" s="1"/>
      <c r="D985" s="1"/>
      <c r="E985" s="1"/>
      <c r="F985" s="1"/>
      <c r="G985" s="1"/>
    </row>
    <row r="986" spans="2:7" x14ac:dyDescent="0.25">
      <c r="B986" s="1"/>
      <c r="C986" s="1"/>
      <c r="D986" s="1"/>
      <c r="E986" s="1"/>
      <c r="F986" s="1"/>
      <c r="G986" s="1"/>
    </row>
    <row r="987" spans="2:7" x14ac:dyDescent="0.25">
      <c r="B987" s="1"/>
      <c r="C987" s="1"/>
      <c r="D987" s="1"/>
      <c r="E987" s="1"/>
      <c r="F987" s="1"/>
      <c r="G987" s="1"/>
    </row>
    <row r="988" spans="2:7" x14ac:dyDescent="0.25">
      <c r="B988" s="1"/>
      <c r="C988" s="1"/>
      <c r="D988" s="1"/>
      <c r="E988" s="1"/>
      <c r="F988" s="1"/>
      <c r="G988" s="1"/>
    </row>
    <row r="989" spans="2:7" x14ac:dyDescent="0.25">
      <c r="B989" s="1"/>
      <c r="C989" s="1"/>
      <c r="D989" s="1"/>
      <c r="E989" s="1"/>
      <c r="F989" s="1"/>
      <c r="G989" s="1"/>
    </row>
    <row r="990" spans="2:7" x14ac:dyDescent="0.25">
      <c r="B990" s="1"/>
      <c r="C990" s="1"/>
      <c r="D990" s="1"/>
      <c r="E990" s="1"/>
      <c r="F990" s="1"/>
      <c r="G990" s="1"/>
    </row>
    <row r="991" spans="2:7" x14ac:dyDescent="0.25">
      <c r="B991" s="1"/>
      <c r="C991" s="1"/>
      <c r="D991" s="1"/>
      <c r="E991" s="1"/>
      <c r="F991" s="1"/>
      <c r="G991" s="1"/>
    </row>
    <row r="992" spans="2:7" x14ac:dyDescent="0.25">
      <c r="B992" s="1"/>
      <c r="C992" s="1"/>
      <c r="D992" s="1"/>
      <c r="E992" s="1"/>
      <c r="F992" s="1"/>
      <c r="G992" s="1"/>
    </row>
    <row r="993" spans="2:7" x14ac:dyDescent="0.25">
      <c r="B993" s="1"/>
      <c r="C993" s="1"/>
      <c r="D993" s="1"/>
      <c r="E993" s="1"/>
      <c r="F993" s="1"/>
      <c r="G993" s="1"/>
    </row>
    <row r="994" spans="2:7" x14ac:dyDescent="0.25">
      <c r="B994" s="1"/>
      <c r="C994" s="1"/>
      <c r="D994" s="1"/>
      <c r="E994" s="1"/>
      <c r="F994" s="1"/>
      <c r="G994" s="1"/>
    </row>
    <row r="995" spans="2:7" x14ac:dyDescent="0.25">
      <c r="B995" s="1"/>
      <c r="C995" s="1"/>
      <c r="D995" s="1"/>
      <c r="E995" s="1"/>
      <c r="F995" s="1"/>
      <c r="G995" s="1"/>
    </row>
    <row r="996" spans="2:7" x14ac:dyDescent="0.25">
      <c r="B996" s="1"/>
      <c r="C996" s="1"/>
      <c r="D996" s="1"/>
      <c r="E996" s="1"/>
      <c r="F996" s="1"/>
      <c r="G996" s="1"/>
    </row>
    <row r="997" spans="2:7" x14ac:dyDescent="0.25">
      <c r="B997" s="1"/>
      <c r="C997" s="1"/>
      <c r="D997" s="1"/>
      <c r="E997" s="1"/>
      <c r="F997" s="1"/>
      <c r="G997" s="1"/>
    </row>
    <row r="998" spans="2:7" x14ac:dyDescent="0.25">
      <c r="B998" s="1"/>
      <c r="C998" s="1"/>
      <c r="D998" s="1"/>
      <c r="E998" s="1"/>
      <c r="F998" s="1"/>
      <c r="G998" s="1"/>
    </row>
    <row r="999" spans="2:7" x14ac:dyDescent="0.25">
      <c r="B999" s="1"/>
      <c r="C999" s="1"/>
      <c r="D999" s="1"/>
      <c r="E999" s="1"/>
      <c r="F999" s="1"/>
      <c r="G999" s="1"/>
    </row>
    <row r="1000" spans="2:7" x14ac:dyDescent="0.25">
      <c r="B1000" s="1"/>
      <c r="C1000" s="1"/>
      <c r="D1000" s="1"/>
      <c r="E1000" s="1"/>
      <c r="F1000" s="1"/>
      <c r="G1000" s="1"/>
    </row>
    <row r="1001" spans="2:7" x14ac:dyDescent="0.25">
      <c r="B1001" s="1"/>
      <c r="C1001" s="1"/>
      <c r="D1001" s="1"/>
      <c r="E1001" s="1"/>
      <c r="F1001" s="1"/>
      <c r="G1001" s="1"/>
    </row>
    <row r="1002" spans="2:7" x14ac:dyDescent="0.25">
      <c r="B1002" s="1"/>
      <c r="C1002" s="1"/>
      <c r="D1002" s="1"/>
      <c r="E1002" s="1"/>
      <c r="F1002" s="1"/>
      <c r="G1002" s="1"/>
    </row>
    <row r="1003" spans="2:7" x14ac:dyDescent="0.25">
      <c r="B1003" s="1"/>
      <c r="C1003" s="1"/>
      <c r="D1003" s="1"/>
      <c r="E1003" s="1"/>
      <c r="F1003" s="1"/>
      <c r="G1003" s="1"/>
    </row>
    <row r="1004" spans="2:7" x14ac:dyDescent="0.25">
      <c r="B1004" s="1"/>
      <c r="C1004" s="1"/>
      <c r="D1004" s="1"/>
      <c r="E1004" s="1"/>
      <c r="F1004" s="1"/>
      <c r="G1004" s="1"/>
    </row>
    <row r="1005" spans="2:7" x14ac:dyDescent="0.25">
      <c r="B1005" s="1"/>
      <c r="C1005" s="1"/>
      <c r="D1005" s="1"/>
      <c r="E1005" s="1"/>
      <c r="F1005" s="1"/>
      <c r="G1005" s="1"/>
    </row>
    <row r="1006" spans="2:7" x14ac:dyDescent="0.25">
      <c r="B1006" s="1"/>
      <c r="C1006" s="1"/>
      <c r="D1006" s="1"/>
      <c r="E1006" s="1"/>
      <c r="F1006" s="1"/>
      <c r="G1006" s="1"/>
    </row>
    <row r="1007" spans="2:7" x14ac:dyDescent="0.25">
      <c r="B1007" s="1"/>
      <c r="C1007" s="1"/>
      <c r="D1007" s="1"/>
      <c r="E1007" s="1"/>
      <c r="F1007" s="1"/>
      <c r="G1007" s="1"/>
    </row>
    <row r="1008" spans="2:7" x14ac:dyDescent="0.25">
      <c r="B1008" s="1"/>
      <c r="C1008" s="1"/>
      <c r="D1008" s="1"/>
      <c r="E1008" s="1"/>
      <c r="F1008" s="1"/>
      <c r="G1008" s="1"/>
    </row>
    <row r="1009" spans="2:7" x14ac:dyDescent="0.25">
      <c r="B1009" s="1"/>
      <c r="C1009" s="1"/>
      <c r="D1009" s="1"/>
      <c r="E1009" s="1"/>
      <c r="F1009" s="1"/>
      <c r="G1009" s="1"/>
    </row>
    <row r="1010" spans="2:7" x14ac:dyDescent="0.25">
      <c r="B1010" s="1"/>
      <c r="C1010" s="1"/>
      <c r="D1010" s="1"/>
      <c r="E1010" s="1"/>
      <c r="F1010" s="1"/>
      <c r="G1010" s="1"/>
    </row>
    <row r="1011" spans="2:7" x14ac:dyDescent="0.25">
      <c r="B1011" s="1"/>
      <c r="C1011" s="1"/>
      <c r="D1011" s="1"/>
      <c r="E1011" s="1"/>
      <c r="F1011" s="1"/>
      <c r="G1011" s="1"/>
    </row>
    <row r="1012" spans="2:7" x14ac:dyDescent="0.25">
      <c r="B1012" s="1"/>
      <c r="C1012" s="1"/>
      <c r="D1012" s="1"/>
      <c r="E1012" s="1"/>
      <c r="F1012" s="1"/>
      <c r="G1012" s="1"/>
    </row>
    <row r="1013" spans="2:7" x14ac:dyDescent="0.25">
      <c r="B1013" s="1"/>
      <c r="C1013" s="1"/>
      <c r="D1013" s="1"/>
      <c r="E1013" s="1"/>
      <c r="F1013" s="1"/>
      <c r="G1013" s="1"/>
    </row>
    <row r="1014" spans="2:7" x14ac:dyDescent="0.25">
      <c r="B1014" s="1"/>
      <c r="C1014" s="1"/>
      <c r="D1014" s="1"/>
      <c r="E1014" s="1"/>
      <c r="F1014" s="1"/>
      <c r="G1014" s="1"/>
    </row>
    <row r="1015" spans="2:7" x14ac:dyDescent="0.25">
      <c r="B1015" s="1"/>
      <c r="C1015" s="1"/>
      <c r="D1015" s="1"/>
      <c r="E1015" s="1"/>
      <c r="F1015" s="1"/>
      <c r="G1015" s="1"/>
    </row>
    <row r="1016" spans="2:7" x14ac:dyDescent="0.25">
      <c r="B1016" s="1"/>
      <c r="C1016" s="1"/>
      <c r="D1016" s="1"/>
      <c r="E1016" s="1"/>
      <c r="F1016" s="1"/>
      <c r="G1016" s="1"/>
    </row>
    <row r="1017" spans="2:7" x14ac:dyDescent="0.25">
      <c r="B1017" s="1"/>
      <c r="C1017" s="1"/>
      <c r="D1017" s="1"/>
      <c r="E1017" s="1"/>
      <c r="F1017" s="1"/>
      <c r="G1017" s="1"/>
    </row>
    <row r="1018" spans="2:7" x14ac:dyDescent="0.25">
      <c r="B1018" s="1"/>
      <c r="C1018" s="1"/>
      <c r="D1018" s="1"/>
      <c r="E1018" s="1"/>
      <c r="F1018" s="1"/>
      <c r="G1018" s="1"/>
    </row>
    <row r="1019" spans="2:7" x14ac:dyDescent="0.25">
      <c r="B1019" s="1"/>
      <c r="C1019" s="1"/>
      <c r="D1019" s="1"/>
      <c r="E1019" s="1"/>
      <c r="F1019" s="1"/>
      <c r="G1019" s="1"/>
    </row>
    <row r="1020" spans="2:7" x14ac:dyDescent="0.25">
      <c r="B1020" s="1"/>
      <c r="C1020" s="1"/>
      <c r="D1020" s="1"/>
      <c r="E1020" s="1"/>
      <c r="F1020" s="1"/>
      <c r="G1020" s="1"/>
    </row>
    <row r="1021" spans="2:7" x14ac:dyDescent="0.25">
      <c r="B1021" s="1"/>
      <c r="C1021" s="1"/>
      <c r="D1021" s="1"/>
      <c r="E1021" s="1"/>
      <c r="F1021" s="1"/>
      <c r="G1021" s="1"/>
    </row>
    <row r="1022" spans="2:7" x14ac:dyDescent="0.25">
      <c r="B1022" s="1"/>
      <c r="C1022" s="1"/>
      <c r="D1022" s="1"/>
      <c r="E1022" s="1"/>
      <c r="F1022" s="1"/>
      <c r="G1022" s="1"/>
    </row>
    <row r="1023" spans="2:7" x14ac:dyDescent="0.25">
      <c r="B1023" s="1"/>
      <c r="C1023" s="1"/>
      <c r="D1023" s="1"/>
      <c r="E1023" s="1"/>
      <c r="F1023" s="1"/>
      <c r="G1023" s="1"/>
    </row>
    <row r="1024" spans="2:7" x14ac:dyDescent="0.25">
      <c r="B1024" s="1"/>
      <c r="C1024" s="1"/>
      <c r="D1024" s="1"/>
      <c r="E1024" s="1"/>
      <c r="F1024" s="1"/>
      <c r="G1024" s="1"/>
    </row>
    <row r="1025" spans="2:7" x14ac:dyDescent="0.25">
      <c r="B1025" s="1"/>
      <c r="C1025" s="1"/>
      <c r="D1025" s="1"/>
      <c r="E1025" s="1"/>
      <c r="F1025" s="1"/>
      <c r="G1025" s="1"/>
    </row>
    <row r="1026" spans="2:7" x14ac:dyDescent="0.25">
      <c r="B1026" s="1"/>
      <c r="C1026" s="1"/>
      <c r="D1026" s="1"/>
      <c r="E1026" s="1"/>
      <c r="F1026" s="1"/>
      <c r="G1026" s="1"/>
    </row>
    <row r="1027" spans="2:7" x14ac:dyDescent="0.25">
      <c r="B1027" s="1"/>
      <c r="C1027" s="1"/>
      <c r="D1027" s="1"/>
      <c r="E1027" s="1"/>
      <c r="F1027" s="1"/>
      <c r="G1027" s="1"/>
    </row>
    <row r="1028" spans="2:7" x14ac:dyDescent="0.25">
      <c r="B1028" s="1"/>
      <c r="C1028" s="1"/>
      <c r="D1028" s="1"/>
      <c r="E1028" s="1"/>
      <c r="F1028" s="1"/>
      <c r="G1028" s="1"/>
    </row>
    <row r="1029" spans="2:7" x14ac:dyDescent="0.25">
      <c r="B1029" s="1"/>
      <c r="C1029" s="1"/>
      <c r="D1029" s="1"/>
      <c r="E1029" s="1"/>
      <c r="F1029" s="1"/>
      <c r="G1029" s="1"/>
    </row>
    <row r="1030" spans="2:7" x14ac:dyDescent="0.25">
      <c r="B1030" s="1"/>
      <c r="C1030" s="1"/>
      <c r="D1030" s="1"/>
      <c r="E1030" s="1"/>
      <c r="F1030" s="1"/>
      <c r="G1030" s="1"/>
    </row>
    <row r="1031" spans="2:7" x14ac:dyDescent="0.25">
      <c r="B1031" s="1"/>
      <c r="C1031" s="1"/>
      <c r="D1031" s="1"/>
      <c r="E1031" s="1"/>
      <c r="F1031" s="1"/>
      <c r="G1031" s="1"/>
    </row>
    <row r="1032" spans="2:7" x14ac:dyDescent="0.25">
      <c r="B1032" s="1"/>
      <c r="C1032" s="1"/>
      <c r="D1032" s="1"/>
      <c r="E1032" s="1"/>
      <c r="F1032" s="1"/>
      <c r="G1032" s="1"/>
    </row>
    <row r="1033" spans="2:7" x14ac:dyDescent="0.25">
      <c r="B1033" s="1"/>
      <c r="C1033" s="1"/>
      <c r="D1033" s="1"/>
      <c r="E1033" s="1"/>
      <c r="F1033" s="1"/>
      <c r="G1033" s="1"/>
    </row>
    <row r="1034" spans="2:7" x14ac:dyDescent="0.25">
      <c r="B1034" s="1"/>
      <c r="C1034" s="1"/>
      <c r="D1034" s="1"/>
      <c r="E1034" s="1"/>
      <c r="F1034" s="1"/>
      <c r="G1034" s="1"/>
    </row>
    <row r="1035" spans="2:7" x14ac:dyDescent="0.25">
      <c r="B1035" s="1"/>
      <c r="C1035" s="1"/>
      <c r="D1035" s="1"/>
      <c r="E1035" s="1"/>
      <c r="F1035" s="1"/>
      <c r="G1035" s="1"/>
    </row>
    <row r="1036" spans="2:7" x14ac:dyDescent="0.25">
      <c r="B1036" s="1"/>
      <c r="C1036" s="1"/>
      <c r="D1036" s="1"/>
      <c r="E1036" s="1"/>
      <c r="F1036" s="1"/>
      <c r="G1036" s="1"/>
    </row>
    <row r="1037" spans="2:7" x14ac:dyDescent="0.25">
      <c r="B1037" s="1"/>
      <c r="C1037" s="1"/>
      <c r="D1037" s="1"/>
      <c r="E1037" s="1"/>
      <c r="F1037" s="1"/>
      <c r="G1037" s="1"/>
    </row>
    <row r="1038" spans="2:7" x14ac:dyDescent="0.25">
      <c r="B1038" s="1"/>
      <c r="C1038" s="1"/>
      <c r="D1038" s="1"/>
      <c r="E1038" s="1"/>
      <c r="F1038" s="1"/>
      <c r="G1038" s="1"/>
    </row>
    <row r="1039" spans="2:7" x14ac:dyDescent="0.25">
      <c r="B1039" s="1"/>
      <c r="C1039" s="1"/>
      <c r="D1039" s="1"/>
      <c r="E1039" s="1"/>
      <c r="F1039" s="1"/>
      <c r="G1039" s="1"/>
    </row>
    <row r="1040" spans="2:7" x14ac:dyDescent="0.25">
      <c r="B1040" s="1"/>
      <c r="C1040" s="1"/>
      <c r="D1040" s="1"/>
      <c r="E1040" s="1"/>
      <c r="F1040" s="1"/>
      <c r="G1040" s="1"/>
    </row>
    <row r="1041" spans="2:7" x14ac:dyDescent="0.25">
      <c r="B1041" s="1"/>
      <c r="C1041" s="1"/>
      <c r="D1041" s="1"/>
      <c r="E1041" s="1"/>
      <c r="F1041" s="1"/>
      <c r="G1041" s="1"/>
    </row>
    <row r="1042" spans="2:7" x14ac:dyDescent="0.25">
      <c r="B1042" s="6"/>
      <c r="C1042" s="6"/>
      <c r="D1042" s="6"/>
      <c r="E1042" s="6"/>
      <c r="F1042" s="6"/>
      <c r="G1042" s="6"/>
    </row>
    <row r="1043" spans="2:7" x14ac:dyDescent="0.25">
      <c r="B1043" s="6"/>
      <c r="C1043" s="6"/>
      <c r="D1043" s="6"/>
      <c r="E1043" s="6"/>
      <c r="F1043" s="6"/>
      <c r="G1043" s="6"/>
    </row>
    <row r="1044" spans="2:7" x14ac:dyDescent="0.25">
      <c r="B1044" s="6"/>
      <c r="C1044" s="6"/>
      <c r="D1044" s="6"/>
      <c r="E1044" s="6"/>
      <c r="F1044" s="6"/>
      <c r="G1044" s="6"/>
    </row>
    <row r="1045" spans="2:7" x14ac:dyDescent="0.25">
      <c r="B1045" s="6"/>
      <c r="C1045" s="6"/>
      <c r="D1045" s="6"/>
      <c r="E1045" s="6"/>
      <c r="F1045" s="6"/>
      <c r="G1045" s="6"/>
    </row>
    <row r="1046" spans="2:7" x14ac:dyDescent="0.25">
      <c r="B1046" s="6"/>
      <c r="C1046" s="6"/>
      <c r="D1046" s="6"/>
      <c r="E1046" s="6"/>
      <c r="F1046" s="6"/>
      <c r="G1046" s="6"/>
    </row>
    <row r="1047" spans="2:7" x14ac:dyDescent="0.25">
      <c r="B1047" s="6"/>
      <c r="C1047" s="6"/>
      <c r="D1047" s="6"/>
      <c r="E1047" s="6"/>
      <c r="F1047" s="6"/>
      <c r="G1047" s="6"/>
    </row>
    <row r="1048" spans="2:7" x14ac:dyDescent="0.25">
      <c r="B1048" s="6"/>
      <c r="C1048" s="6"/>
      <c r="D1048" s="6"/>
      <c r="E1048" s="6"/>
      <c r="F1048" s="6"/>
      <c r="G1048" s="6"/>
    </row>
    <row r="1049" spans="2:7" x14ac:dyDescent="0.25">
      <c r="B1049" s="6"/>
      <c r="C1049" s="6"/>
      <c r="D1049" s="6"/>
      <c r="E1049" s="6"/>
      <c r="F1049" s="6"/>
      <c r="G1049" s="6"/>
    </row>
    <row r="1050" spans="2:7" x14ac:dyDescent="0.25">
      <c r="B1050" s="6"/>
      <c r="C1050" s="6"/>
      <c r="D1050" s="6"/>
      <c r="E1050" s="6"/>
      <c r="F1050" s="6"/>
      <c r="G1050" s="6"/>
    </row>
    <row r="1051" spans="2:7" x14ac:dyDescent="0.25">
      <c r="B1051" s="6"/>
      <c r="C1051" s="6"/>
      <c r="D1051" s="6"/>
      <c r="E1051" s="6"/>
      <c r="F1051" s="6"/>
      <c r="G1051" s="6"/>
    </row>
    <row r="1052" spans="2:7" x14ac:dyDescent="0.25">
      <c r="B1052" s="6"/>
      <c r="C1052" s="6"/>
      <c r="D1052" s="6"/>
      <c r="E1052" s="6"/>
      <c r="F1052" s="6"/>
      <c r="G1052" s="6"/>
    </row>
    <row r="1053" spans="2:7" x14ac:dyDescent="0.25">
      <c r="B1053" s="6"/>
      <c r="C1053" s="6"/>
      <c r="D1053" s="6"/>
      <c r="E1053" s="6"/>
      <c r="F1053" s="6"/>
      <c r="G1053" s="6"/>
    </row>
    <row r="1054" spans="2:7" x14ac:dyDescent="0.25">
      <c r="B1054" s="6"/>
      <c r="C1054" s="6"/>
      <c r="D1054" s="6"/>
      <c r="E1054" s="6"/>
      <c r="F1054" s="6"/>
      <c r="G1054" s="6"/>
    </row>
    <row r="1055" spans="2:7" x14ac:dyDescent="0.25">
      <c r="B1055" s="6"/>
      <c r="C1055" s="6"/>
      <c r="D1055" s="6"/>
      <c r="E1055" s="6"/>
      <c r="F1055" s="6"/>
      <c r="G1055" s="6"/>
    </row>
    <row r="1056" spans="2:7" x14ac:dyDescent="0.25">
      <c r="B1056" s="6"/>
      <c r="C1056" s="6"/>
      <c r="D1056" s="6"/>
      <c r="E1056" s="6"/>
      <c r="F1056" s="6"/>
      <c r="G1056" s="6"/>
    </row>
    <row r="1057" spans="2:7" x14ac:dyDescent="0.25">
      <c r="B1057" s="6"/>
      <c r="C1057" s="6"/>
      <c r="D1057" s="6"/>
      <c r="E1057" s="6"/>
      <c r="F1057" s="6"/>
      <c r="G1057" s="6"/>
    </row>
    <row r="1058" spans="2:7" x14ac:dyDescent="0.25">
      <c r="B1058" s="6"/>
      <c r="C1058" s="6"/>
      <c r="D1058" s="6"/>
      <c r="E1058" s="6"/>
      <c r="F1058" s="6"/>
      <c r="G1058" s="6"/>
    </row>
    <row r="1059" spans="2:7" x14ac:dyDescent="0.25">
      <c r="B1059" s="6"/>
      <c r="C1059" s="6"/>
      <c r="D1059" s="6"/>
      <c r="E1059" s="6"/>
      <c r="F1059" s="6"/>
      <c r="G1059" s="6"/>
    </row>
    <row r="1060" spans="2:7" x14ac:dyDescent="0.25">
      <c r="B1060" s="6"/>
      <c r="C1060" s="6"/>
      <c r="D1060" s="6"/>
      <c r="E1060" s="6"/>
      <c r="F1060" s="6"/>
      <c r="G1060" s="6"/>
    </row>
    <row r="1061" spans="2:7" x14ac:dyDescent="0.25">
      <c r="B1061" s="6"/>
      <c r="C1061" s="6"/>
      <c r="D1061" s="6"/>
      <c r="E1061" s="6"/>
      <c r="F1061" s="6"/>
      <c r="G1061" s="6"/>
    </row>
    <row r="1062" spans="2:7" x14ac:dyDescent="0.25">
      <c r="B1062" s="6"/>
      <c r="C1062" s="6"/>
      <c r="D1062" s="6"/>
      <c r="E1062" s="6"/>
      <c r="F1062" s="6"/>
      <c r="G1062" s="6"/>
    </row>
    <row r="1063" spans="2:7" x14ac:dyDescent="0.25">
      <c r="B1063" s="6"/>
      <c r="C1063" s="6"/>
      <c r="D1063" s="6"/>
      <c r="E1063" s="6"/>
      <c r="F1063" s="6"/>
      <c r="G1063" s="6"/>
    </row>
    <row r="1064" spans="2:7" x14ac:dyDescent="0.25">
      <c r="B1064" s="6"/>
      <c r="C1064" s="6"/>
      <c r="D1064" s="6"/>
      <c r="E1064" s="6"/>
      <c r="F1064" s="6"/>
      <c r="G1064" s="6"/>
    </row>
    <row r="1065" spans="2:7" x14ac:dyDescent="0.25">
      <c r="B1065" s="6"/>
      <c r="C1065" s="6"/>
      <c r="D1065" s="6"/>
      <c r="E1065" s="6"/>
      <c r="F1065" s="6"/>
      <c r="G1065" s="6"/>
    </row>
    <row r="1066" spans="2:7" x14ac:dyDescent="0.25">
      <c r="B1066" s="6"/>
      <c r="C1066" s="6"/>
      <c r="D1066" s="6"/>
      <c r="E1066" s="6"/>
      <c r="F1066" s="6"/>
      <c r="G1066" s="6"/>
    </row>
    <row r="1067" spans="2:7" x14ac:dyDescent="0.25">
      <c r="B1067" s="6"/>
      <c r="C1067" s="6"/>
      <c r="D1067" s="6"/>
      <c r="E1067" s="6"/>
      <c r="F1067" s="6"/>
      <c r="G1067" s="6"/>
    </row>
    <row r="1068" spans="2:7" x14ac:dyDescent="0.25">
      <c r="B1068" s="6"/>
      <c r="C1068" s="6"/>
      <c r="D1068" s="6"/>
      <c r="E1068" s="6"/>
      <c r="F1068" s="6"/>
      <c r="G1068" s="6"/>
    </row>
    <row r="1069" spans="2:7" x14ac:dyDescent="0.25">
      <c r="B1069" s="6"/>
      <c r="C1069" s="6"/>
      <c r="D1069" s="6"/>
      <c r="E1069" s="6"/>
      <c r="F1069" s="6"/>
      <c r="G1069" s="6"/>
    </row>
    <row r="1070" spans="2:7" x14ac:dyDescent="0.25">
      <c r="B1070" s="6"/>
      <c r="C1070" s="6"/>
      <c r="D1070" s="6"/>
      <c r="E1070" s="6"/>
      <c r="F1070" s="6"/>
      <c r="G1070" s="6"/>
    </row>
    <row r="1071" spans="2:7" x14ac:dyDescent="0.25">
      <c r="B1071" s="6"/>
      <c r="C1071" s="6"/>
      <c r="D1071" s="6"/>
      <c r="E1071" s="6"/>
      <c r="F1071" s="6"/>
      <c r="G1071" s="6"/>
    </row>
    <row r="1072" spans="2:7" x14ac:dyDescent="0.25">
      <c r="B1072" s="6"/>
      <c r="C1072" s="6"/>
      <c r="D1072" s="6"/>
      <c r="E1072" s="6"/>
      <c r="F1072" s="6"/>
      <c r="G1072" s="6"/>
    </row>
    <row r="1073" spans="2:7" x14ac:dyDescent="0.25">
      <c r="B1073" s="6"/>
      <c r="C1073" s="6"/>
      <c r="D1073" s="6"/>
      <c r="E1073" s="6"/>
      <c r="F1073" s="6"/>
      <c r="G1073" s="6"/>
    </row>
    <row r="1074" spans="2:7" x14ac:dyDescent="0.25">
      <c r="B1074" s="6"/>
      <c r="C1074" s="6"/>
      <c r="D1074" s="6"/>
      <c r="E1074" s="6"/>
      <c r="F1074" s="6"/>
      <c r="G1074" s="6"/>
    </row>
    <row r="1075" spans="2:7" x14ac:dyDescent="0.25">
      <c r="B1075" s="6"/>
      <c r="C1075" s="6"/>
      <c r="D1075" s="6"/>
      <c r="E1075" s="6"/>
      <c r="F1075" s="6"/>
      <c r="G1075" s="6"/>
    </row>
    <row r="1076" spans="2:7" x14ac:dyDescent="0.25">
      <c r="B1076" s="6"/>
      <c r="C1076" s="6"/>
      <c r="D1076" s="6"/>
      <c r="E1076" s="6"/>
      <c r="F1076" s="6"/>
      <c r="G1076" s="6"/>
    </row>
    <row r="1077" spans="2:7" x14ac:dyDescent="0.25">
      <c r="B1077" s="6"/>
      <c r="C1077" s="6"/>
      <c r="D1077" s="6"/>
      <c r="E1077" s="6"/>
      <c r="F1077" s="6"/>
      <c r="G1077" s="6"/>
    </row>
    <row r="1078" spans="2:7" x14ac:dyDescent="0.25">
      <c r="B1078" s="6"/>
      <c r="C1078" s="6"/>
      <c r="D1078" s="6"/>
      <c r="E1078" s="6"/>
      <c r="F1078" s="6"/>
      <c r="G1078" s="6"/>
    </row>
    <row r="1079" spans="2:7" x14ac:dyDescent="0.25">
      <c r="B1079" s="6"/>
      <c r="C1079" s="6"/>
      <c r="D1079" s="6"/>
      <c r="E1079" s="6"/>
      <c r="F1079" s="6"/>
      <c r="G1079" s="6"/>
    </row>
    <row r="1080" spans="2:7" x14ac:dyDescent="0.25">
      <c r="B1080" s="6"/>
      <c r="C1080" s="6"/>
      <c r="D1080" s="6"/>
      <c r="E1080" s="6"/>
      <c r="F1080" s="6"/>
      <c r="G1080" s="6"/>
    </row>
    <row r="1081" spans="2:7" x14ac:dyDescent="0.25">
      <c r="B1081" s="6"/>
      <c r="C1081" s="6"/>
      <c r="D1081" s="6"/>
      <c r="E1081" s="6"/>
      <c r="F1081" s="6"/>
      <c r="G1081" s="6"/>
    </row>
    <row r="1082" spans="2:7" x14ac:dyDescent="0.25">
      <c r="B1082" s="6"/>
      <c r="C1082" s="6"/>
      <c r="D1082" s="6"/>
      <c r="E1082" s="6"/>
      <c r="F1082" s="6"/>
      <c r="G1082" s="6"/>
    </row>
    <row r="1083" spans="2:7" x14ac:dyDescent="0.25">
      <c r="B1083" s="6"/>
      <c r="C1083" s="6"/>
      <c r="D1083" s="6"/>
      <c r="E1083" s="6"/>
      <c r="F1083" s="6"/>
      <c r="G1083" s="6"/>
    </row>
    <row r="1084" spans="2:7" x14ac:dyDescent="0.25">
      <c r="B1084" s="6"/>
      <c r="C1084" s="6"/>
      <c r="D1084" s="6"/>
      <c r="E1084" s="6"/>
      <c r="F1084" s="6"/>
      <c r="G1084" s="6"/>
    </row>
    <row r="1085" spans="2:7" x14ac:dyDescent="0.25">
      <c r="B1085" s="6"/>
      <c r="C1085" s="6"/>
      <c r="D1085" s="6"/>
      <c r="E1085" s="6"/>
      <c r="F1085" s="6"/>
      <c r="G1085" s="6"/>
    </row>
    <row r="1086" spans="2:7" x14ac:dyDescent="0.25">
      <c r="B1086" s="6"/>
      <c r="C1086" s="6"/>
      <c r="D1086" s="6"/>
      <c r="E1086" s="6"/>
      <c r="F1086" s="6"/>
      <c r="G1086" s="6"/>
    </row>
    <row r="1087" spans="2:7" x14ac:dyDescent="0.25">
      <c r="B1087" s="6"/>
      <c r="C1087" s="6"/>
      <c r="D1087" s="6"/>
      <c r="E1087" s="6"/>
      <c r="F1087" s="6"/>
      <c r="G1087" s="6"/>
    </row>
    <row r="1088" spans="2:7" x14ac:dyDescent="0.25">
      <c r="B1088" s="6"/>
      <c r="C1088" s="6"/>
      <c r="D1088" s="6"/>
      <c r="E1088" s="6"/>
      <c r="F1088" s="6"/>
      <c r="G1088" s="6"/>
    </row>
    <row r="1089" spans="2:7" x14ac:dyDescent="0.25">
      <c r="B1089" s="6"/>
      <c r="C1089" s="6"/>
      <c r="D1089" s="6"/>
      <c r="E1089" s="6"/>
      <c r="F1089" s="6"/>
      <c r="G1089" s="6"/>
    </row>
    <row r="1090" spans="2:7" x14ac:dyDescent="0.25">
      <c r="B1090" s="6"/>
      <c r="C1090" s="6"/>
      <c r="D1090" s="6"/>
      <c r="E1090" s="6"/>
      <c r="F1090" s="6"/>
      <c r="G1090" s="6"/>
    </row>
    <row r="1091" spans="2:7" x14ac:dyDescent="0.25">
      <c r="B1091" s="6"/>
      <c r="C1091" s="6"/>
      <c r="D1091" s="6"/>
      <c r="E1091" s="6"/>
      <c r="F1091" s="6"/>
      <c r="G1091" s="6"/>
    </row>
    <row r="1092" spans="2:7" x14ac:dyDescent="0.25">
      <c r="B1092" s="6"/>
      <c r="C1092" s="6"/>
      <c r="D1092" s="6"/>
      <c r="E1092" s="6"/>
      <c r="F1092" s="6"/>
      <c r="G1092" s="6"/>
    </row>
    <row r="1093" spans="2:7" x14ac:dyDescent="0.25">
      <c r="B1093" s="6"/>
      <c r="C1093" s="6"/>
      <c r="D1093" s="6"/>
      <c r="E1093" s="6"/>
      <c r="F1093" s="6"/>
      <c r="G1093" s="6"/>
    </row>
    <row r="1094" spans="2:7" x14ac:dyDescent="0.25">
      <c r="B1094" s="6"/>
      <c r="C1094" s="6"/>
      <c r="D1094" s="6"/>
      <c r="E1094" s="6"/>
      <c r="F1094" s="6"/>
      <c r="G1094" s="6"/>
    </row>
    <row r="1095" spans="2:7" x14ac:dyDescent="0.25">
      <c r="B1095" s="6"/>
      <c r="C1095" s="6"/>
      <c r="D1095" s="6"/>
      <c r="E1095" s="6"/>
      <c r="F1095" s="6"/>
      <c r="G1095" s="6"/>
    </row>
    <row r="1096" spans="2:7" x14ac:dyDescent="0.25">
      <c r="B1096" s="6"/>
      <c r="C1096" s="6"/>
      <c r="D1096" s="6"/>
      <c r="E1096" s="6"/>
      <c r="F1096" s="6"/>
      <c r="G1096" s="6"/>
    </row>
    <row r="1097" spans="2:7" x14ac:dyDescent="0.25">
      <c r="B1097" s="6"/>
      <c r="C1097" s="6"/>
      <c r="D1097" s="6"/>
      <c r="E1097" s="6"/>
      <c r="F1097" s="6"/>
      <c r="G1097" s="6"/>
    </row>
    <row r="1098" spans="2:7" x14ac:dyDescent="0.25">
      <c r="B1098" s="6"/>
      <c r="C1098" s="6"/>
      <c r="D1098" s="6"/>
      <c r="E1098" s="6"/>
      <c r="F1098" s="6"/>
      <c r="G1098" s="6"/>
    </row>
    <row r="1099" spans="2:7" x14ac:dyDescent="0.25">
      <c r="B1099" s="6"/>
      <c r="C1099" s="6"/>
      <c r="D1099" s="6"/>
      <c r="E1099" s="6"/>
      <c r="F1099" s="6"/>
      <c r="G1099" s="6"/>
    </row>
    <row r="1100" spans="2:7" x14ac:dyDescent="0.25">
      <c r="B1100" s="6"/>
      <c r="C1100" s="6"/>
      <c r="D1100" s="6"/>
      <c r="E1100" s="6"/>
      <c r="F1100" s="6"/>
      <c r="G1100" s="6"/>
    </row>
    <row r="1101" spans="2:7" x14ac:dyDescent="0.25">
      <c r="B1101" s="6"/>
      <c r="C1101" s="6"/>
      <c r="D1101" s="6"/>
      <c r="E1101" s="6"/>
      <c r="F1101" s="6"/>
      <c r="G1101" s="6"/>
    </row>
    <row r="1102" spans="2:7" x14ac:dyDescent="0.25">
      <c r="B1102" s="6"/>
      <c r="C1102" s="6"/>
      <c r="D1102" s="6"/>
      <c r="E1102" s="6"/>
      <c r="F1102" s="6"/>
      <c r="G1102" s="6"/>
    </row>
    <row r="1103" spans="2:7" x14ac:dyDescent="0.25">
      <c r="B1103" s="6"/>
      <c r="C1103" s="6"/>
      <c r="D1103" s="6"/>
      <c r="E1103" s="6"/>
      <c r="F1103" s="6"/>
      <c r="G1103" s="6"/>
    </row>
    <row r="1104" spans="2:7" x14ac:dyDescent="0.25">
      <c r="B1104" s="6"/>
      <c r="C1104" s="6"/>
      <c r="D1104" s="6"/>
      <c r="E1104" s="6"/>
      <c r="F1104" s="6"/>
      <c r="G1104" s="6"/>
    </row>
    <row r="1105" spans="2:7" x14ac:dyDescent="0.25">
      <c r="B1105" s="6"/>
      <c r="C1105" s="6"/>
      <c r="D1105" s="6"/>
      <c r="E1105" s="6"/>
      <c r="F1105" s="6"/>
      <c r="G1105" s="6"/>
    </row>
    <row r="1106" spans="2:7" x14ac:dyDescent="0.25">
      <c r="B1106" s="6"/>
      <c r="C1106" s="6"/>
      <c r="D1106" s="6"/>
      <c r="E1106" s="6"/>
      <c r="F1106" s="6"/>
      <c r="G1106" s="6"/>
    </row>
    <row r="1107" spans="2:7" x14ac:dyDescent="0.25">
      <c r="B1107" s="6"/>
      <c r="C1107" s="6"/>
      <c r="D1107" s="6"/>
      <c r="E1107" s="6"/>
      <c r="F1107" s="6"/>
      <c r="G1107" s="6"/>
    </row>
    <row r="1108" spans="2:7" x14ac:dyDescent="0.25">
      <c r="B1108" s="6"/>
      <c r="C1108" s="6"/>
      <c r="D1108" s="6"/>
      <c r="E1108" s="6"/>
      <c r="F1108" s="6"/>
      <c r="G1108" s="6"/>
    </row>
    <row r="1109" spans="2:7" x14ac:dyDescent="0.25">
      <c r="B1109" s="6"/>
      <c r="C1109" s="6"/>
      <c r="D1109" s="6"/>
      <c r="E1109" s="6"/>
      <c r="F1109" s="6"/>
      <c r="G1109" s="6"/>
    </row>
    <row r="1110" spans="2:7" x14ac:dyDescent="0.25">
      <c r="B1110" s="6"/>
      <c r="C1110" s="6"/>
      <c r="D1110" s="6"/>
      <c r="E1110" s="6"/>
      <c r="F1110" s="6"/>
      <c r="G1110" s="6"/>
    </row>
    <row r="1111" spans="2:7" x14ac:dyDescent="0.25">
      <c r="B1111" s="6"/>
      <c r="C1111" s="6"/>
      <c r="D1111" s="6"/>
      <c r="E1111" s="6"/>
      <c r="F1111" s="6"/>
      <c r="G1111" s="6"/>
    </row>
    <row r="1112" spans="2:7" x14ac:dyDescent="0.25">
      <c r="B1112" s="6"/>
      <c r="C1112" s="6"/>
      <c r="D1112" s="6"/>
      <c r="E1112" s="6"/>
      <c r="F1112" s="6"/>
      <c r="G1112" s="6"/>
    </row>
    <row r="1113" spans="2:7" x14ac:dyDescent="0.25">
      <c r="B1113" s="6"/>
      <c r="C1113" s="6"/>
      <c r="D1113" s="6"/>
      <c r="E1113" s="6"/>
      <c r="F1113" s="6"/>
      <c r="G1113" s="6"/>
    </row>
    <row r="1114" spans="2:7" x14ac:dyDescent="0.25">
      <c r="B1114" s="6"/>
      <c r="C1114" s="6"/>
      <c r="D1114" s="6"/>
      <c r="E1114" s="6"/>
      <c r="F1114" s="6"/>
      <c r="G1114" s="6"/>
    </row>
    <row r="1115" spans="2:7" x14ac:dyDescent="0.25">
      <c r="B1115" s="6"/>
      <c r="C1115" s="6"/>
      <c r="D1115" s="6"/>
      <c r="E1115" s="6"/>
      <c r="F1115" s="6"/>
      <c r="G1115" s="6"/>
    </row>
    <row r="1116" spans="2:7" x14ac:dyDescent="0.25">
      <c r="B1116" s="6"/>
      <c r="C1116" s="6"/>
      <c r="D1116" s="6"/>
      <c r="E1116" s="6"/>
      <c r="F1116" s="6"/>
      <c r="G1116" s="6"/>
    </row>
    <row r="1117" spans="2:7" x14ac:dyDescent="0.25">
      <c r="B1117" s="6"/>
      <c r="C1117" s="6"/>
      <c r="D1117" s="6"/>
      <c r="E1117" s="6"/>
      <c r="F1117" s="6"/>
      <c r="G1117" s="6"/>
    </row>
    <row r="1118" spans="2:7" x14ac:dyDescent="0.25">
      <c r="B1118" s="6"/>
      <c r="C1118" s="6"/>
      <c r="D1118" s="6"/>
      <c r="E1118" s="6"/>
      <c r="F1118" s="6"/>
      <c r="G1118" s="6"/>
    </row>
    <row r="1119" spans="2:7" x14ac:dyDescent="0.25">
      <c r="B1119" s="6"/>
      <c r="C1119" s="6"/>
      <c r="D1119" s="6"/>
      <c r="E1119" s="6"/>
      <c r="F1119" s="6"/>
      <c r="G1119" s="6"/>
    </row>
    <row r="1120" spans="2:7" x14ac:dyDescent="0.25">
      <c r="B1120" s="6"/>
      <c r="C1120" s="6"/>
      <c r="D1120" s="6"/>
      <c r="E1120" s="6"/>
      <c r="F1120" s="6"/>
      <c r="G1120" s="6"/>
    </row>
    <row r="1121" spans="2:7" x14ac:dyDescent="0.25">
      <c r="B1121" s="6"/>
      <c r="C1121" s="6"/>
      <c r="D1121" s="6"/>
      <c r="E1121" s="6"/>
      <c r="F1121" s="6"/>
      <c r="G1121" s="6"/>
    </row>
    <row r="1122" spans="2:7" x14ac:dyDescent="0.25">
      <c r="B1122" s="6"/>
      <c r="C1122" s="6"/>
      <c r="D1122" s="6"/>
      <c r="E1122" s="6"/>
      <c r="F1122" s="6"/>
      <c r="G1122" s="6"/>
    </row>
    <row r="1123" spans="2:7" x14ac:dyDescent="0.25">
      <c r="B1123" s="6"/>
      <c r="C1123" s="6"/>
      <c r="D1123" s="6"/>
      <c r="E1123" s="6"/>
      <c r="F1123" s="6"/>
      <c r="G1123" s="6"/>
    </row>
    <row r="1124" spans="2:7" x14ac:dyDescent="0.25">
      <c r="B1124" s="6"/>
      <c r="C1124" s="6"/>
      <c r="D1124" s="6"/>
      <c r="E1124" s="6"/>
      <c r="F1124" s="6"/>
      <c r="G1124" s="6"/>
    </row>
    <row r="1125" spans="2:7" x14ac:dyDescent="0.25">
      <c r="B1125" s="6"/>
      <c r="C1125" s="6"/>
      <c r="D1125" s="6"/>
      <c r="E1125" s="6"/>
      <c r="F1125" s="6"/>
      <c r="G1125" s="6"/>
    </row>
    <row r="1126" spans="2:7" x14ac:dyDescent="0.25">
      <c r="B1126" s="6"/>
      <c r="C1126" s="6"/>
      <c r="D1126" s="6"/>
      <c r="E1126" s="6"/>
      <c r="F1126" s="6"/>
      <c r="G1126" s="6"/>
    </row>
    <row r="1127" spans="2:7" x14ac:dyDescent="0.25">
      <c r="B1127" s="6"/>
      <c r="C1127" s="6"/>
      <c r="D1127" s="6"/>
      <c r="E1127" s="6"/>
      <c r="F1127" s="6"/>
      <c r="G1127" s="6"/>
    </row>
    <row r="1128" spans="2:7" x14ac:dyDescent="0.25">
      <c r="B1128" s="6"/>
      <c r="C1128" s="6"/>
      <c r="D1128" s="6"/>
      <c r="E1128" s="6"/>
      <c r="F1128" s="6"/>
      <c r="G1128" s="6"/>
    </row>
    <row r="1129" spans="2:7" x14ac:dyDescent="0.25">
      <c r="B1129" s="6"/>
      <c r="C1129" s="6"/>
      <c r="D1129" s="6"/>
      <c r="E1129" s="6"/>
      <c r="F1129" s="6"/>
      <c r="G1129" s="6"/>
    </row>
    <row r="1130" spans="2:7" x14ac:dyDescent="0.25">
      <c r="B1130" s="6"/>
      <c r="C1130" s="6"/>
      <c r="D1130" s="6"/>
      <c r="E1130" s="6"/>
      <c r="F1130" s="6"/>
      <c r="G1130" s="6"/>
    </row>
    <row r="1131" spans="2:7" x14ac:dyDescent="0.25">
      <c r="B1131" s="6"/>
      <c r="C1131" s="6"/>
      <c r="D1131" s="6"/>
      <c r="E1131" s="6"/>
      <c r="F1131" s="6"/>
      <c r="G1131" s="6"/>
    </row>
    <row r="1132" spans="2:7" x14ac:dyDescent="0.25">
      <c r="B1132" s="6"/>
      <c r="C1132" s="6"/>
      <c r="D1132" s="6"/>
      <c r="E1132" s="6"/>
      <c r="F1132" s="6"/>
      <c r="G1132" s="6"/>
    </row>
    <row r="1133" spans="2:7" x14ac:dyDescent="0.25">
      <c r="B1133" s="6"/>
      <c r="C1133" s="6"/>
      <c r="D1133" s="6"/>
      <c r="E1133" s="6"/>
      <c r="F1133" s="6"/>
      <c r="G1133" s="6"/>
    </row>
    <row r="1134" spans="2:7" x14ac:dyDescent="0.25">
      <c r="B1134" s="6"/>
      <c r="C1134" s="6"/>
      <c r="D1134" s="6"/>
      <c r="E1134" s="6"/>
      <c r="F1134" s="6"/>
      <c r="G1134" s="6"/>
    </row>
    <row r="1135" spans="2:7" x14ac:dyDescent="0.25">
      <c r="B1135" s="6"/>
      <c r="C1135" s="6"/>
      <c r="D1135" s="6"/>
      <c r="E1135" s="6"/>
      <c r="F1135" s="6"/>
      <c r="G1135" s="6"/>
    </row>
    <row r="1136" spans="2:7" x14ac:dyDescent="0.25">
      <c r="B1136" s="6"/>
      <c r="C1136" s="6"/>
      <c r="D1136" s="6"/>
      <c r="E1136" s="6"/>
      <c r="F1136" s="6"/>
      <c r="G1136" s="6"/>
    </row>
    <row r="1137" spans="2:7" x14ac:dyDescent="0.25">
      <c r="B1137" s="6"/>
      <c r="C1137" s="6"/>
      <c r="D1137" s="6"/>
      <c r="E1137" s="6"/>
      <c r="F1137" s="6"/>
      <c r="G1137" s="6"/>
    </row>
    <row r="1138" spans="2:7" x14ac:dyDescent="0.25">
      <c r="B1138" s="6"/>
      <c r="C1138" s="6"/>
      <c r="D1138" s="6"/>
      <c r="E1138" s="6"/>
      <c r="F1138" s="6"/>
      <c r="G1138" s="6"/>
    </row>
    <row r="1139" spans="2:7" x14ac:dyDescent="0.25">
      <c r="B1139" s="6"/>
      <c r="C1139" s="6"/>
      <c r="D1139" s="6"/>
      <c r="E1139" s="6"/>
      <c r="F1139" s="6"/>
      <c r="G1139" s="6"/>
    </row>
    <row r="1140" spans="2:7" x14ac:dyDescent="0.25">
      <c r="B1140" s="6"/>
      <c r="C1140" s="6"/>
      <c r="D1140" s="6"/>
      <c r="E1140" s="6"/>
      <c r="F1140" s="6"/>
      <c r="G1140" s="6"/>
    </row>
    <row r="1141" spans="2:7" x14ac:dyDescent="0.25">
      <c r="B1141" s="6"/>
      <c r="C1141" s="6"/>
      <c r="D1141" s="6"/>
      <c r="E1141" s="6"/>
      <c r="F1141" s="6"/>
      <c r="G1141" s="6"/>
    </row>
    <row r="1142" spans="2:7" x14ac:dyDescent="0.25">
      <c r="B1142" s="6"/>
      <c r="C1142" s="6"/>
      <c r="D1142" s="6"/>
      <c r="E1142" s="6"/>
      <c r="F1142" s="6"/>
      <c r="G1142" s="6"/>
    </row>
    <row r="1143" spans="2:7" x14ac:dyDescent="0.25">
      <c r="B1143" s="6"/>
      <c r="C1143" s="6"/>
      <c r="D1143" s="6"/>
      <c r="E1143" s="6"/>
      <c r="F1143" s="6"/>
      <c r="G1143" s="6"/>
    </row>
    <row r="1144" spans="2:7" x14ac:dyDescent="0.25">
      <c r="B1144" s="6"/>
      <c r="C1144" s="6"/>
      <c r="D1144" s="6"/>
      <c r="E1144" s="6"/>
      <c r="F1144" s="6"/>
      <c r="G1144" s="6"/>
    </row>
    <row r="1145" spans="2:7" x14ac:dyDescent="0.25">
      <c r="B1145" s="6"/>
      <c r="C1145" s="6"/>
      <c r="D1145" s="6"/>
      <c r="E1145" s="6"/>
      <c r="F1145" s="6"/>
      <c r="G1145" s="6"/>
    </row>
    <row r="1146" spans="2:7" x14ac:dyDescent="0.25">
      <c r="B1146" s="6"/>
      <c r="C1146" s="6"/>
      <c r="D1146" s="6"/>
      <c r="E1146" s="6"/>
      <c r="F1146" s="6"/>
      <c r="G1146" s="6"/>
    </row>
    <row r="1147" spans="2:7" x14ac:dyDescent="0.25">
      <c r="B1147" s="6"/>
      <c r="C1147" s="6"/>
      <c r="D1147" s="6"/>
      <c r="E1147" s="6"/>
      <c r="F1147" s="6"/>
      <c r="G1147" s="6"/>
    </row>
    <row r="1148" spans="2:7" x14ac:dyDescent="0.25">
      <c r="B1148" s="6"/>
      <c r="C1148" s="6"/>
      <c r="D1148" s="6"/>
      <c r="E1148" s="6"/>
      <c r="F1148" s="6"/>
      <c r="G1148" s="6"/>
    </row>
    <row r="1149" spans="2:7" x14ac:dyDescent="0.25">
      <c r="B1149" s="6"/>
      <c r="C1149" s="6"/>
      <c r="D1149" s="6"/>
      <c r="E1149" s="6"/>
      <c r="F1149" s="6"/>
      <c r="G1149" s="6"/>
    </row>
    <row r="1150" spans="2:7" x14ac:dyDescent="0.25">
      <c r="B1150" s="6"/>
      <c r="C1150" s="6"/>
      <c r="D1150" s="6"/>
      <c r="E1150" s="6"/>
      <c r="F1150" s="6"/>
      <c r="G1150" s="6"/>
    </row>
    <row r="1151" spans="2:7" x14ac:dyDescent="0.25">
      <c r="B1151" s="6"/>
      <c r="C1151" s="6"/>
      <c r="D1151" s="6"/>
      <c r="E1151" s="6"/>
      <c r="F1151" s="6"/>
      <c r="G1151" s="6"/>
    </row>
    <row r="1152" spans="2:7" x14ac:dyDescent="0.25">
      <c r="B1152" s="6"/>
      <c r="C1152" s="6"/>
      <c r="D1152" s="6"/>
      <c r="E1152" s="6"/>
      <c r="F1152" s="6"/>
      <c r="G1152" s="6"/>
    </row>
    <row r="1153" spans="2:7" x14ac:dyDescent="0.25">
      <c r="B1153" s="6"/>
      <c r="C1153" s="6"/>
      <c r="D1153" s="6"/>
      <c r="E1153" s="6"/>
      <c r="F1153" s="6"/>
      <c r="G1153" s="6"/>
    </row>
    <row r="1154" spans="2:7" x14ac:dyDescent="0.25">
      <c r="B1154" s="6"/>
      <c r="C1154" s="6"/>
      <c r="D1154" s="6"/>
      <c r="E1154" s="6"/>
      <c r="F1154" s="6"/>
      <c r="G1154" s="6"/>
    </row>
    <row r="1155" spans="2:7" x14ac:dyDescent="0.25">
      <c r="B1155" s="6"/>
      <c r="C1155" s="6"/>
      <c r="D1155" s="6"/>
      <c r="E1155" s="6"/>
      <c r="F1155" s="6"/>
      <c r="G1155" s="6"/>
    </row>
    <row r="1156" spans="2:7" x14ac:dyDescent="0.25">
      <c r="B1156" s="6"/>
      <c r="C1156" s="6"/>
      <c r="D1156" s="6"/>
      <c r="E1156" s="6"/>
      <c r="F1156" s="6"/>
      <c r="G1156" s="6"/>
    </row>
    <row r="1157" spans="2:7" x14ac:dyDescent="0.25">
      <c r="B1157" s="6"/>
      <c r="C1157" s="6"/>
      <c r="D1157" s="6"/>
      <c r="E1157" s="6"/>
      <c r="F1157" s="6"/>
      <c r="G1157" s="6"/>
    </row>
    <row r="1158" spans="2:7" x14ac:dyDescent="0.25">
      <c r="B1158" s="6"/>
      <c r="C1158" s="6"/>
      <c r="D1158" s="6"/>
      <c r="E1158" s="6"/>
      <c r="F1158" s="6"/>
      <c r="G1158" s="6"/>
    </row>
    <row r="1159" spans="2:7" x14ac:dyDescent="0.25">
      <c r="B1159" s="6"/>
      <c r="C1159" s="6"/>
      <c r="D1159" s="6"/>
      <c r="E1159" s="6"/>
      <c r="F1159" s="6"/>
      <c r="G1159" s="6"/>
    </row>
    <row r="1160" spans="2:7" x14ac:dyDescent="0.25">
      <c r="B1160" s="6"/>
      <c r="C1160" s="6"/>
      <c r="D1160" s="6"/>
      <c r="E1160" s="6"/>
      <c r="F1160" s="6"/>
      <c r="G1160" s="6"/>
    </row>
    <row r="1161" spans="2:7" x14ac:dyDescent="0.25">
      <c r="B1161" s="6"/>
      <c r="C1161" s="6"/>
      <c r="D1161" s="6"/>
      <c r="E1161" s="6"/>
      <c r="F1161" s="6"/>
      <c r="G1161" s="6"/>
    </row>
    <row r="1162" spans="2:7" x14ac:dyDescent="0.25">
      <c r="B1162" s="6"/>
      <c r="C1162" s="6"/>
      <c r="D1162" s="6"/>
      <c r="E1162" s="6"/>
      <c r="F1162" s="6"/>
      <c r="G1162" s="6"/>
    </row>
    <row r="1163" spans="2:7" x14ac:dyDescent="0.25">
      <c r="B1163" s="6"/>
      <c r="C1163" s="6"/>
      <c r="D1163" s="6"/>
      <c r="E1163" s="6"/>
      <c r="F1163" s="6"/>
      <c r="G1163" s="6"/>
    </row>
    <row r="1164" spans="2:7" x14ac:dyDescent="0.25">
      <c r="B1164" s="6"/>
      <c r="C1164" s="6"/>
      <c r="D1164" s="6"/>
      <c r="E1164" s="6"/>
      <c r="F1164" s="6"/>
      <c r="G1164" s="6"/>
    </row>
    <row r="1165" spans="2:7" x14ac:dyDescent="0.25">
      <c r="B1165" s="6"/>
      <c r="C1165" s="6"/>
      <c r="D1165" s="6"/>
      <c r="E1165" s="6"/>
      <c r="F1165" s="6"/>
      <c r="G1165" s="6"/>
    </row>
    <row r="1166" spans="2:7" x14ac:dyDescent="0.25">
      <c r="B1166" s="6"/>
      <c r="C1166" s="6"/>
      <c r="D1166" s="6"/>
      <c r="E1166" s="6"/>
      <c r="F1166" s="6"/>
      <c r="G1166" s="6"/>
    </row>
    <row r="1167" spans="2:7" x14ac:dyDescent="0.25">
      <c r="B1167" s="6"/>
      <c r="C1167" s="6"/>
      <c r="D1167" s="6"/>
      <c r="E1167" s="6"/>
      <c r="F1167" s="6"/>
      <c r="G1167" s="6"/>
    </row>
    <row r="1168" spans="2:7" x14ac:dyDescent="0.25">
      <c r="B1168" s="6"/>
      <c r="C1168" s="6"/>
      <c r="D1168" s="6"/>
      <c r="E1168" s="6"/>
      <c r="F1168" s="6"/>
      <c r="G1168" s="6"/>
    </row>
  </sheetData>
  <mergeCells count="4">
    <mergeCell ref="A5:I5"/>
    <mergeCell ref="C2:F2"/>
    <mergeCell ref="C3:F3"/>
    <mergeCell ref="C1:F1"/>
  </mergeCells>
  <conditionalFormatting sqref="I7:I72">
    <cfRule type="containsText" dxfId="0" priority="1" operator="containsText" text="NOT IN GLOSSARY">
      <formula>NOT(ISERROR(SEARCH("NOT IN GLOSSARY",I7)))</formula>
    </cfRule>
  </conditionalFormatting>
  <dataValidations count="1">
    <dataValidation type="list" allowBlank="1" showInputMessage="1" sqref="E7:E72" xr:uid="{59145B04-EF2B-4885-8EB8-9BB455A6A8DC}">
      <formula1>Concerns_List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Group">
                <anchor moveWithCells="1" sizeWithCells="1">
                  <from>
                    <xdr:col>5</xdr:col>
                    <xdr:colOff>400050</xdr:colOff>
                    <xdr:row>3</xdr:row>
                    <xdr:rowOff>161925</xdr:rowOff>
                  </from>
                  <to>
                    <xdr:col>5</xdr:col>
                    <xdr:colOff>2324100</xdr:colOff>
                    <xdr:row>3</xdr:row>
                    <xdr:rowOff>628650</xdr:rowOff>
                  </to>
                </anchor>
              </controlPr>
            </control>
          </mc:Choice>
        </mc:AlternateContent>
        <mc:AlternateContent xmlns:mc="http://schemas.openxmlformats.org/markup-compatibility/2006">
          <mc:Choice Requires="x14">
            <control shapeId="1028" r:id="rId5" name="Button 4">
              <controlPr defaultSize="0" print="0" autoFill="0" autoPict="0" macro="[0]!UpdateSubGroup">
                <anchor moveWithCells="1" sizeWithCells="1">
                  <from>
                    <xdr:col>6</xdr:col>
                    <xdr:colOff>371475</xdr:colOff>
                    <xdr:row>3</xdr:row>
                    <xdr:rowOff>123825</xdr:rowOff>
                  </from>
                  <to>
                    <xdr:col>6</xdr:col>
                    <xdr:colOff>3009900</xdr:colOff>
                    <xdr:row>3</xdr:row>
                    <xdr:rowOff>638175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64D-2CD7-40DC-A6E9-0EDDF8556A24}">
  <sheetPr codeName="Sheet2"/>
  <dimension ref="A2:H217"/>
  <sheetViews>
    <sheetView topLeftCell="A22" workbookViewId="0">
      <selection activeCell="F31" sqref="F31"/>
    </sheetView>
  </sheetViews>
  <sheetFormatPr defaultRowHeight="15" x14ac:dyDescent="0.25"/>
  <cols>
    <col min="1" max="1" width="7.42578125" bestFit="1" customWidth="1"/>
    <col min="2" max="2" width="46.28515625" customWidth="1"/>
    <col min="3" max="3" width="45.7109375" customWidth="1"/>
    <col min="4" max="4" width="32.140625" customWidth="1"/>
    <col min="5" max="5" width="22.28515625" customWidth="1"/>
    <col min="6" max="6" width="27.140625" customWidth="1"/>
    <col min="7" max="7" width="13.85546875" customWidth="1"/>
    <col min="8" max="8" width="38.42578125" customWidth="1"/>
  </cols>
  <sheetData>
    <row r="2" spans="1:8" ht="42.75" customHeight="1" x14ac:dyDescent="0.25"/>
    <row r="3" spans="1:8" x14ac:dyDescent="0.25">
      <c r="A3" s="28" t="s">
        <v>1315</v>
      </c>
      <c r="B3" s="28"/>
      <c r="C3" s="28"/>
      <c r="D3" s="28"/>
      <c r="F3" s="12" t="s">
        <v>1316</v>
      </c>
      <c r="H3" s="12" t="s">
        <v>1324</v>
      </c>
    </row>
    <row r="4" spans="1:8" ht="30" x14ac:dyDescent="0.25">
      <c r="A4" s="14" t="s">
        <v>1179</v>
      </c>
      <c r="B4" s="14" t="s">
        <v>5</v>
      </c>
      <c r="C4" s="14" t="s">
        <v>788</v>
      </c>
      <c r="D4" s="14" t="s">
        <v>6</v>
      </c>
      <c r="F4" s="3" t="s">
        <v>1313</v>
      </c>
      <c r="H4" s="26" t="s">
        <v>1323</v>
      </c>
    </row>
    <row r="5" spans="1:8" x14ac:dyDescent="0.25">
      <c r="A5" s="13">
        <v>1</v>
      </c>
      <c r="B5" s="1" t="s">
        <v>151</v>
      </c>
      <c r="C5" s="1" t="s">
        <v>710</v>
      </c>
      <c r="D5" s="1" t="s">
        <v>380</v>
      </c>
      <c r="F5" s="3"/>
      <c r="H5" s="27" t="s">
        <v>711</v>
      </c>
    </row>
    <row r="6" spans="1:8" x14ac:dyDescent="0.25">
      <c r="A6" s="13">
        <f>A5+1</f>
        <v>2</v>
      </c>
      <c r="B6" s="1" t="s">
        <v>314</v>
      </c>
      <c r="C6" t="s">
        <v>728</v>
      </c>
      <c r="D6" s="1" t="s">
        <v>556</v>
      </c>
      <c r="H6" s="27" t="s">
        <v>709</v>
      </c>
    </row>
    <row r="7" spans="1:8" x14ac:dyDescent="0.25">
      <c r="A7" s="13">
        <f>A6+1</f>
        <v>3</v>
      </c>
      <c r="B7" s="1" t="s">
        <v>315</v>
      </c>
      <c r="C7" t="s">
        <v>728</v>
      </c>
      <c r="D7" s="1" t="s">
        <v>557</v>
      </c>
      <c r="H7" s="27" t="s">
        <v>716</v>
      </c>
    </row>
    <row r="8" spans="1:8" x14ac:dyDescent="0.25">
      <c r="A8" s="13">
        <f t="shared" ref="A8:A71" si="0">A7+1</f>
        <v>4</v>
      </c>
      <c r="B8" s="1" t="s">
        <v>283</v>
      </c>
      <c r="C8" s="1" t="s">
        <v>711</v>
      </c>
      <c r="D8" s="1" t="s">
        <v>526</v>
      </c>
      <c r="H8" s="27" t="s">
        <v>712</v>
      </c>
    </row>
    <row r="9" spans="1:8" x14ac:dyDescent="0.25">
      <c r="A9" s="13">
        <f t="shared" si="0"/>
        <v>5</v>
      </c>
      <c r="B9" s="1" t="s">
        <v>291</v>
      </c>
      <c r="C9" t="s">
        <v>715</v>
      </c>
      <c r="D9" s="1" t="s">
        <v>533</v>
      </c>
      <c r="H9" s="27" t="s">
        <v>710</v>
      </c>
    </row>
    <row r="10" spans="1:8" x14ac:dyDescent="0.25">
      <c r="A10" s="13">
        <f t="shared" si="0"/>
        <v>6</v>
      </c>
      <c r="B10" s="1" t="s">
        <v>147</v>
      </c>
      <c r="C10" s="1" t="s">
        <v>711</v>
      </c>
      <c r="D10" s="1" t="s">
        <v>376</v>
      </c>
      <c r="H10" s="27" t="s">
        <v>728</v>
      </c>
    </row>
    <row r="11" spans="1:8" x14ac:dyDescent="0.25">
      <c r="A11" s="13">
        <f t="shared" si="0"/>
        <v>7</v>
      </c>
      <c r="B11" s="1" t="s">
        <v>292</v>
      </c>
      <c r="C11" t="s">
        <v>711</v>
      </c>
      <c r="D11" s="1" t="s">
        <v>534</v>
      </c>
      <c r="H11" s="27" t="s">
        <v>727</v>
      </c>
    </row>
    <row r="12" spans="1:8" x14ac:dyDescent="0.25">
      <c r="A12" s="13">
        <f t="shared" si="0"/>
        <v>8</v>
      </c>
      <c r="B12" s="1" t="s">
        <v>162</v>
      </c>
      <c r="C12" t="s">
        <v>711</v>
      </c>
      <c r="D12" s="1" t="s">
        <v>391</v>
      </c>
      <c r="H12" s="27" t="s">
        <v>714</v>
      </c>
    </row>
    <row r="13" spans="1:8" x14ac:dyDescent="0.25">
      <c r="A13" s="13">
        <f t="shared" si="0"/>
        <v>9</v>
      </c>
      <c r="B13" t="s">
        <v>245</v>
      </c>
      <c r="C13" t="s">
        <v>711</v>
      </c>
      <c r="D13" t="s">
        <v>486</v>
      </c>
      <c r="H13" s="27" t="s">
        <v>717</v>
      </c>
    </row>
    <row r="14" spans="1:8" x14ac:dyDescent="0.25">
      <c r="A14" s="13">
        <f t="shared" si="0"/>
        <v>10</v>
      </c>
      <c r="B14" t="s">
        <v>226</v>
      </c>
      <c r="C14" t="s">
        <v>711</v>
      </c>
      <c r="D14" t="s">
        <v>462</v>
      </c>
      <c r="H14" s="27" t="s">
        <v>719</v>
      </c>
    </row>
    <row r="15" spans="1:8" x14ac:dyDescent="0.25">
      <c r="A15" s="13">
        <f t="shared" si="0"/>
        <v>11</v>
      </c>
      <c r="B15" t="s">
        <v>224</v>
      </c>
      <c r="C15" t="s">
        <v>708</v>
      </c>
      <c r="D15" t="s">
        <v>391</v>
      </c>
      <c r="H15" s="27" t="s">
        <v>718</v>
      </c>
    </row>
    <row r="16" spans="1:8" x14ac:dyDescent="0.25">
      <c r="A16" s="13">
        <f t="shared" si="0"/>
        <v>12</v>
      </c>
      <c r="B16" s="1" t="s">
        <v>305</v>
      </c>
      <c r="C16" t="s">
        <v>712</v>
      </c>
      <c r="D16" s="1" t="s">
        <v>547</v>
      </c>
      <c r="H16" s="27" t="s">
        <v>715</v>
      </c>
    </row>
    <row r="17" spans="1:8" x14ac:dyDescent="0.25">
      <c r="A17" s="13">
        <f t="shared" si="0"/>
        <v>13</v>
      </c>
      <c r="B17" t="s">
        <v>238</v>
      </c>
      <c r="C17" t="s">
        <v>708</v>
      </c>
      <c r="D17" t="s">
        <v>479</v>
      </c>
      <c r="H17" s="27" t="s">
        <v>726</v>
      </c>
    </row>
    <row r="18" spans="1:8" x14ac:dyDescent="0.25">
      <c r="A18" s="13">
        <f t="shared" si="0"/>
        <v>14</v>
      </c>
      <c r="B18" t="s">
        <v>243</v>
      </c>
      <c r="C18" t="s">
        <v>712</v>
      </c>
      <c r="D18" t="s">
        <v>484</v>
      </c>
      <c r="H18" s="27" t="s">
        <v>723</v>
      </c>
    </row>
    <row r="19" spans="1:8" x14ac:dyDescent="0.25">
      <c r="A19" s="13">
        <f t="shared" si="0"/>
        <v>15</v>
      </c>
      <c r="B19" t="s">
        <v>231</v>
      </c>
      <c r="C19" t="s">
        <v>711</v>
      </c>
      <c r="D19" t="s">
        <v>473</v>
      </c>
      <c r="H19" s="27" t="s">
        <v>708</v>
      </c>
    </row>
    <row r="20" spans="1:8" x14ac:dyDescent="0.25">
      <c r="A20" s="13">
        <f t="shared" si="0"/>
        <v>16</v>
      </c>
      <c r="B20" s="1" t="s">
        <v>280</v>
      </c>
      <c r="C20" s="1" t="s">
        <v>711</v>
      </c>
      <c r="D20" s="1" t="s">
        <v>523</v>
      </c>
      <c r="H20" s="27" t="s">
        <v>724</v>
      </c>
    </row>
    <row r="21" spans="1:8" x14ac:dyDescent="0.25">
      <c r="A21" s="13">
        <f t="shared" si="0"/>
        <v>17</v>
      </c>
      <c r="B21" s="1" t="s">
        <v>277</v>
      </c>
      <c r="C21" s="1" t="s">
        <v>708</v>
      </c>
      <c r="D21" s="1" t="s">
        <v>520</v>
      </c>
      <c r="H21" s="27" t="s">
        <v>713</v>
      </c>
    </row>
    <row r="22" spans="1:8" x14ac:dyDescent="0.25">
      <c r="A22" s="13">
        <f t="shared" si="0"/>
        <v>18</v>
      </c>
      <c r="B22" s="1" t="s">
        <v>268</v>
      </c>
      <c r="C22" t="s">
        <v>711</v>
      </c>
      <c r="D22" s="1" t="s">
        <v>509</v>
      </c>
      <c r="H22" s="27" t="s">
        <v>725</v>
      </c>
    </row>
    <row r="23" spans="1:8" x14ac:dyDescent="0.25">
      <c r="A23" s="13">
        <f t="shared" si="0"/>
        <v>19</v>
      </c>
      <c r="B23" s="1" t="s">
        <v>249</v>
      </c>
      <c r="C23" s="1" t="s">
        <v>711</v>
      </c>
      <c r="D23" s="1" t="s">
        <v>490</v>
      </c>
      <c r="H23" s="27" t="s">
        <v>720</v>
      </c>
    </row>
    <row r="24" spans="1:8" x14ac:dyDescent="0.25">
      <c r="A24" s="13">
        <f t="shared" si="0"/>
        <v>20</v>
      </c>
      <c r="B24" s="1" t="s">
        <v>342</v>
      </c>
      <c r="C24" s="1" t="s">
        <v>716</v>
      </c>
      <c r="D24" s="1" t="s">
        <v>396</v>
      </c>
      <c r="H24" s="27" t="s">
        <v>721</v>
      </c>
    </row>
    <row r="25" spans="1:8" x14ac:dyDescent="0.25">
      <c r="A25" s="13">
        <f t="shared" si="0"/>
        <v>21</v>
      </c>
      <c r="B25" t="s">
        <v>213</v>
      </c>
      <c r="C25" t="s">
        <v>708</v>
      </c>
      <c r="D25" t="s">
        <v>319</v>
      </c>
      <c r="H25" s="27" t="s">
        <v>722</v>
      </c>
    </row>
    <row r="26" spans="1:8" x14ac:dyDescent="0.25">
      <c r="A26" s="13">
        <f t="shared" si="0"/>
        <v>22</v>
      </c>
      <c r="B26" s="1" t="s">
        <v>182</v>
      </c>
      <c r="C26" s="1" t="s">
        <v>716</v>
      </c>
      <c r="D26" s="1" t="s">
        <v>413</v>
      </c>
    </row>
    <row r="27" spans="1:8" x14ac:dyDescent="0.25">
      <c r="A27" s="13">
        <f t="shared" si="0"/>
        <v>23</v>
      </c>
      <c r="B27" s="1" t="s">
        <v>302</v>
      </c>
      <c r="C27" s="1" t="s">
        <v>716</v>
      </c>
      <c r="D27" s="1" t="s">
        <v>544</v>
      </c>
    </row>
    <row r="28" spans="1:8" x14ac:dyDescent="0.25">
      <c r="A28" s="13">
        <f t="shared" si="0"/>
        <v>24</v>
      </c>
      <c r="B28" s="1" t="s">
        <v>275</v>
      </c>
      <c r="C28" t="s">
        <v>709</v>
      </c>
      <c r="D28" s="1" t="s">
        <v>518</v>
      </c>
    </row>
    <row r="29" spans="1:8" x14ac:dyDescent="0.25">
      <c r="A29" s="13">
        <f t="shared" si="0"/>
        <v>25</v>
      </c>
      <c r="B29" s="1" t="s">
        <v>289</v>
      </c>
      <c r="C29" t="s">
        <v>709</v>
      </c>
      <c r="D29" s="1" t="s">
        <v>531</v>
      </c>
    </row>
    <row r="30" spans="1:8" x14ac:dyDescent="0.25">
      <c r="A30" s="13">
        <f t="shared" si="0"/>
        <v>26</v>
      </c>
      <c r="B30" s="5" t="s">
        <v>154</v>
      </c>
      <c r="C30" t="s">
        <v>709</v>
      </c>
      <c r="D30" s="1" t="s">
        <v>383</v>
      </c>
    </row>
    <row r="31" spans="1:8" x14ac:dyDescent="0.25">
      <c r="A31" s="13">
        <f t="shared" si="0"/>
        <v>27</v>
      </c>
      <c r="B31" s="1" t="s">
        <v>252</v>
      </c>
      <c r="C31" t="s">
        <v>709</v>
      </c>
      <c r="D31" s="1" t="s">
        <v>493</v>
      </c>
    </row>
    <row r="32" spans="1:8" x14ac:dyDescent="0.25">
      <c r="A32" s="13">
        <f t="shared" si="0"/>
        <v>28</v>
      </c>
      <c r="B32" s="1" t="s">
        <v>282</v>
      </c>
      <c r="C32" t="s">
        <v>709</v>
      </c>
      <c r="D32" s="1" t="s">
        <v>525</v>
      </c>
    </row>
    <row r="33" spans="1:4" x14ac:dyDescent="0.25">
      <c r="A33" s="13">
        <f t="shared" si="0"/>
        <v>29</v>
      </c>
      <c r="B33" s="1" t="s">
        <v>286</v>
      </c>
      <c r="C33" t="s">
        <v>713</v>
      </c>
      <c r="D33" s="1" t="s">
        <v>528</v>
      </c>
    </row>
    <row r="34" spans="1:4" x14ac:dyDescent="0.25">
      <c r="A34" s="13">
        <f t="shared" si="0"/>
        <v>30</v>
      </c>
      <c r="B34" s="1" t="s">
        <v>281</v>
      </c>
      <c r="C34" t="s">
        <v>709</v>
      </c>
      <c r="D34" s="1" t="s">
        <v>524</v>
      </c>
    </row>
    <row r="35" spans="1:4" x14ac:dyDescent="0.25">
      <c r="A35" s="13">
        <f t="shared" si="0"/>
        <v>31</v>
      </c>
      <c r="B35" s="1" t="s">
        <v>189</v>
      </c>
      <c r="C35" t="s">
        <v>713</v>
      </c>
      <c r="D35" s="1" t="s">
        <v>425</v>
      </c>
    </row>
    <row r="36" spans="1:4" x14ac:dyDescent="0.25">
      <c r="A36" s="13">
        <f t="shared" si="0"/>
        <v>32</v>
      </c>
      <c r="B36" s="1" t="s">
        <v>340</v>
      </c>
      <c r="C36" t="s">
        <v>713</v>
      </c>
      <c r="D36" s="1" t="s">
        <v>375</v>
      </c>
    </row>
    <row r="37" spans="1:4" x14ac:dyDescent="0.25">
      <c r="A37" s="13">
        <f t="shared" si="0"/>
        <v>33</v>
      </c>
      <c r="B37" s="1" t="s">
        <v>308</v>
      </c>
      <c r="C37" t="s">
        <v>714</v>
      </c>
      <c r="D37" s="1" t="s">
        <v>550</v>
      </c>
    </row>
    <row r="38" spans="1:4" x14ac:dyDescent="0.25">
      <c r="A38" s="13">
        <f t="shared" si="0"/>
        <v>34</v>
      </c>
      <c r="B38" t="s">
        <v>214</v>
      </c>
      <c r="C38" t="s">
        <v>712</v>
      </c>
      <c r="D38" t="s">
        <v>453</v>
      </c>
    </row>
    <row r="39" spans="1:4" x14ac:dyDescent="0.25">
      <c r="A39" s="13">
        <f t="shared" si="0"/>
        <v>35</v>
      </c>
      <c r="B39" t="s">
        <v>206</v>
      </c>
      <c r="C39" t="s">
        <v>715</v>
      </c>
      <c r="D39" t="s">
        <v>443</v>
      </c>
    </row>
    <row r="40" spans="1:4" x14ac:dyDescent="0.25">
      <c r="A40" s="13">
        <f t="shared" si="0"/>
        <v>36</v>
      </c>
      <c r="B40" t="s">
        <v>239</v>
      </c>
      <c r="C40" t="s">
        <v>716</v>
      </c>
      <c r="D40" t="s">
        <v>480</v>
      </c>
    </row>
    <row r="41" spans="1:4" x14ac:dyDescent="0.25">
      <c r="A41" s="13">
        <f t="shared" si="0"/>
        <v>37</v>
      </c>
      <c r="B41" s="1" t="s">
        <v>150</v>
      </c>
      <c r="C41" t="s">
        <v>716</v>
      </c>
      <c r="D41" s="1" t="s">
        <v>379</v>
      </c>
    </row>
    <row r="42" spans="1:4" x14ac:dyDescent="0.25">
      <c r="A42" s="13">
        <f t="shared" si="0"/>
        <v>38</v>
      </c>
      <c r="B42" t="s">
        <v>227</v>
      </c>
      <c r="C42" t="s">
        <v>713</v>
      </c>
      <c r="D42" t="s">
        <v>463</v>
      </c>
    </row>
    <row r="43" spans="1:4" x14ac:dyDescent="0.25">
      <c r="A43" s="13">
        <f t="shared" si="0"/>
        <v>39</v>
      </c>
      <c r="B43" s="1" t="s">
        <v>152</v>
      </c>
      <c r="C43" t="s">
        <v>713</v>
      </c>
      <c r="D43" s="1" t="s">
        <v>381</v>
      </c>
    </row>
    <row r="44" spans="1:4" x14ac:dyDescent="0.25">
      <c r="A44" s="13">
        <f t="shared" si="0"/>
        <v>40</v>
      </c>
      <c r="B44" s="1" t="s">
        <v>288</v>
      </c>
      <c r="C44" t="s">
        <v>713</v>
      </c>
      <c r="D44" s="1" t="s">
        <v>530</v>
      </c>
    </row>
    <row r="45" spans="1:4" x14ac:dyDescent="0.25">
      <c r="A45" s="13">
        <f t="shared" si="0"/>
        <v>41</v>
      </c>
      <c r="B45" s="1" t="s">
        <v>253</v>
      </c>
      <c r="C45" t="s">
        <v>713</v>
      </c>
      <c r="D45" s="1" t="s">
        <v>494</v>
      </c>
    </row>
    <row r="46" spans="1:4" x14ac:dyDescent="0.25">
      <c r="A46" s="13">
        <f t="shared" si="0"/>
        <v>42</v>
      </c>
      <c r="B46" t="s">
        <v>244</v>
      </c>
      <c r="C46" t="s">
        <v>714</v>
      </c>
      <c r="D46" t="s">
        <v>485</v>
      </c>
    </row>
    <row r="47" spans="1:4" x14ac:dyDescent="0.25">
      <c r="A47" s="13">
        <f t="shared" si="0"/>
        <v>43</v>
      </c>
      <c r="B47" t="s">
        <v>211</v>
      </c>
      <c r="C47" t="s">
        <v>712</v>
      </c>
      <c r="D47" t="s">
        <v>452</v>
      </c>
    </row>
    <row r="48" spans="1:4" x14ac:dyDescent="0.25">
      <c r="A48" s="13">
        <f t="shared" si="0"/>
        <v>44</v>
      </c>
      <c r="B48" t="s">
        <v>237</v>
      </c>
      <c r="C48" t="s">
        <v>712</v>
      </c>
      <c r="D48" t="s">
        <v>478</v>
      </c>
    </row>
    <row r="49" spans="1:4" x14ac:dyDescent="0.25">
      <c r="A49" s="13">
        <f t="shared" si="0"/>
        <v>45</v>
      </c>
      <c r="B49" s="1" t="s">
        <v>176</v>
      </c>
      <c r="C49" t="s">
        <v>709</v>
      </c>
      <c r="D49" s="1" t="s">
        <v>407</v>
      </c>
    </row>
    <row r="50" spans="1:4" x14ac:dyDescent="0.25">
      <c r="A50" s="13">
        <f t="shared" si="0"/>
        <v>46</v>
      </c>
      <c r="B50" t="s">
        <v>217</v>
      </c>
      <c r="C50" t="s">
        <v>712</v>
      </c>
      <c r="D50" t="s">
        <v>456</v>
      </c>
    </row>
    <row r="51" spans="1:4" x14ac:dyDescent="0.25">
      <c r="A51" s="13">
        <f t="shared" si="0"/>
        <v>47</v>
      </c>
      <c r="B51" t="s">
        <v>233</v>
      </c>
      <c r="C51" t="s">
        <v>709</v>
      </c>
      <c r="D51" t="s">
        <v>474</v>
      </c>
    </row>
    <row r="52" spans="1:4" x14ac:dyDescent="0.25">
      <c r="A52" s="13">
        <f t="shared" si="0"/>
        <v>48</v>
      </c>
      <c r="B52" s="1" t="s">
        <v>346</v>
      </c>
      <c r="C52" t="s">
        <v>709</v>
      </c>
      <c r="D52" s="1" t="s">
        <v>420</v>
      </c>
    </row>
    <row r="53" spans="1:4" x14ac:dyDescent="0.25">
      <c r="A53" s="13">
        <f t="shared" si="0"/>
        <v>49</v>
      </c>
      <c r="B53" s="1" t="s">
        <v>303</v>
      </c>
      <c r="C53" t="s">
        <v>716</v>
      </c>
      <c r="D53" s="1" t="s">
        <v>545</v>
      </c>
    </row>
    <row r="54" spans="1:4" x14ac:dyDescent="0.25">
      <c r="A54" s="13">
        <f t="shared" si="0"/>
        <v>50</v>
      </c>
      <c r="B54" s="1" t="s">
        <v>263</v>
      </c>
      <c r="C54" t="s">
        <v>714</v>
      </c>
      <c r="D54" s="1" t="s">
        <v>504</v>
      </c>
    </row>
    <row r="55" spans="1:4" x14ac:dyDescent="0.25">
      <c r="A55" s="13">
        <f t="shared" si="0"/>
        <v>51</v>
      </c>
      <c r="B55" s="1" t="s">
        <v>163</v>
      </c>
      <c r="C55" t="s">
        <v>714</v>
      </c>
      <c r="D55" s="1" t="s">
        <v>392</v>
      </c>
    </row>
    <row r="56" spans="1:4" x14ac:dyDescent="0.25">
      <c r="A56" s="13">
        <f t="shared" si="0"/>
        <v>52</v>
      </c>
      <c r="B56" t="s">
        <v>203</v>
      </c>
      <c r="C56" t="s">
        <v>714</v>
      </c>
      <c r="D56" t="s">
        <v>440</v>
      </c>
    </row>
    <row r="57" spans="1:4" x14ac:dyDescent="0.25">
      <c r="A57" s="13">
        <f t="shared" si="0"/>
        <v>53</v>
      </c>
      <c r="B57" t="s">
        <v>357</v>
      </c>
      <c r="C57" t="s">
        <v>709</v>
      </c>
      <c r="D57" t="s">
        <v>467</v>
      </c>
    </row>
    <row r="58" spans="1:4" x14ac:dyDescent="0.25">
      <c r="A58" s="13">
        <f t="shared" si="0"/>
        <v>54</v>
      </c>
      <c r="B58" t="s">
        <v>196</v>
      </c>
      <c r="C58" t="s">
        <v>710</v>
      </c>
      <c r="D58" t="s">
        <v>433</v>
      </c>
    </row>
    <row r="59" spans="1:4" x14ac:dyDescent="0.25">
      <c r="A59" s="13">
        <f t="shared" si="0"/>
        <v>55</v>
      </c>
      <c r="B59" s="1" t="s">
        <v>318</v>
      </c>
      <c r="C59" s="1" t="s">
        <v>710</v>
      </c>
      <c r="D59" s="1" t="s">
        <v>560</v>
      </c>
    </row>
    <row r="60" spans="1:4" x14ac:dyDescent="0.25">
      <c r="A60" s="13">
        <f t="shared" si="0"/>
        <v>56</v>
      </c>
      <c r="B60" s="1" t="s">
        <v>312</v>
      </c>
      <c r="C60" t="s">
        <v>728</v>
      </c>
      <c r="D60" s="1" t="s">
        <v>554</v>
      </c>
    </row>
    <row r="61" spans="1:4" x14ac:dyDescent="0.25">
      <c r="A61" s="13">
        <f t="shared" si="0"/>
        <v>57</v>
      </c>
      <c r="B61" s="1" t="s">
        <v>325</v>
      </c>
      <c r="C61" s="1" t="s">
        <v>710</v>
      </c>
      <c r="D61" s="1" t="s">
        <v>363</v>
      </c>
    </row>
    <row r="62" spans="1:4" x14ac:dyDescent="0.25">
      <c r="A62" s="13">
        <f t="shared" si="0"/>
        <v>58</v>
      </c>
      <c r="B62" s="1" t="s">
        <v>311</v>
      </c>
      <c r="C62" s="1" t="s">
        <v>710</v>
      </c>
      <c r="D62" s="1" t="s">
        <v>553</v>
      </c>
    </row>
    <row r="63" spans="1:4" x14ac:dyDescent="0.25">
      <c r="A63" s="13">
        <f t="shared" si="0"/>
        <v>59</v>
      </c>
      <c r="B63" s="1" t="s">
        <v>140</v>
      </c>
      <c r="C63" s="1" t="s">
        <v>716</v>
      </c>
      <c r="D63" s="1" t="s">
        <v>367</v>
      </c>
    </row>
    <row r="64" spans="1:4" x14ac:dyDescent="0.25">
      <c r="A64" s="13">
        <f t="shared" si="0"/>
        <v>60</v>
      </c>
      <c r="B64" s="1" t="s">
        <v>187</v>
      </c>
      <c r="C64" t="s">
        <v>708</v>
      </c>
      <c r="D64" s="1" t="s">
        <v>422</v>
      </c>
    </row>
    <row r="65" spans="1:4" x14ac:dyDescent="0.25">
      <c r="A65" s="13">
        <f t="shared" si="0"/>
        <v>61</v>
      </c>
      <c r="B65" t="s">
        <v>220</v>
      </c>
      <c r="C65" s="1" t="s">
        <v>721</v>
      </c>
      <c r="D65" t="s">
        <v>459</v>
      </c>
    </row>
    <row r="66" spans="1:4" x14ac:dyDescent="0.25">
      <c r="A66" s="13">
        <f t="shared" si="0"/>
        <v>62</v>
      </c>
      <c r="B66" s="1" t="s">
        <v>166</v>
      </c>
      <c r="C66" s="1" t="s">
        <v>721</v>
      </c>
      <c r="D66" s="1" t="s">
        <v>398</v>
      </c>
    </row>
    <row r="67" spans="1:4" x14ac:dyDescent="0.25">
      <c r="A67" s="13">
        <f t="shared" si="0"/>
        <v>63</v>
      </c>
      <c r="B67" s="1" t="s">
        <v>266</v>
      </c>
      <c r="C67" t="s">
        <v>709</v>
      </c>
      <c r="D67" s="1" t="s">
        <v>507</v>
      </c>
    </row>
    <row r="68" spans="1:4" x14ac:dyDescent="0.25">
      <c r="A68" s="13">
        <f t="shared" si="0"/>
        <v>64</v>
      </c>
      <c r="B68" s="1" t="s">
        <v>294</v>
      </c>
      <c r="C68" s="1" t="s">
        <v>721</v>
      </c>
      <c r="D68" s="1" t="s">
        <v>536</v>
      </c>
    </row>
    <row r="69" spans="1:4" x14ac:dyDescent="0.25">
      <c r="A69" s="13">
        <f t="shared" si="0"/>
        <v>65</v>
      </c>
      <c r="B69" s="1" t="s">
        <v>293</v>
      </c>
      <c r="C69" s="1" t="s">
        <v>716</v>
      </c>
      <c r="D69" s="1" t="s">
        <v>535</v>
      </c>
    </row>
    <row r="70" spans="1:4" x14ac:dyDescent="0.25">
      <c r="A70" s="13">
        <f t="shared" si="0"/>
        <v>66</v>
      </c>
      <c r="B70" s="1" t="s">
        <v>137</v>
      </c>
      <c r="C70" t="s">
        <v>715</v>
      </c>
      <c r="D70" s="1" t="s">
        <v>317</v>
      </c>
    </row>
    <row r="71" spans="1:4" x14ac:dyDescent="0.25">
      <c r="A71" s="13">
        <f t="shared" si="0"/>
        <v>67</v>
      </c>
      <c r="B71" s="1" t="s">
        <v>310</v>
      </c>
      <c r="C71" t="s">
        <v>708</v>
      </c>
      <c r="D71" s="1" t="s">
        <v>552</v>
      </c>
    </row>
    <row r="72" spans="1:4" x14ac:dyDescent="0.25">
      <c r="A72" s="13">
        <f t="shared" ref="A72:A135" si="1">A71+1</f>
        <v>68</v>
      </c>
      <c r="B72" s="1" t="s">
        <v>138</v>
      </c>
      <c r="C72" t="s">
        <v>708</v>
      </c>
      <c r="D72" s="1" t="s">
        <v>365</v>
      </c>
    </row>
    <row r="73" spans="1:4" x14ac:dyDescent="0.25">
      <c r="A73" s="13">
        <f t="shared" si="1"/>
        <v>69</v>
      </c>
      <c r="B73" s="1" t="s">
        <v>148</v>
      </c>
      <c r="C73" t="s">
        <v>712</v>
      </c>
      <c r="D73" s="1" t="s">
        <v>377</v>
      </c>
    </row>
    <row r="74" spans="1:4" x14ac:dyDescent="0.25">
      <c r="A74" s="13">
        <f t="shared" si="1"/>
        <v>70</v>
      </c>
      <c r="B74" t="s">
        <v>232</v>
      </c>
      <c r="C74" t="s">
        <v>712</v>
      </c>
      <c r="D74" t="s">
        <v>399</v>
      </c>
    </row>
    <row r="75" spans="1:4" x14ac:dyDescent="0.25">
      <c r="A75" s="13">
        <f t="shared" si="1"/>
        <v>71</v>
      </c>
      <c r="B75" s="1" t="s">
        <v>157</v>
      </c>
      <c r="C75" s="1" t="s">
        <v>723</v>
      </c>
      <c r="D75" s="1" t="s">
        <v>386</v>
      </c>
    </row>
    <row r="76" spans="1:4" x14ac:dyDescent="0.25">
      <c r="A76" s="13">
        <f t="shared" si="1"/>
        <v>72</v>
      </c>
      <c r="B76" s="1" t="s">
        <v>177</v>
      </c>
      <c r="C76" s="1" t="s">
        <v>723</v>
      </c>
      <c r="D76" s="1" t="s">
        <v>408</v>
      </c>
    </row>
    <row r="77" spans="1:4" x14ac:dyDescent="0.25">
      <c r="A77" s="13">
        <f t="shared" si="1"/>
        <v>73</v>
      </c>
      <c r="B77" t="s">
        <v>241</v>
      </c>
      <c r="C77" t="s">
        <v>714</v>
      </c>
      <c r="D77" t="s">
        <v>482</v>
      </c>
    </row>
    <row r="78" spans="1:4" x14ac:dyDescent="0.25">
      <c r="A78" s="13">
        <f t="shared" si="1"/>
        <v>74</v>
      </c>
      <c r="B78" s="1" t="s">
        <v>301</v>
      </c>
      <c r="C78" t="s">
        <v>713</v>
      </c>
      <c r="D78" s="1" t="s">
        <v>543</v>
      </c>
    </row>
    <row r="79" spans="1:4" x14ac:dyDescent="0.25">
      <c r="A79" s="13">
        <f t="shared" si="1"/>
        <v>75</v>
      </c>
      <c r="B79" s="1" t="s">
        <v>168</v>
      </c>
      <c r="C79" s="1" t="s">
        <v>714</v>
      </c>
      <c r="D79" s="1" t="s">
        <v>399</v>
      </c>
    </row>
    <row r="80" spans="1:4" x14ac:dyDescent="0.25">
      <c r="A80" s="13">
        <f t="shared" si="1"/>
        <v>76</v>
      </c>
      <c r="B80" t="s">
        <v>202</v>
      </c>
      <c r="C80" t="s">
        <v>717</v>
      </c>
      <c r="D80" t="s">
        <v>439</v>
      </c>
    </row>
    <row r="81" spans="1:4" x14ac:dyDescent="0.25">
      <c r="A81" s="13">
        <f t="shared" si="1"/>
        <v>77</v>
      </c>
      <c r="B81" s="1" t="s">
        <v>184</v>
      </c>
      <c r="C81" t="s">
        <v>717</v>
      </c>
      <c r="D81" s="1" t="s">
        <v>417</v>
      </c>
    </row>
    <row r="82" spans="1:4" x14ac:dyDescent="0.25">
      <c r="A82" s="13">
        <f t="shared" si="1"/>
        <v>78</v>
      </c>
      <c r="B82" s="1" t="s">
        <v>145</v>
      </c>
      <c r="C82" t="s">
        <v>716</v>
      </c>
      <c r="D82" s="1" t="s">
        <v>373</v>
      </c>
    </row>
    <row r="83" spans="1:4" x14ac:dyDescent="0.25">
      <c r="A83" s="13">
        <f t="shared" si="1"/>
        <v>79</v>
      </c>
      <c r="B83" s="1" t="s">
        <v>185</v>
      </c>
      <c r="C83" t="s">
        <v>716</v>
      </c>
      <c r="D83" s="1" t="s">
        <v>419</v>
      </c>
    </row>
    <row r="84" spans="1:4" x14ac:dyDescent="0.25">
      <c r="A84" s="13">
        <f t="shared" si="1"/>
        <v>80</v>
      </c>
      <c r="B84" t="s">
        <v>355</v>
      </c>
      <c r="C84" t="s">
        <v>716</v>
      </c>
      <c r="D84" t="s">
        <v>465</v>
      </c>
    </row>
    <row r="85" spans="1:4" x14ac:dyDescent="0.25">
      <c r="A85" s="13">
        <f t="shared" si="1"/>
        <v>81</v>
      </c>
      <c r="B85" t="s">
        <v>199</v>
      </c>
      <c r="C85" t="s">
        <v>718</v>
      </c>
      <c r="D85" t="s">
        <v>436</v>
      </c>
    </row>
    <row r="86" spans="1:4" x14ac:dyDescent="0.25">
      <c r="A86" s="13">
        <f t="shared" si="1"/>
        <v>82</v>
      </c>
      <c r="B86" s="1" t="s">
        <v>158</v>
      </c>
      <c r="C86" s="1" t="s">
        <v>712</v>
      </c>
      <c r="D86" s="1" t="s">
        <v>394</v>
      </c>
    </row>
    <row r="87" spans="1:4" x14ac:dyDescent="0.25">
      <c r="A87" s="13">
        <f t="shared" si="1"/>
        <v>83</v>
      </c>
      <c r="B87" t="s">
        <v>222</v>
      </c>
      <c r="C87" t="s">
        <v>712</v>
      </c>
      <c r="D87" t="s">
        <v>459</v>
      </c>
    </row>
    <row r="88" spans="1:4" x14ac:dyDescent="0.25">
      <c r="A88" s="13">
        <f t="shared" si="1"/>
        <v>84</v>
      </c>
      <c r="B88" s="1" t="s">
        <v>285</v>
      </c>
      <c r="C88" s="1" t="s">
        <v>711</v>
      </c>
      <c r="D88" s="1" t="s">
        <v>527</v>
      </c>
    </row>
    <row r="89" spans="1:4" x14ac:dyDescent="0.25">
      <c r="A89" s="13">
        <f t="shared" si="1"/>
        <v>85</v>
      </c>
      <c r="B89" s="1" t="s">
        <v>272</v>
      </c>
      <c r="C89" t="s">
        <v>711</v>
      </c>
      <c r="D89" s="1" t="s">
        <v>514</v>
      </c>
    </row>
    <row r="90" spans="1:4" x14ac:dyDescent="0.25">
      <c r="A90" s="13">
        <f t="shared" si="1"/>
        <v>86</v>
      </c>
      <c r="B90" t="s">
        <v>205</v>
      </c>
      <c r="C90" t="s">
        <v>711</v>
      </c>
      <c r="D90" t="s">
        <v>442</v>
      </c>
    </row>
    <row r="91" spans="1:4" x14ac:dyDescent="0.25">
      <c r="A91" s="13">
        <f t="shared" si="1"/>
        <v>87</v>
      </c>
      <c r="B91" t="s">
        <v>207</v>
      </c>
      <c r="C91" t="s">
        <v>711</v>
      </c>
      <c r="D91" t="s">
        <v>445</v>
      </c>
    </row>
    <row r="92" spans="1:4" x14ac:dyDescent="0.25">
      <c r="A92" s="13">
        <f t="shared" si="1"/>
        <v>88</v>
      </c>
      <c r="B92" s="1" t="s">
        <v>164</v>
      </c>
      <c r="C92" t="s">
        <v>711</v>
      </c>
      <c r="D92" s="1" t="s">
        <v>393</v>
      </c>
    </row>
    <row r="93" spans="1:4" x14ac:dyDescent="0.25">
      <c r="A93" s="13">
        <f t="shared" si="1"/>
        <v>89</v>
      </c>
      <c r="B93" s="1" t="s">
        <v>264</v>
      </c>
      <c r="C93" t="s">
        <v>728</v>
      </c>
      <c r="D93" s="1" t="s">
        <v>505</v>
      </c>
    </row>
    <row r="94" spans="1:4" x14ac:dyDescent="0.25">
      <c r="A94" s="13">
        <f t="shared" si="1"/>
        <v>90</v>
      </c>
      <c r="B94" s="1" t="s">
        <v>256</v>
      </c>
      <c r="C94" t="s">
        <v>719</v>
      </c>
      <c r="D94" s="1" t="s">
        <v>497</v>
      </c>
    </row>
    <row r="95" spans="1:4" x14ac:dyDescent="0.25">
      <c r="A95" s="13">
        <f t="shared" si="1"/>
        <v>91</v>
      </c>
      <c r="B95" s="1" t="s">
        <v>257</v>
      </c>
      <c r="C95" t="s">
        <v>719</v>
      </c>
      <c r="D95" s="1" t="s">
        <v>498</v>
      </c>
    </row>
    <row r="96" spans="1:4" x14ac:dyDescent="0.25">
      <c r="A96" s="13">
        <f t="shared" si="1"/>
        <v>92</v>
      </c>
      <c r="B96" t="s">
        <v>223</v>
      </c>
      <c r="C96" t="s">
        <v>719</v>
      </c>
      <c r="D96" t="s">
        <v>460</v>
      </c>
    </row>
    <row r="97" spans="1:4" x14ac:dyDescent="0.25">
      <c r="A97" s="13">
        <f t="shared" si="1"/>
        <v>93</v>
      </c>
      <c r="B97" s="1" t="s">
        <v>260</v>
      </c>
      <c r="C97" t="s">
        <v>719</v>
      </c>
      <c r="D97" s="1" t="s">
        <v>501</v>
      </c>
    </row>
    <row r="98" spans="1:4" x14ac:dyDescent="0.25">
      <c r="A98" s="13">
        <f t="shared" si="1"/>
        <v>94</v>
      </c>
      <c r="B98" s="1" t="s">
        <v>304</v>
      </c>
      <c r="C98" t="s">
        <v>712</v>
      </c>
      <c r="D98" s="1" t="s">
        <v>546</v>
      </c>
    </row>
    <row r="99" spans="1:4" x14ac:dyDescent="0.25">
      <c r="A99" s="13">
        <f t="shared" si="1"/>
        <v>95</v>
      </c>
      <c r="B99" s="1" t="s">
        <v>265</v>
      </c>
      <c r="C99" t="s">
        <v>712</v>
      </c>
      <c r="D99" s="1" t="s">
        <v>506</v>
      </c>
    </row>
    <row r="100" spans="1:4" x14ac:dyDescent="0.25">
      <c r="A100" s="13">
        <f t="shared" si="1"/>
        <v>96</v>
      </c>
      <c r="B100" s="1" t="s">
        <v>271</v>
      </c>
      <c r="C100" t="s">
        <v>710</v>
      </c>
      <c r="D100" s="1" t="s">
        <v>512</v>
      </c>
    </row>
    <row r="101" spans="1:4" x14ac:dyDescent="0.25">
      <c r="A101" s="13">
        <f t="shared" si="1"/>
        <v>97</v>
      </c>
      <c r="B101" s="1" t="s">
        <v>172</v>
      </c>
      <c r="C101" t="s">
        <v>717</v>
      </c>
      <c r="D101" s="1" t="s">
        <v>403</v>
      </c>
    </row>
    <row r="102" spans="1:4" x14ac:dyDescent="0.25">
      <c r="A102" s="13">
        <f t="shared" si="1"/>
        <v>98</v>
      </c>
      <c r="B102" s="1" t="s">
        <v>250</v>
      </c>
      <c r="C102" t="s">
        <v>710</v>
      </c>
      <c r="D102" s="1" t="s">
        <v>491</v>
      </c>
    </row>
    <row r="103" spans="1:4" x14ac:dyDescent="0.25">
      <c r="A103" s="13">
        <f t="shared" si="1"/>
        <v>99</v>
      </c>
      <c r="B103" s="1" t="s">
        <v>169</v>
      </c>
      <c r="C103" t="s">
        <v>710</v>
      </c>
      <c r="D103" s="1" t="s">
        <v>400</v>
      </c>
    </row>
    <row r="104" spans="1:4" x14ac:dyDescent="0.25">
      <c r="A104" s="13">
        <f t="shared" si="1"/>
        <v>100</v>
      </c>
      <c r="B104" t="s">
        <v>198</v>
      </c>
      <c r="C104" t="s">
        <v>710</v>
      </c>
      <c r="D104" t="s">
        <v>435</v>
      </c>
    </row>
    <row r="105" spans="1:4" x14ac:dyDescent="0.25">
      <c r="A105" s="13">
        <f t="shared" si="1"/>
        <v>101</v>
      </c>
      <c r="B105" t="s">
        <v>193</v>
      </c>
      <c r="C105" t="s">
        <v>710</v>
      </c>
      <c r="D105" t="s">
        <v>429</v>
      </c>
    </row>
    <row r="106" spans="1:4" x14ac:dyDescent="0.25">
      <c r="A106" s="13">
        <f t="shared" si="1"/>
        <v>102</v>
      </c>
      <c r="B106" s="1" t="s">
        <v>259</v>
      </c>
      <c r="C106" s="1" t="s">
        <v>712</v>
      </c>
      <c r="D106" s="1" t="s">
        <v>500</v>
      </c>
    </row>
    <row r="107" spans="1:4" x14ac:dyDescent="0.25">
      <c r="A107" s="13">
        <f t="shared" si="1"/>
        <v>103</v>
      </c>
      <c r="B107" s="1" t="s">
        <v>179</v>
      </c>
      <c r="C107" s="1" t="s">
        <v>710</v>
      </c>
      <c r="D107" s="1" t="s">
        <v>410</v>
      </c>
    </row>
    <row r="108" spans="1:4" x14ac:dyDescent="0.25">
      <c r="A108" s="13">
        <f t="shared" si="1"/>
        <v>104</v>
      </c>
      <c r="B108" s="1" t="s">
        <v>156</v>
      </c>
      <c r="C108" s="1" t="s">
        <v>718</v>
      </c>
      <c r="D108" s="1" t="s">
        <v>385</v>
      </c>
    </row>
    <row r="109" spans="1:4" x14ac:dyDescent="0.25">
      <c r="A109" s="13">
        <f t="shared" si="1"/>
        <v>105</v>
      </c>
      <c r="B109" t="s">
        <v>236</v>
      </c>
      <c r="C109" s="1" t="s">
        <v>718</v>
      </c>
      <c r="D109" t="s">
        <v>477</v>
      </c>
    </row>
    <row r="110" spans="1:4" x14ac:dyDescent="0.25">
      <c r="A110" s="13">
        <f t="shared" si="1"/>
        <v>106</v>
      </c>
      <c r="B110" t="s">
        <v>204</v>
      </c>
      <c r="C110" s="1" t="s">
        <v>721</v>
      </c>
      <c r="D110" t="s">
        <v>441</v>
      </c>
    </row>
    <row r="111" spans="1:4" x14ac:dyDescent="0.25">
      <c r="A111" s="13">
        <f t="shared" si="1"/>
        <v>107</v>
      </c>
      <c r="B111" s="1" t="s">
        <v>296</v>
      </c>
      <c r="C111" s="1" t="s">
        <v>721</v>
      </c>
      <c r="D111" s="1" t="s">
        <v>538</v>
      </c>
    </row>
    <row r="112" spans="1:4" x14ac:dyDescent="0.25">
      <c r="A112" s="13">
        <f t="shared" si="1"/>
        <v>108</v>
      </c>
      <c r="B112" s="1" t="s">
        <v>323</v>
      </c>
      <c r="C112" s="1" t="s">
        <v>721</v>
      </c>
      <c r="D112" s="1" t="s">
        <v>565</v>
      </c>
    </row>
    <row r="113" spans="1:4" x14ac:dyDescent="0.25">
      <c r="A113" s="13">
        <f t="shared" si="1"/>
        <v>109</v>
      </c>
      <c r="B113" s="1" t="s">
        <v>321</v>
      </c>
      <c r="C113" s="1" t="s">
        <v>710</v>
      </c>
      <c r="D113" s="1" t="s">
        <v>563</v>
      </c>
    </row>
    <row r="114" spans="1:4" x14ac:dyDescent="0.25">
      <c r="A114" s="13">
        <f t="shared" si="1"/>
        <v>110</v>
      </c>
      <c r="B114" s="1" t="s">
        <v>344</v>
      </c>
      <c r="C114" s="1" t="s">
        <v>716</v>
      </c>
      <c r="D114" s="1" t="s">
        <v>415</v>
      </c>
    </row>
    <row r="115" spans="1:4" x14ac:dyDescent="0.25">
      <c r="A115" s="13">
        <f t="shared" si="1"/>
        <v>111</v>
      </c>
      <c r="B115" s="1" t="s">
        <v>149</v>
      </c>
      <c r="C115" s="1" t="s">
        <v>721</v>
      </c>
      <c r="D115" s="1" t="s">
        <v>378</v>
      </c>
    </row>
    <row r="116" spans="1:4" x14ac:dyDescent="0.25">
      <c r="A116" s="13">
        <f t="shared" si="1"/>
        <v>112</v>
      </c>
      <c r="B116" s="1" t="s">
        <v>188</v>
      </c>
      <c r="C116" s="1" t="s">
        <v>721</v>
      </c>
      <c r="D116" s="1" t="s">
        <v>423</v>
      </c>
    </row>
    <row r="117" spans="1:4" x14ac:dyDescent="0.25">
      <c r="A117" s="13">
        <f t="shared" si="1"/>
        <v>113</v>
      </c>
      <c r="B117" s="1" t="s">
        <v>316</v>
      </c>
      <c r="C117" s="1" t="s">
        <v>721</v>
      </c>
      <c r="D117" s="1" t="s">
        <v>558</v>
      </c>
    </row>
    <row r="118" spans="1:4" x14ac:dyDescent="0.25">
      <c r="A118" s="13">
        <f t="shared" si="1"/>
        <v>114</v>
      </c>
      <c r="B118" s="1" t="s">
        <v>287</v>
      </c>
      <c r="C118" s="1" t="s">
        <v>716</v>
      </c>
      <c r="D118" s="1" t="s">
        <v>529</v>
      </c>
    </row>
    <row r="119" spans="1:4" x14ac:dyDescent="0.25">
      <c r="A119" s="13">
        <f t="shared" si="1"/>
        <v>115</v>
      </c>
      <c r="B119" s="1" t="s">
        <v>307</v>
      </c>
      <c r="C119" s="1" t="s">
        <v>721</v>
      </c>
      <c r="D119" s="1" t="s">
        <v>549</v>
      </c>
    </row>
    <row r="120" spans="1:4" x14ac:dyDescent="0.25">
      <c r="A120" s="13">
        <f t="shared" si="1"/>
        <v>116</v>
      </c>
      <c r="B120" s="1" t="s">
        <v>309</v>
      </c>
      <c r="C120" s="1" t="s">
        <v>721</v>
      </c>
      <c r="D120" s="1" t="s">
        <v>551</v>
      </c>
    </row>
    <row r="121" spans="1:4" x14ac:dyDescent="0.25">
      <c r="A121" s="13">
        <f t="shared" si="1"/>
        <v>117</v>
      </c>
      <c r="B121" s="1" t="s">
        <v>295</v>
      </c>
      <c r="C121" s="1" t="s">
        <v>721</v>
      </c>
      <c r="D121" s="1" t="s">
        <v>537</v>
      </c>
    </row>
    <row r="122" spans="1:4" x14ac:dyDescent="0.25">
      <c r="A122" s="13">
        <f t="shared" si="1"/>
        <v>118</v>
      </c>
      <c r="B122" s="1" t="s">
        <v>155</v>
      </c>
      <c r="C122" s="1" t="s">
        <v>721</v>
      </c>
      <c r="D122" s="1" t="s">
        <v>384</v>
      </c>
    </row>
    <row r="123" spans="1:4" x14ac:dyDescent="0.25">
      <c r="A123" s="13">
        <f t="shared" si="1"/>
        <v>119</v>
      </c>
      <c r="B123" t="s">
        <v>230</v>
      </c>
      <c r="C123" t="s">
        <v>712</v>
      </c>
      <c r="D123" t="s">
        <v>472</v>
      </c>
    </row>
    <row r="124" spans="1:4" x14ac:dyDescent="0.25">
      <c r="A124" s="13">
        <f t="shared" si="1"/>
        <v>120</v>
      </c>
      <c r="B124" s="1" t="s">
        <v>165</v>
      </c>
      <c r="C124" s="1" t="s">
        <v>714</v>
      </c>
      <c r="D124" s="1" t="s">
        <v>395</v>
      </c>
    </row>
    <row r="125" spans="1:4" x14ac:dyDescent="0.25">
      <c r="A125" s="13">
        <f t="shared" si="1"/>
        <v>121</v>
      </c>
      <c r="B125" s="1" t="s">
        <v>267</v>
      </c>
      <c r="C125" s="1" t="s">
        <v>714</v>
      </c>
      <c r="D125" s="1" t="s">
        <v>508</v>
      </c>
    </row>
    <row r="126" spans="1:4" x14ac:dyDescent="0.25">
      <c r="A126" s="13">
        <f t="shared" si="1"/>
        <v>122</v>
      </c>
      <c r="B126" t="s">
        <v>201</v>
      </c>
      <c r="C126" t="s">
        <v>720</v>
      </c>
      <c r="D126" t="s">
        <v>438</v>
      </c>
    </row>
    <row r="127" spans="1:4" x14ac:dyDescent="0.25">
      <c r="A127" s="13">
        <f t="shared" si="1"/>
        <v>123</v>
      </c>
      <c r="B127" t="s">
        <v>200</v>
      </c>
      <c r="C127" s="1" t="s">
        <v>710</v>
      </c>
      <c r="D127" t="s">
        <v>437</v>
      </c>
    </row>
    <row r="128" spans="1:4" x14ac:dyDescent="0.25">
      <c r="A128" s="13">
        <f t="shared" si="1"/>
        <v>124</v>
      </c>
      <c r="B128" t="s">
        <v>209</v>
      </c>
      <c r="C128" t="s">
        <v>720</v>
      </c>
      <c r="D128" t="s">
        <v>450</v>
      </c>
    </row>
    <row r="129" spans="1:4" x14ac:dyDescent="0.25">
      <c r="A129" s="13">
        <f t="shared" si="1"/>
        <v>125</v>
      </c>
      <c r="B129" s="1" t="s">
        <v>297</v>
      </c>
      <c r="C129" s="1" t="s">
        <v>710</v>
      </c>
      <c r="D129" s="1" t="s">
        <v>539</v>
      </c>
    </row>
    <row r="130" spans="1:4" x14ac:dyDescent="0.25">
      <c r="A130" s="13">
        <f t="shared" si="1"/>
        <v>126</v>
      </c>
      <c r="B130" s="1" t="s">
        <v>274</v>
      </c>
      <c r="C130" s="1" t="s">
        <v>721</v>
      </c>
      <c r="D130" s="1" t="s">
        <v>517</v>
      </c>
    </row>
    <row r="131" spans="1:4" x14ac:dyDescent="0.25">
      <c r="A131" s="13">
        <f t="shared" si="1"/>
        <v>127</v>
      </c>
      <c r="B131" s="1" t="s">
        <v>142</v>
      </c>
      <c r="C131" s="1" t="s">
        <v>714</v>
      </c>
      <c r="D131" s="1" t="s">
        <v>369</v>
      </c>
    </row>
    <row r="132" spans="1:4" x14ac:dyDescent="0.25">
      <c r="A132" s="13">
        <f t="shared" si="1"/>
        <v>128</v>
      </c>
      <c r="B132" s="1" t="s">
        <v>360</v>
      </c>
      <c r="C132" s="1" t="s">
        <v>722</v>
      </c>
      <c r="D132" s="1" t="s">
        <v>513</v>
      </c>
    </row>
    <row r="133" spans="1:4" x14ac:dyDescent="0.25">
      <c r="A133" s="13">
        <f t="shared" si="1"/>
        <v>129</v>
      </c>
      <c r="B133" s="1" t="s">
        <v>175</v>
      </c>
      <c r="C133" s="1" t="s">
        <v>710</v>
      </c>
      <c r="D133" s="1" t="s">
        <v>406</v>
      </c>
    </row>
    <row r="134" spans="1:4" x14ac:dyDescent="0.25">
      <c r="A134" s="13">
        <f t="shared" si="1"/>
        <v>130</v>
      </c>
      <c r="B134" s="1" t="s">
        <v>290</v>
      </c>
      <c r="C134" s="1" t="s">
        <v>722</v>
      </c>
      <c r="D134" s="1" t="s">
        <v>532</v>
      </c>
    </row>
    <row r="135" spans="1:4" x14ac:dyDescent="0.25">
      <c r="A135" s="13">
        <f t="shared" si="1"/>
        <v>131</v>
      </c>
      <c r="B135" s="1" t="s">
        <v>192</v>
      </c>
      <c r="C135" s="1" t="s">
        <v>717</v>
      </c>
      <c r="D135" s="1" t="s">
        <v>428</v>
      </c>
    </row>
    <row r="136" spans="1:4" x14ac:dyDescent="0.25">
      <c r="A136" s="13">
        <f t="shared" ref="A136:A199" si="2">A135+1</f>
        <v>132</v>
      </c>
      <c r="B136" s="1" t="s">
        <v>306</v>
      </c>
      <c r="C136" s="1" t="s">
        <v>723</v>
      </c>
      <c r="D136" s="1" t="s">
        <v>548</v>
      </c>
    </row>
    <row r="137" spans="1:4" x14ac:dyDescent="0.25">
      <c r="A137" s="13">
        <f t="shared" si="2"/>
        <v>133</v>
      </c>
      <c r="B137" s="1" t="s">
        <v>159</v>
      </c>
      <c r="C137" s="1" t="s">
        <v>715</v>
      </c>
      <c r="D137" s="1" t="s">
        <v>388</v>
      </c>
    </row>
    <row r="138" spans="1:4" x14ac:dyDescent="0.25">
      <c r="A138" s="13">
        <f t="shared" si="2"/>
        <v>134</v>
      </c>
      <c r="B138" s="1" t="s">
        <v>320</v>
      </c>
      <c r="C138" s="1" t="s">
        <v>722</v>
      </c>
      <c r="D138" s="1" t="s">
        <v>562</v>
      </c>
    </row>
    <row r="139" spans="1:4" x14ac:dyDescent="0.25">
      <c r="A139" s="13">
        <f t="shared" si="2"/>
        <v>135</v>
      </c>
      <c r="B139" s="1" t="s">
        <v>254</v>
      </c>
      <c r="C139" s="1" t="s">
        <v>710</v>
      </c>
      <c r="D139" s="1" t="s">
        <v>495</v>
      </c>
    </row>
    <row r="140" spans="1:4" x14ac:dyDescent="0.25">
      <c r="A140" s="13">
        <f t="shared" si="2"/>
        <v>136</v>
      </c>
      <c r="B140" t="s">
        <v>240</v>
      </c>
      <c r="C140" t="s">
        <v>709</v>
      </c>
      <c r="D140" t="s">
        <v>481</v>
      </c>
    </row>
    <row r="141" spans="1:4" x14ac:dyDescent="0.25">
      <c r="A141" s="13">
        <f t="shared" si="2"/>
        <v>137</v>
      </c>
      <c r="B141" t="s">
        <v>219</v>
      </c>
      <c r="C141" t="s">
        <v>715</v>
      </c>
      <c r="D141" t="s">
        <v>458</v>
      </c>
    </row>
    <row r="142" spans="1:4" x14ac:dyDescent="0.25">
      <c r="A142" s="13">
        <f t="shared" si="2"/>
        <v>138</v>
      </c>
      <c r="B142" t="s">
        <v>246</v>
      </c>
      <c r="C142" t="s">
        <v>720</v>
      </c>
      <c r="D142" t="s">
        <v>487</v>
      </c>
    </row>
    <row r="143" spans="1:4" x14ac:dyDescent="0.25">
      <c r="A143" s="13">
        <f t="shared" si="2"/>
        <v>139</v>
      </c>
      <c r="B143" t="s">
        <v>359</v>
      </c>
      <c r="C143" t="s">
        <v>724</v>
      </c>
      <c r="D143" t="s">
        <v>469</v>
      </c>
    </row>
    <row r="144" spans="1:4" x14ac:dyDescent="0.25">
      <c r="A144" s="13">
        <f t="shared" si="2"/>
        <v>140</v>
      </c>
      <c r="B144" s="1" t="s">
        <v>139</v>
      </c>
      <c r="C144" s="1" t="s">
        <v>718</v>
      </c>
      <c r="D144" s="1" t="s">
        <v>366</v>
      </c>
    </row>
    <row r="145" spans="1:4" x14ac:dyDescent="0.25">
      <c r="A145" s="13">
        <f t="shared" si="2"/>
        <v>141</v>
      </c>
      <c r="B145" s="1" t="s">
        <v>146</v>
      </c>
      <c r="C145" s="1" t="s">
        <v>720</v>
      </c>
      <c r="D145" s="1" t="s">
        <v>374</v>
      </c>
    </row>
    <row r="146" spans="1:4" x14ac:dyDescent="0.25">
      <c r="A146" s="13">
        <f t="shared" si="2"/>
        <v>142</v>
      </c>
      <c r="B146" s="1" t="s">
        <v>141</v>
      </c>
      <c r="C146" s="1" t="s">
        <v>722</v>
      </c>
      <c r="D146" s="1" t="s">
        <v>368</v>
      </c>
    </row>
    <row r="147" spans="1:4" x14ac:dyDescent="0.25">
      <c r="A147" s="13">
        <f t="shared" si="2"/>
        <v>143</v>
      </c>
      <c r="B147" s="1" t="s">
        <v>343</v>
      </c>
      <c r="C147" s="1" t="s">
        <v>725</v>
      </c>
      <c r="D147" s="1" t="s">
        <v>414</v>
      </c>
    </row>
    <row r="148" spans="1:4" x14ac:dyDescent="0.25">
      <c r="A148" s="13">
        <f t="shared" si="2"/>
        <v>144</v>
      </c>
      <c r="B148" t="s">
        <v>350</v>
      </c>
      <c r="C148" t="s">
        <v>725</v>
      </c>
      <c r="D148" t="s">
        <v>447</v>
      </c>
    </row>
    <row r="149" spans="1:4" x14ac:dyDescent="0.25">
      <c r="A149" s="13">
        <f t="shared" si="2"/>
        <v>145</v>
      </c>
      <c r="B149" s="1" t="s">
        <v>153</v>
      </c>
      <c r="C149" s="1" t="s">
        <v>725</v>
      </c>
      <c r="D149" s="1" t="s">
        <v>382</v>
      </c>
    </row>
    <row r="150" spans="1:4" x14ac:dyDescent="0.25">
      <c r="A150" s="13">
        <f t="shared" si="2"/>
        <v>146</v>
      </c>
      <c r="B150" s="1" t="s">
        <v>251</v>
      </c>
      <c r="C150" s="1" t="s">
        <v>725</v>
      </c>
      <c r="D150" s="1" t="s">
        <v>492</v>
      </c>
    </row>
    <row r="151" spans="1:4" x14ac:dyDescent="0.25">
      <c r="A151" s="13">
        <f t="shared" si="2"/>
        <v>147</v>
      </c>
      <c r="B151" t="s">
        <v>353</v>
      </c>
      <c r="C151" t="s">
        <v>714</v>
      </c>
      <c r="D151" t="s">
        <v>464</v>
      </c>
    </row>
    <row r="152" spans="1:4" x14ac:dyDescent="0.25">
      <c r="A152" s="13">
        <f t="shared" si="2"/>
        <v>148</v>
      </c>
      <c r="B152" t="s">
        <v>229</v>
      </c>
      <c r="C152" t="s">
        <v>715</v>
      </c>
      <c r="D152" t="s">
        <v>471</v>
      </c>
    </row>
    <row r="153" spans="1:4" x14ac:dyDescent="0.25">
      <c r="A153" s="13">
        <f t="shared" si="2"/>
        <v>149</v>
      </c>
      <c r="B153" t="s">
        <v>247</v>
      </c>
      <c r="C153" t="s">
        <v>715</v>
      </c>
      <c r="D153" t="s">
        <v>488</v>
      </c>
    </row>
    <row r="154" spans="1:4" x14ac:dyDescent="0.25">
      <c r="A154" s="13">
        <f t="shared" si="2"/>
        <v>150</v>
      </c>
      <c r="B154" s="1" t="s">
        <v>319</v>
      </c>
      <c r="C154" s="1" t="s">
        <v>723</v>
      </c>
      <c r="D154" s="1" t="s">
        <v>561</v>
      </c>
    </row>
    <row r="155" spans="1:4" x14ac:dyDescent="0.25">
      <c r="A155" s="13">
        <f t="shared" si="2"/>
        <v>151</v>
      </c>
      <c r="B155" s="1" t="s">
        <v>278</v>
      </c>
      <c r="C155" t="s">
        <v>724</v>
      </c>
      <c r="D155" s="1" t="s">
        <v>521</v>
      </c>
    </row>
    <row r="156" spans="1:4" x14ac:dyDescent="0.25">
      <c r="A156" s="13">
        <f t="shared" si="2"/>
        <v>152</v>
      </c>
      <c r="B156" s="1" t="s">
        <v>345</v>
      </c>
      <c r="C156" t="s">
        <v>724</v>
      </c>
      <c r="D156" s="1" t="s">
        <v>418</v>
      </c>
    </row>
    <row r="157" spans="1:4" x14ac:dyDescent="0.25">
      <c r="A157" s="13">
        <f t="shared" si="2"/>
        <v>153</v>
      </c>
      <c r="B157" t="s">
        <v>215</v>
      </c>
      <c r="C157" t="s">
        <v>724</v>
      </c>
      <c r="D157" t="s">
        <v>454</v>
      </c>
    </row>
    <row r="158" spans="1:4" x14ac:dyDescent="0.25">
      <c r="A158" s="13">
        <f t="shared" si="2"/>
        <v>154</v>
      </c>
      <c r="B158" s="1" t="s">
        <v>171</v>
      </c>
      <c r="C158" s="1" t="s">
        <v>726</v>
      </c>
      <c r="D158" s="1" t="s">
        <v>402</v>
      </c>
    </row>
    <row r="159" spans="1:4" x14ac:dyDescent="0.25">
      <c r="A159" s="13">
        <f t="shared" si="2"/>
        <v>155</v>
      </c>
      <c r="B159" s="1" t="s">
        <v>269</v>
      </c>
      <c r="C159" s="1" t="s">
        <v>716</v>
      </c>
      <c r="D159" s="1" t="s">
        <v>510</v>
      </c>
    </row>
    <row r="160" spans="1:4" x14ac:dyDescent="0.25">
      <c r="A160" s="13">
        <f t="shared" si="2"/>
        <v>156</v>
      </c>
      <c r="B160" s="1" t="s">
        <v>144</v>
      </c>
      <c r="C160" s="1" t="s">
        <v>715</v>
      </c>
      <c r="D160" s="1" t="s">
        <v>371</v>
      </c>
    </row>
    <row r="161" spans="1:4" x14ac:dyDescent="0.25">
      <c r="A161" s="13">
        <f t="shared" si="2"/>
        <v>157</v>
      </c>
      <c r="B161" t="s">
        <v>216</v>
      </c>
      <c r="C161" t="s">
        <v>715</v>
      </c>
      <c r="D161" t="s">
        <v>455</v>
      </c>
    </row>
    <row r="162" spans="1:4" x14ac:dyDescent="0.25">
      <c r="A162" s="13">
        <f t="shared" si="2"/>
        <v>158</v>
      </c>
      <c r="B162" t="s">
        <v>349</v>
      </c>
      <c r="C162" t="s">
        <v>715</v>
      </c>
      <c r="D162" t="s">
        <v>444</v>
      </c>
    </row>
    <row r="163" spans="1:4" x14ac:dyDescent="0.25">
      <c r="A163" s="13">
        <f t="shared" si="2"/>
        <v>159</v>
      </c>
      <c r="B163" t="s">
        <v>242</v>
      </c>
      <c r="C163" t="s">
        <v>715</v>
      </c>
      <c r="D163" t="s">
        <v>483</v>
      </c>
    </row>
    <row r="164" spans="1:4" x14ac:dyDescent="0.25">
      <c r="A164" s="13">
        <f t="shared" si="2"/>
        <v>160</v>
      </c>
      <c r="B164" t="s">
        <v>228</v>
      </c>
      <c r="C164" t="s">
        <v>724</v>
      </c>
      <c r="D164" t="s">
        <v>470</v>
      </c>
    </row>
    <row r="165" spans="1:4" x14ac:dyDescent="0.25">
      <c r="A165" s="13">
        <f t="shared" si="2"/>
        <v>161</v>
      </c>
      <c r="B165" s="1" t="s">
        <v>248</v>
      </c>
      <c r="C165" t="s">
        <v>726</v>
      </c>
      <c r="D165" s="1" t="s">
        <v>489</v>
      </c>
    </row>
    <row r="166" spans="1:4" x14ac:dyDescent="0.25">
      <c r="A166" s="13">
        <f t="shared" si="2"/>
        <v>162</v>
      </c>
      <c r="B166" s="1" t="s">
        <v>255</v>
      </c>
      <c r="C166" s="1" t="s">
        <v>716</v>
      </c>
      <c r="D166" s="1" t="s">
        <v>496</v>
      </c>
    </row>
    <row r="167" spans="1:4" x14ac:dyDescent="0.25">
      <c r="A167" s="13">
        <f t="shared" si="2"/>
        <v>163</v>
      </c>
      <c r="B167" s="1" t="s">
        <v>170</v>
      </c>
      <c r="C167" s="1" t="s">
        <v>708</v>
      </c>
      <c r="D167" s="1" t="s">
        <v>401</v>
      </c>
    </row>
    <row r="168" spans="1:4" x14ac:dyDescent="0.25">
      <c r="A168" s="13">
        <f t="shared" si="2"/>
        <v>164</v>
      </c>
      <c r="B168" s="1" t="s">
        <v>183</v>
      </c>
      <c r="C168" s="1" t="s">
        <v>708</v>
      </c>
      <c r="D168" s="1" t="s">
        <v>416</v>
      </c>
    </row>
    <row r="169" spans="1:4" x14ac:dyDescent="0.25">
      <c r="A169" s="13">
        <f t="shared" si="2"/>
        <v>165</v>
      </c>
      <c r="B169" s="1" t="s">
        <v>298</v>
      </c>
      <c r="C169" s="1" t="s">
        <v>708</v>
      </c>
      <c r="D169" s="1" t="s">
        <v>540</v>
      </c>
    </row>
    <row r="170" spans="1:4" x14ac:dyDescent="0.25">
      <c r="A170" s="13">
        <f t="shared" si="2"/>
        <v>166</v>
      </c>
      <c r="B170" s="1" t="s">
        <v>181</v>
      </c>
      <c r="C170" s="1" t="s">
        <v>708</v>
      </c>
      <c r="D170" s="1" t="s">
        <v>412</v>
      </c>
    </row>
    <row r="171" spans="1:4" x14ac:dyDescent="0.25">
      <c r="A171" s="13">
        <f t="shared" si="2"/>
        <v>167</v>
      </c>
      <c r="B171" s="1" t="s">
        <v>322</v>
      </c>
      <c r="C171" s="1" t="s">
        <v>708</v>
      </c>
      <c r="D171" s="1" t="s">
        <v>564</v>
      </c>
    </row>
    <row r="172" spans="1:4" x14ac:dyDescent="0.25">
      <c r="A172" s="13">
        <f t="shared" si="2"/>
        <v>168</v>
      </c>
      <c r="B172" s="1" t="s">
        <v>191</v>
      </c>
      <c r="C172" s="1" t="s">
        <v>708</v>
      </c>
      <c r="D172" s="1" t="s">
        <v>427</v>
      </c>
    </row>
    <row r="173" spans="1:4" x14ac:dyDescent="0.25">
      <c r="A173" s="13">
        <f t="shared" si="2"/>
        <v>169</v>
      </c>
      <c r="B173" s="1" t="s">
        <v>361</v>
      </c>
      <c r="C173" s="1" t="s">
        <v>726</v>
      </c>
      <c r="D173" s="1" t="s">
        <v>516</v>
      </c>
    </row>
    <row r="174" spans="1:4" x14ac:dyDescent="0.25">
      <c r="A174" s="13">
        <f t="shared" si="2"/>
        <v>170</v>
      </c>
      <c r="B174" s="1" t="s">
        <v>270</v>
      </c>
      <c r="C174" s="1" t="s">
        <v>726</v>
      </c>
      <c r="D174" s="1" t="s">
        <v>511</v>
      </c>
    </row>
    <row r="175" spans="1:4" x14ac:dyDescent="0.25">
      <c r="A175" s="13">
        <f t="shared" si="2"/>
        <v>171</v>
      </c>
      <c r="B175" t="s">
        <v>348</v>
      </c>
      <c r="C175" s="1" t="s">
        <v>710</v>
      </c>
      <c r="D175" t="s">
        <v>364</v>
      </c>
    </row>
    <row r="176" spans="1:4" x14ac:dyDescent="0.25">
      <c r="A176" s="13">
        <f t="shared" si="2"/>
        <v>172</v>
      </c>
      <c r="B176" s="1" t="s">
        <v>167</v>
      </c>
      <c r="C176" t="s">
        <v>724</v>
      </c>
      <c r="D176" s="1" t="s">
        <v>397</v>
      </c>
    </row>
    <row r="177" spans="1:4" x14ac:dyDescent="0.25">
      <c r="A177" s="13">
        <f t="shared" si="2"/>
        <v>173</v>
      </c>
      <c r="B177" t="s">
        <v>208</v>
      </c>
      <c r="C177" s="1" t="s">
        <v>720</v>
      </c>
      <c r="D177" t="s">
        <v>446</v>
      </c>
    </row>
    <row r="178" spans="1:4" x14ac:dyDescent="0.25">
      <c r="A178" s="13">
        <f t="shared" si="2"/>
        <v>174</v>
      </c>
      <c r="B178" s="1" t="s">
        <v>300</v>
      </c>
      <c r="C178" s="1" t="s">
        <v>723</v>
      </c>
      <c r="D178" s="1" t="s">
        <v>542</v>
      </c>
    </row>
    <row r="179" spans="1:4" x14ac:dyDescent="0.25">
      <c r="A179" s="13">
        <f t="shared" si="2"/>
        <v>175</v>
      </c>
      <c r="B179" s="1" t="s">
        <v>261</v>
      </c>
      <c r="C179" t="s">
        <v>728</v>
      </c>
      <c r="D179" s="1" t="s">
        <v>502</v>
      </c>
    </row>
    <row r="180" spans="1:4" x14ac:dyDescent="0.25">
      <c r="A180" s="13">
        <f t="shared" si="2"/>
        <v>176</v>
      </c>
      <c r="B180" t="s">
        <v>347</v>
      </c>
      <c r="C180" s="1" t="s">
        <v>712</v>
      </c>
      <c r="D180" t="s">
        <v>430</v>
      </c>
    </row>
    <row r="181" spans="1:4" x14ac:dyDescent="0.25">
      <c r="A181" s="13">
        <f t="shared" si="2"/>
        <v>177</v>
      </c>
      <c r="B181" t="s">
        <v>218</v>
      </c>
      <c r="C181" t="s">
        <v>724</v>
      </c>
      <c r="D181" t="s">
        <v>457</v>
      </c>
    </row>
    <row r="182" spans="1:4" x14ac:dyDescent="0.25">
      <c r="A182" s="13">
        <f t="shared" si="2"/>
        <v>178</v>
      </c>
      <c r="B182" t="s">
        <v>212</v>
      </c>
      <c r="C182" s="1" t="s">
        <v>723</v>
      </c>
      <c r="D182" t="s">
        <v>275</v>
      </c>
    </row>
    <row r="183" spans="1:4" x14ac:dyDescent="0.25">
      <c r="A183" s="13">
        <f t="shared" si="2"/>
        <v>179</v>
      </c>
      <c r="B183" s="1" t="s">
        <v>299</v>
      </c>
      <c r="C183" t="s">
        <v>727</v>
      </c>
      <c r="D183" s="1" t="s">
        <v>541</v>
      </c>
    </row>
    <row r="184" spans="1:4" x14ac:dyDescent="0.25">
      <c r="A184" s="13">
        <f t="shared" si="2"/>
        <v>180</v>
      </c>
      <c r="B184" t="s">
        <v>351</v>
      </c>
      <c r="C184" s="1" t="s">
        <v>727</v>
      </c>
      <c r="D184" t="s">
        <v>448</v>
      </c>
    </row>
    <row r="185" spans="1:4" x14ac:dyDescent="0.25">
      <c r="A185" s="13">
        <f t="shared" si="2"/>
        <v>181</v>
      </c>
      <c r="B185" s="1" t="s">
        <v>273</v>
      </c>
      <c r="C185" t="s">
        <v>710</v>
      </c>
      <c r="D185" s="1" t="s">
        <v>515</v>
      </c>
    </row>
    <row r="186" spans="1:4" x14ac:dyDescent="0.25">
      <c r="A186" s="13">
        <f t="shared" si="2"/>
        <v>182</v>
      </c>
      <c r="B186" s="1" t="s">
        <v>279</v>
      </c>
      <c r="C186" s="1" t="s">
        <v>714</v>
      </c>
      <c r="D186" s="1" t="s">
        <v>522</v>
      </c>
    </row>
    <row r="187" spans="1:4" x14ac:dyDescent="0.25">
      <c r="A187" s="13">
        <f t="shared" si="2"/>
        <v>183</v>
      </c>
      <c r="B187" t="s">
        <v>195</v>
      </c>
      <c r="C187" s="1" t="s">
        <v>722</v>
      </c>
      <c r="D187" t="s">
        <v>432</v>
      </c>
    </row>
    <row r="188" spans="1:4" x14ac:dyDescent="0.25">
      <c r="A188" s="13">
        <f t="shared" si="2"/>
        <v>184</v>
      </c>
      <c r="B188" s="1" t="s">
        <v>276</v>
      </c>
      <c r="C188" s="1" t="s">
        <v>727</v>
      </c>
      <c r="D188" s="1" t="s">
        <v>519</v>
      </c>
    </row>
    <row r="189" spans="1:4" x14ac:dyDescent="0.25">
      <c r="A189" s="13">
        <f t="shared" si="2"/>
        <v>185</v>
      </c>
      <c r="B189" s="1" t="s">
        <v>324</v>
      </c>
      <c r="C189" s="1" t="s">
        <v>715</v>
      </c>
      <c r="D189" s="1" t="s">
        <v>363</v>
      </c>
    </row>
    <row r="190" spans="1:4" x14ac:dyDescent="0.25">
      <c r="A190" s="13">
        <f t="shared" si="2"/>
        <v>186</v>
      </c>
      <c r="B190" s="1" t="s">
        <v>362</v>
      </c>
      <c r="C190" s="1" t="s">
        <v>710</v>
      </c>
      <c r="D190" s="1" t="s">
        <v>424</v>
      </c>
    </row>
    <row r="191" spans="1:4" x14ac:dyDescent="0.25">
      <c r="A191" s="13">
        <f t="shared" si="2"/>
        <v>187</v>
      </c>
      <c r="B191" s="1" t="s">
        <v>190</v>
      </c>
      <c r="C191" s="1" t="s">
        <v>710</v>
      </c>
      <c r="D191" s="1" t="s">
        <v>426</v>
      </c>
    </row>
    <row r="192" spans="1:4" x14ac:dyDescent="0.25">
      <c r="A192" s="13">
        <f t="shared" si="2"/>
        <v>188</v>
      </c>
      <c r="B192" s="1" t="s">
        <v>284</v>
      </c>
      <c r="C192" s="1" t="s">
        <v>713</v>
      </c>
      <c r="D192" s="1" t="s">
        <v>494</v>
      </c>
    </row>
    <row r="193" spans="1:4" x14ac:dyDescent="0.25">
      <c r="A193" s="13">
        <f t="shared" si="2"/>
        <v>189</v>
      </c>
      <c r="B193" s="1" t="s">
        <v>160</v>
      </c>
      <c r="C193" s="1" t="s">
        <v>727</v>
      </c>
      <c r="D193" s="1" t="s">
        <v>389</v>
      </c>
    </row>
    <row r="194" spans="1:4" x14ac:dyDescent="0.25">
      <c r="A194" s="13">
        <f t="shared" si="2"/>
        <v>190</v>
      </c>
      <c r="B194" t="s">
        <v>356</v>
      </c>
      <c r="C194" s="1" t="s">
        <v>709</v>
      </c>
      <c r="D194" t="s">
        <v>466</v>
      </c>
    </row>
    <row r="195" spans="1:4" x14ac:dyDescent="0.25">
      <c r="A195" s="13">
        <f t="shared" si="2"/>
        <v>191</v>
      </c>
      <c r="B195" s="1" t="s">
        <v>262</v>
      </c>
      <c r="C195" t="s">
        <v>708</v>
      </c>
      <c r="D195" s="1" t="s">
        <v>503</v>
      </c>
    </row>
    <row r="196" spans="1:4" x14ac:dyDescent="0.25">
      <c r="A196" s="13">
        <f t="shared" si="2"/>
        <v>192</v>
      </c>
      <c r="B196" s="1" t="s">
        <v>174</v>
      </c>
      <c r="C196" s="1" t="s">
        <v>712</v>
      </c>
      <c r="D196" s="1" t="s">
        <v>405</v>
      </c>
    </row>
    <row r="197" spans="1:4" x14ac:dyDescent="0.25">
      <c r="A197" s="13">
        <f t="shared" si="2"/>
        <v>193</v>
      </c>
      <c r="B197" t="s">
        <v>225</v>
      </c>
      <c r="C197" s="1" t="s">
        <v>726</v>
      </c>
      <c r="D197" t="s">
        <v>461</v>
      </c>
    </row>
    <row r="198" spans="1:4" x14ac:dyDescent="0.25">
      <c r="A198" s="13">
        <f t="shared" si="2"/>
        <v>194</v>
      </c>
      <c r="B198" s="1" t="s">
        <v>161</v>
      </c>
      <c r="C198" t="s">
        <v>712</v>
      </c>
      <c r="D198" s="1" t="s">
        <v>390</v>
      </c>
    </row>
    <row r="199" spans="1:4" x14ac:dyDescent="0.25">
      <c r="A199" s="13">
        <f t="shared" si="2"/>
        <v>195</v>
      </c>
      <c r="B199" t="s">
        <v>234</v>
      </c>
      <c r="C199" t="s">
        <v>712</v>
      </c>
      <c r="D199" t="s">
        <v>475</v>
      </c>
    </row>
    <row r="200" spans="1:4" x14ac:dyDescent="0.25">
      <c r="A200" s="13">
        <f t="shared" ref="A200:A217" si="3">A199+1</f>
        <v>196</v>
      </c>
      <c r="B200" s="1" t="s">
        <v>143</v>
      </c>
      <c r="C200" t="s">
        <v>726</v>
      </c>
      <c r="D200" s="1" t="s">
        <v>370</v>
      </c>
    </row>
    <row r="201" spans="1:4" x14ac:dyDescent="0.25">
      <c r="A201" s="13">
        <f t="shared" si="3"/>
        <v>197</v>
      </c>
      <c r="B201" t="s">
        <v>235</v>
      </c>
      <c r="C201" s="1" t="s">
        <v>726</v>
      </c>
      <c r="D201" t="s">
        <v>476</v>
      </c>
    </row>
    <row r="202" spans="1:4" x14ac:dyDescent="0.25">
      <c r="A202" s="13">
        <f t="shared" si="3"/>
        <v>198</v>
      </c>
      <c r="B202" t="s">
        <v>358</v>
      </c>
      <c r="C202" s="1" t="s">
        <v>722</v>
      </c>
      <c r="D202" t="s">
        <v>468</v>
      </c>
    </row>
    <row r="203" spans="1:4" x14ac:dyDescent="0.25">
      <c r="A203" s="13">
        <f t="shared" si="3"/>
        <v>199</v>
      </c>
      <c r="B203" s="1" t="s">
        <v>341</v>
      </c>
      <c r="C203" t="s">
        <v>721</v>
      </c>
      <c r="D203" s="1" t="s">
        <v>387</v>
      </c>
    </row>
    <row r="204" spans="1:4" x14ac:dyDescent="0.25">
      <c r="A204" s="13">
        <f t="shared" si="3"/>
        <v>200</v>
      </c>
      <c r="B204" t="s">
        <v>194</v>
      </c>
      <c r="C204" s="1" t="s">
        <v>717</v>
      </c>
      <c r="D204" t="s">
        <v>431</v>
      </c>
    </row>
    <row r="205" spans="1:4" x14ac:dyDescent="0.25">
      <c r="A205" s="13">
        <f t="shared" si="3"/>
        <v>201</v>
      </c>
      <c r="B205" t="s">
        <v>210</v>
      </c>
      <c r="C205" t="s">
        <v>726</v>
      </c>
      <c r="D205" t="s">
        <v>451</v>
      </c>
    </row>
    <row r="206" spans="1:4" x14ac:dyDescent="0.25">
      <c r="A206" s="13">
        <f t="shared" si="3"/>
        <v>202</v>
      </c>
      <c r="B206" s="1" t="s">
        <v>339</v>
      </c>
      <c r="C206" t="s">
        <v>720</v>
      </c>
      <c r="D206" s="1" t="s">
        <v>372</v>
      </c>
    </row>
    <row r="207" spans="1:4" x14ac:dyDescent="0.25">
      <c r="A207" s="13">
        <f t="shared" si="3"/>
        <v>203</v>
      </c>
      <c r="B207" s="1" t="s">
        <v>173</v>
      </c>
      <c r="C207" s="1" t="s">
        <v>721</v>
      </c>
      <c r="D207" s="1" t="s">
        <v>404</v>
      </c>
    </row>
    <row r="208" spans="1:4" x14ac:dyDescent="0.25">
      <c r="A208" s="13">
        <f t="shared" si="3"/>
        <v>204</v>
      </c>
      <c r="B208" s="1" t="s">
        <v>180</v>
      </c>
      <c r="C208" s="1" t="s">
        <v>715</v>
      </c>
      <c r="D208" s="1" t="s">
        <v>411</v>
      </c>
    </row>
    <row r="209" spans="1:4" x14ac:dyDescent="0.25">
      <c r="A209" s="13">
        <f t="shared" si="3"/>
        <v>205</v>
      </c>
      <c r="B209" s="1" t="s">
        <v>313</v>
      </c>
      <c r="C209" s="1" t="s">
        <v>715</v>
      </c>
      <c r="D209" s="1" t="s">
        <v>555</v>
      </c>
    </row>
    <row r="210" spans="1:4" x14ac:dyDescent="0.25">
      <c r="A210" s="13">
        <f t="shared" si="3"/>
        <v>206</v>
      </c>
      <c r="B210" s="1" t="s">
        <v>317</v>
      </c>
      <c r="C210" s="1" t="s">
        <v>721</v>
      </c>
      <c r="D210" s="1" t="s">
        <v>559</v>
      </c>
    </row>
    <row r="211" spans="1:4" x14ac:dyDescent="0.25">
      <c r="A211" s="13">
        <f t="shared" si="3"/>
        <v>207</v>
      </c>
      <c r="B211" s="1" t="s">
        <v>258</v>
      </c>
      <c r="C211" t="s">
        <v>728</v>
      </c>
      <c r="D211" s="1" t="s">
        <v>499</v>
      </c>
    </row>
    <row r="212" spans="1:4" x14ac:dyDescent="0.25">
      <c r="A212" s="13">
        <f t="shared" si="3"/>
        <v>208</v>
      </c>
      <c r="B212" t="s">
        <v>197</v>
      </c>
      <c r="C212" s="1" t="s">
        <v>720</v>
      </c>
      <c r="D212" t="s">
        <v>434</v>
      </c>
    </row>
    <row r="213" spans="1:4" x14ac:dyDescent="0.25">
      <c r="A213" s="13">
        <f t="shared" si="3"/>
        <v>209</v>
      </c>
      <c r="B213" t="s">
        <v>354</v>
      </c>
      <c r="C213" t="s">
        <v>712</v>
      </c>
      <c r="D213" t="s">
        <v>409</v>
      </c>
    </row>
    <row r="214" spans="1:4" x14ac:dyDescent="0.25">
      <c r="A214" s="13">
        <f t="shared" si="3"/>
        <v>210</v>
      </c>
      <c r="B214" s="1" t="s">
        <v>178</v>
      </c>
      <c r="C214" t="s">
        <v>715</v>
      </c>
      <c r="D214" s="1" t="s">
        <v>409</v>
      </c>
    </row>
    <row r="215" spans="1:4" x14ac:dyDescent="0.25">
      <c r="A215" s="13">
        <f t="shared" si="3"/>
        <v>211</v>
      </c>
      <c r="B215" t="s">
        <v>352</v>
      </c>
      <c r="C215" s="1" t="s">
        <v>723</v>
      </c>
      <c r="D215" t="s">
        <v>449</v>
      </c>
    </row>
    <row r="216" spans="1:4" x14ac:dyDescent="0.25">
      <c r="A216" s="13">
        <f t="shared" si="3"/>
        <v>212</v>
      </c>
      <c r="B216" s="1" t="s">
        <v>186</v>
      </c>
      <c r="C216" s="1" t="s">
        <v>715</v>
      </c>
      <c r="D216" s="1" t="s">
        <v>421</v>
      </c>
    </row>
    <row r="217" spans="1:4" x14ac:dyDescent="0.25">
      <c r="A217" s="13">
        <f t="shared" si="3"/>
        <v>213</v>
      </c>
      <c r="B217" t="s">
        <v>221</v>
      </c>
      <c r="C217" s="1" t="s">
        <v>722</v>
      </c>
      <c r="D217" t="s">
        <v>458</v>
      </c>
    </row>
  </sheetData>
  <mergeCells count="1">
    <mergeCell ref="A3:D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lossary_CheckUniqueFactorGlossary">
                <anchor moveWithCells="1" sizeWithCells="1">
                  <from>
                    <xdr:col>5</xdr:col>
                    <xdr:colOff>76200</xdr:colOff>
                    <xdr:row>1</xdr:row>
                    <xdr:rowOff>95250</xdr:rowOff>
                  </from>
                  <to>
                    <xdr:col>5</xdr:col>
                    <xdr:colOff>1704975</xdr:colOff>
                    <xdr:row>1</xdr:row>
                    <xdr:rowOff>485775</xdr:rowOff>
                  </to>
                </anchor>
              </controlPr>
            </control>
          </mc:Choice>
        </mc:AlternateContent>
        <mc:AlternateContent xmlns:mc="http://schemas.openxmlformats.org/markup-compatibility/2006">
          <mc:Choice Requires="x14">
            <control shapeId="12290" r:id="rId5" name="Button 2">
              <controlPr defaultSize="0" print="0" autoFill="0" autoPict="0" macro="[0]!ExtractUniqueGroups">
                <anchor moveWithCells="1" sizeWithCells="1">
                  <from>
                    <xdr:col>7</xdr:col>
                    <xdr:colOff>400050</xdr:colOff>
                    <xdr:row>1</xdr:row>
                    <xdr:rowOff>47625</xdr:rowOff>
                  </from>
                  <to>
                    <xdr:col>7</xdr:col>
                    <xdr:colOff>2028825</xdr:colOff>
                    <xdr:row>1</xdr:row>
                    <xdr:rowOff>438150</xdr:rowOff>
                  </to>
                </anchor>
              </controlPr>
            </control>
          </mc:Choice>
        </mc:AlternateContent>
      </controls>
    </mc:Choice>
  </mc:AlternateContent>
  <tableParts count="3">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506C4-B258-4223-B296-678F97DB7880}">
  <sheetPr codeName="Sheet7"/>
  <dimension ref="A2:D209"/>
  <sheetViews>
    <sheetView workbookViewId="0">
      <selection activeCell="A3" sqref="A3"/>
    </sheetView>
  </sheetViews>
  <sheetFormatPr defaultRowHeight="15" x14ac:dyDescent="0.25"/>
  <cols>
    <col min="1" max="1" width="7.42578125" style="2" bestFit="1" customWidth="1"/>
    <col min="2" max="2" width="34.28515625" bestFit="1" customWidth="1"/>
    <col min="3" max="3" width="51" customWidth="1"/>
    <col min="4" max="4" width="52.140625" customWidth="1"/>
  </cols>
  <sheetData>
    <row r="2" spans="1:4" x14ac:dyDescent="0.25">
      <c r="A2" s="34" t="s">
        <v>1325</v>
      </c>
      <c r="B2" s="34"/>
      <c r="C2" s="34"/>
      <c r="D2" s="34"/>
    </row>
    <row r="3" spans="1:4" x14ac:dyDescent="0.25">
      <c r="A3" s="2" t="s">
        <v>1179</v>
      </c>
      <c r="B3" s="11" t="s">
        <v>6</v>
      </c>
      <c r="C3" s="11" t="s">
        <v>789</v>
      </c>
      <c r="D3" s="11" t="s">
        <v>790</v>
      </c>
    </row>
    <row r="4" spans="1:4" ht="30" x14ac:dyDescent="0.25">
      <c r="A4" s="2">
        <v>1</v>
      </c>
      <c r="B4" s="6" t="s">
        <v>417</v>
      </c>
      <c r="C4" s="6" t="s">
        <v>417</v>
      </c>
      <c r="D4" s="1" t="s">
        <v>1093</v>
      </c>
    </row>
    <row r="5" spans="1:4" ht="30" x14ac:dyDescent="0.25">
      <c r="A5" s="2">
        <f>A4+1</f>
        <v>2</v>
      </c>
      <c r="B5" s="6" t="s">
        <v>422</v>
      </c>
      <c r="C5" s="6" t="s">
        <v>422</v>
      </c>
      <c r="D5" s="1" t="s">
        <v>1132</v>
      </c>
    </row>
    <row r="6" spans="1:4" ht="30" x14ac:dyDescent="0.25">
      <c r="A6" s="2">
        <f t="shared" ref="A6:A69" si="0">A5+1</f>
        <v>3</v>
      </c>
      <c r="B6" s="6" t="s">
        <v>368</v>
      </c>
      <c r="C6" s="6" t="s">
        <v>960</v>
      </c>
      <c r="D6" s="1" t="s">
        <v>1176</v>
      </c>
    </row>
    <row r="7" spans="1:4" ht="45" x14ac:dyDescent="0.25">
      <c r="A7" s="2">
        <f t="shared" si="0"/>
        <v>4</v>
      </c>
      <c r="B7" s="6" t="s">
        <v>384</v>
      </c>
      <c r="C7" s="6" t="s">
        <v>814</v>
      </c>
      <c r="D7" s="1" t="s">
        <v>998</v>
      </c>
    </row>
    <row r="8" spans="1:4" ht="30" x14ac:dyDescent="0.25">
      <c r="A8" s="2">
        <f t="shared" si="0"/>
        <v>5</v>
      </c>
      <c r="B8" s="6" t="s">
        <v>532</v>
      </c>
      <c r="C8" s="6" t="s">
        <v>974</v>
      </c>
      <c r="D8" s="1" t="s">
        <v>1175</v>
      </c>
    </row>
    <row r="9" spans="1:4" ht="45" x14ac:dyDescent="0.25">
      <c r="A9" s="2">
        <f t="shared" si="0"/>
        <v>6</v>
      </c>
      <c r="B9" s="6" t="s">
        <v>531</v>
      </c>
      <c r="C9" s="6" t="s">
        <v>830</v>
      </c>
      <c r="D9" s="1" t="s">
        <v>1014</v>
      </c>
    </row>
    <row r="10" spans="1:4" ht="30" x14ac:dyDescent="0.25">
      <c r="A10" s="2">
        <f t="shared" si="0"/>
        <v>7</v>
      </c>
      <c r="B10" s="6" t="s">
        <v>515</v>
      </c>
      <c r="C10" s="6" t="s">
        <v>880</v>
      </c>
      <c r="D10" s="1" t="s">
        <v>1069</v>
      </c>
    </row>
    <row r="11" spans="1:4" ht="45" x14ac:dyDescent="0.25">
      <c r="A11" s="2">
        <f t="shared" si="0"/>
        <v>8</v>
      </c>
      <c r="B11" s="6" t="s">
        <v>412</v>
      </c>
      <c r="C11" s="6" t="s">
        <v>791</v>
      </c>
      <c r="D11" s="1" t="s">
        <v>975</v>
      </c>
    </row>
    <row r="12" spans="1:4" ht="30" x14ac:dyDescent="0.25">
      <c r="A12" s="2">
        <f t="shared" si="0"/>
        <v>9</v>
      </c>
      <c r="B12" s="6" t="s">
        <v>527</v>
      </c>
      <c r="C12" s="6" t="s">
        <v>825</v>
      </c>
      <c r="D12" s="1" t="s">
        <v>1009</v>
      </c>
    </row>
    <row r="13" spans="1:4" ht="30" x14ac:dyDescent="0.25">
      <c r="A13" s="2">
        <f t="shared" si="0"/>
        <v>10</v>
      </c>
      <c r="B13" s="6" t="s">
        <v>564</v>
      </c>
      <c r="C13" s="6" t="s">
        <v>936</v>
      </c>
      <c r="D13" s="1" t="s">
        <v>1051</v>
      </c>
    </row>
    <row r="14" spans="1:4" ht="30" x14ac:dyDescent="0.25">
      <c r="A14" s="2">
        <f t="shared" si="0"/>
        <v>11</v>
      </c>
      <c r="B14" s="6" t="s">
        <v>415</v>
      </c>
      <c r="C14" s="6" t="s">
        <v>415</v>
      </c>
      <c r="D14" s="1" t="s">
        <v>1036</v>
      </c>
    </row>
    <row r="15" spans="1:4" ht="30" x14ac:dyDescent="0.25">
      <c r="A15" s="2">
        <f t="shared" si="0"/>
        <v>12</v>
      </c>
      <c r="B15" s="6" t="s">
        <v>406</v>
      </c>
      <c r="C15" s="6" t="s">
        <v>877</v>
      </c>
      <c r="D15" s="1" t="s">
        <v>1066</v>
      </c>
    </row>
    <row r="16" spans="1:4" ht="30" x14ac:dyDescent="0.25">
      <c r="A16" s="2">
        <f t="shared" si="0"/>
        <v>13</v>
      </c>
      <c r="B16" s="6" t="s">
        <v>369</v>
      </c>
      <c r="C16" s="6" t="s">
        <v>896</v>
      </c>
      <c r="D16" s="1" t="s">
        <v>1089</v>
      </c>
    </row>
    <row r="17" spans="1:4" ht="30" x14ac:dyDescent="0.25">
      <c r="A17" s="2">
        <f t="shared" si="0"/>
        <v>14</v>
      </c>
      <c r="B17" s="6" t="s">
        <v>451</v>
      </c>
      <c r="C17" s="6" t="s">
        <v>925</v>
      </c>
      <c r="D17" s="1" t="s">
        <v>1156</v>
      </c>
    </row>
    <row r="18" spans="1:4" ht="30" x14ac:dyDescent="0.25">
      <c r="A18" s="2">
        <f t="shared" si="0"/>
        <v>15</v>
      </c>
      <c r="B18" s="6" t="s">
        <v>419</v>
      </c>
      <c r="C18" s="6" t="s">
        <v>848</v>
      </c>
      <c r="D18" s="1" t="s">
        <v>1034</v>
      </c>
    </row>
    <row r="19" spans="1:4" ht="30" x14ac:dyDescent="0.25">
      <c r="A19" s="2">
        <f t="shared" si="0"/>
        <v>16</v>
      </c>
      <c r="B19" s="6" t="s">
        <v>504</v>
      </c>
      <c r="C19" s="6" t="s">
        <v>891</v>
      </c>
      <c r="D19" s="1" t="s">
        <v>1082</v>
      </c>
    </row>
    <row r="20" spans="1:4" ht="30" x14ac:dyDescent="0.25">
      <c r="A20" s="2">
        <f t="shared" si="0"/>
        <v>17</v>
      </c>
      <c r="B20" s="6" t="s">
        <v>364</v>
      </c>
      <c r="C20" s="6" t="s">
        <v>879</v>
      </c>
      <c r="D20" s="1" t="s">
        <v>1068</v>
      </c>
    </row>
    <row r="21" spans="1:4" ht="30" x14ac:dyDescent="0.25">
      <c r="A21" s="2">
        <f t="shared" si="0"/>
        <v>18</v>
      </c>
      <c r="B21" s="6" t="s">
        <v>395</v>
      </c>
      <c r="C21" s="6" t="s">
        <v>894</v>
      </c>
      <c r="D21" s="1" t="s">
        <v>1087</v>
      </c>
    </row>
    <row r="22" spans="1:4" ht="30" x14ac:dyDescent="0.25">
      <c r="A22" s="2">
        <f t="shared" si="0"/>
        <v>19</v>
      </c>
      <c r="B22" s="6" t="s">
        <v>508</v>
      </c>
      <c r="C22" s="6" t="s">
        <v>895</v>
      </c>
      <c r="D22" s="1" t="s">
        <v>1088</v>
      </c>
    </row>
    <row r="23" spans="1:4" ht="30" x14ac:dyDescent="0.25">
      <c r="A23" s="2">
        <f t="shared" si="0"/>
        <v>20</v>
      </c>
      <c r="B23" s="6" t="s">
        <v>495</v>
      </c>
      <c r="C23" s="6" t="s">
        <v>878</v>
      </c>
      <c r="D23" s="1" t="s">
        <v>1067</v>
      </c>
    </row>
    <row r="24" spans="1:4" ht="30" x14ac:dyDescent="0.25">
      <c r="A24" s="2">
        <f t="shared" si="0"/>
        <v>21</v>
      </c>
      <c r="B24" s="6" t="s">
        <v>373</v>
      </c>
      <c r="C24" s="6" t="s">
        <v>847</v>
      </c>
      <c r="D24" s="1" t="s">
        <v>1033</v>
      </c>
    </row>
    <row r="25" spans="1:4" ht="45" x14ac:dyDescent="0.25">
      <c r="A25" s="2">
        <f t="shared" si="0"/>
        <v>22</v>
      </c>
      <c r="B25" s="6" t="s">
        <v>462</v>
      </c>
      <c r="C25" s="6" t="s">
        <v>820</v>
      </c>
      <c r="D25" s="1" t="s">
        <v>1004</v>
      </c>
    </row>
    <row r="26" spans="1:4" ht="45" x14ac:dyDescent="0.25">
      <c r="A26" s="2">
        <f t="shared" si="0"/>
        <v>23</v>
      </c>
      <c r="B26" s="6" t="s">
        <v>275</v>
      </c>
      <c r="C26" s="6" t="s">
        <v>810</v>
      </c>
      <c r="D26" s="1" t="s">
        <v>1160</v>
      </c>
    </row>
    <row r="27" spans="1:4" ht="30" x14ac:dyDescent="0.25">
      <c r="A27" s="2">
        <f t="shared" si="0"/>
        <v>24</v>
      </c>
      <c r="B27" s="6" t="s">
        <v>489</v>
      </c>
      <c r="C27" s="6" t="s">
        <v>921</v>
      </c>
      <c r="D27" s="1" t="s">
        <v>1118</v>
      </c>
    </row>
    <row r="28" spans="1:4" ht="30" x14ac:dyDescent="0.25">
      <c r="A28" s="2">
        <f t="shared" si="0"/>
        <v>25</v>
      </c>
      <c r="B28" s="6" t="s">
        <v>539</v>
      </c>
      <c r="C28" s="6" t="s">
        <v>876</v>
      </c>
      <c r="D28" s="1" t="s">
        <v>1065</v>
      </c>
    </row>
    <row r="29" spans="1:4" ht="30" x14ac:dyDescent="0.25">
      <c r="A29" s="2">
        <f t="shared" si="0"/>
        <v>26</v>
      </c>
      <c r="B29" s="6" t="s">
        <v>425</v>
      </c>
      <c r="C29" s="6" t="s">
        <v>425</v>
      </c>
      <c r="D29" s="1" t="s">
        <v>1127</v>
      </c>
    </row>
    <row r="30" spans="1:4" ht="30" x14ac:dyDescent="0.25">
      <c r="A30" s="2">
        <f t="shared" si="0"/>
        <v>27</v>
      </c>
      <c r="B30" s="6" t="s">
        <v>541</v>
      </c>
      <c r="C30" s="6" t="s">
        <v>887</v>
      </c>
      <c r="D30" s="1" t="s">
        <v>1076</v>
      </c>
    </row>
    <row r="31" spans="1:4" ht="30" x14ac:dyDescent="0.25">
      <c r="A31" s="2">
        <f t="shared" si="0"/>
        <v>28</v>
      </c>
      <c r="B31" s="6" t="s">
        <v>443</v>
      </c>
      <c r="C31" s="6" t="s">
        <v>909</v>
      </c>
      <c r="D31" s="1" t="s">
        <v>1105</v>
      </c>
    </row>
    <row r="32" spans="1:4" ht="30" x14ac:dyDescent="0.25">
      <c r="A32" s="2">
        <f t="shared" si="0"/>
        <v>29</v>
      </c>
      <c r="B32" s="6" t="s">
        <v>554</v>
      </c>
      <c r="C32" s="6" t="s">
        <v>806</v>
      </c>
      <c r="D32" s="1" t="s">
        <v>990</v>
      </c>
    </row>
    <row r="33" spans="1:4" ht="45" x14ac:dyDescent="0.25">
      <c r="A33" s="2">
        <f t="shared" si="0"/>
        <v>30</v>
      </c>
      <c r="B33" s="6" t="s">
        <v>398</v>
      </c>
      <c r="C33" s="6" t="s">
        <v>951</v>
      </c>
      <c r="D33" s="1" t="s">
        <v>1150</v>
      </c>
    </row>
    <row r="34" spans="1:4" ht="30" x14ac:dyDescent="0.25">
      <c r="A34" s="2">
        <f t="shared" si="0"/>
        <v>31</v>
      </c>
      <c r="B34" s="6" t="s">
        <v>476</v>
      </c>
      <c r="C34" s="6" t="s">
        <v>924</v>
      </c>
      <c r="D34" s="1" t="s">
        <v>1155</v>
      </c>
    </row>
    <row r="35" spans="1:4" ht="30" x14ac:dyDescent="0.25">
      <c r="A35" s="2">
        <f t="shared" si="0"/>
        <v>32</v>
      </c>
      <c r="B35" s="6" t="s">
        <v>439</v>
      </c>
      <c r="C35" s="6" t="s">
        <v>898</v>
      </c>
      <c r="D35" s="1" t="s">
        <v>1092</v>
      </c>
    </row>
    <row r="36" spans="1:4" ht="30" x14ac:dyDescent="0.25">
      <c r="A36" s="2">
        <f t="shared" si="0"/>
        <v>33</v>
      </c>
      <c r="B36" s="6" t="s">
        <v>438</v>
      </c>
      <c r="C36" s="6" t="s">
        <v>947</v>
      </c>
      <c r="D36" s="1" t="s">
        <v>1144</v>
      </c>
    </row>
    <row r="37" spans="1:4" ht="30" x14ac:dyDescent="0.25">
      <c r="A37" s="2">
        <f t="shared" si="0"/>
        <v>34</v>
      </c>
      <c r="B37" s="6" t="s">
        <v>420</v>
      </c>
      <c r="C37" s="6" t="s">
        <v>835</v>
      </c>
      <c r="D37" s="1" t="s">
        <v>1019</v>
      </c>
    </row>
    <row r="38" spans="1:4" ht="45" x14ac:dyDescent="0.25">
      <c r="A38" s="2">
        <f t="shared" si="0"/>
        <v>35</v>
      </c>
      <c r="B38" s="6" t="s">
        <v>493</v>
      </c>
      <c r="C38" s="6" t="s">
        <v>831</v>
      </c>
      <c r="D38" s="1" t="s">
        <v>1015</v>
      </c>
    </row>
    <row r="39" spans="1:4" ht="30" x14ac:dyDescent="0.25">
      <c r="A39" s="2">
        <f t="shared" si="0"/>
        <v>36</v>
      </c>
      <c r="B39" s="6" t="s">
        <v>471</v>
      </c>
      <c r="C39" s="6" t="s">
        <v>912</v>
      </c>
      <c r="D39" s="1" t="s">
        <v>1108</v>
      </c>
    </row>
    <row r="40" spans="1:4" ht="30" x14ac:dyDescent="0.25">
      <c r="A40" s="2">
        <f t="shared" si="0"/>
        <v>37</v>
      </c>
      <c r="B40" s="6" t="s">
        <v>441</v>
      </c>
      <c r="C40" s="6" t="s">
        <v>953</v>
      </c>
      <c r="D40" s="1" t="s">
        <v>1167</v>
      </c>
    </row>
    <row r="41" spans="1:4" ht="45" x14ac:dyDescent="0.25">
      <c r="A41" s="2">
        <f t="shared" si="0"/>
        <v>38</v>
      </c>
      <c r="B41" s="6" t="s">
        <v>405</v>
      </c>
      <c r="C41" s="6" t="s">
        <v>804</v>
      </c>
      <c r="D41" s="1" t="s">
        <v>988</v>
      </c>
    </row>
    <row r="42" spans="1:4" ht="30" x14ac:dyDescent="0.25">
      <c r="A42" s="2">
        <f t="shared" si="0"/>
        <v>39</v>
      </c>
      <c r="B42" s="6" t="s">
        <v>545</v>
      </c>
      <c r="C42" s="6" t="s">
        <v>844</v>
      </c>
      <c r="D42" s="1" t="s">
        <v>1030</v>
      </c>
    </row>
    <row r="43" spans="1:4" ht="30" x14ac:dyDescent="0.25">
      <c r="A43" s="2">
        <f t="shared" si="0"/>
        <v>40</v>
      </c>
      <c r="B43" s="6" t="s">
        <v>434</v>
      </c>
      <c r="C43" s="6" t="s">
        <v>950</v>
      </c>
      <c r="D43" s="1" t="s">
        <v>1149</v>
      </c>
    </row>
    <row r="44" spans="1:4" ht="30" x14ac:dyDescent="0.25">
      <c r="A44" s="2">
        <f t="shared" si="0"/>
        <v>41</v>
      </c>
      <c r="B44" s="6" t="s">
        <v>558</v>
      </c>
      <c r="C44" s="6" t="s">
        <v>957</v>
      </c>
      <c r="D44" s="1" t="s">
        <v>1170</v>
      </c>
    </row>
    <row r="45" spans="1:4" ht="45" x14ac:dyDescent="0.25">
      <c r="A45" s="2">
        <f t="shared" si="0"/>
        <v>42</v>
      </c>
      <c r="B45" s="6" t="s">
        <v>424</v>
      </c>
      <c r="C45" s="6" t="s">
        <v>797</v>
      </c>
      <c r="D45" s="1" t="s">
        <v>981</v>
      </c>
    </row>
    <row r="46" spans="1:4" ht="30" x14ac:dyDescent="0.25">
      <c r="A46" s="2">
        <f t="shared" si="0"/>
        <v>43</v>
      </c>
      <c r="B46" s="6" t="s">
        <v>556</v>
      </c>
      <c r="C46" s="6" t="s">
        <v>882</v>
      </c>
      <c r="D46" s="1" t="s">
        <v>1071</v>
      </c>
    </row>
    <row r="47" spans="1:4" ht="30" x14ac:dyDescent="0.25">
      <c r="A47" s="2">
        <f t="shared" si="0"/>
        <v>44</v>
      </c>
      <c r="B47" s="6" t="s">
        <v>477</v>
      </c>
      <c r="C47" s="6" t="s">
        <v>906</v>
      </c>
      <c r="D47" s="1" t="s">
        <v>1102</v>
      </c>
    </row>
    <row r="48" spans="1:4" ht="30" x14ac:dyDescent="0.25">
      <c r="A48" s="2">
        <f t="shared" si="0"/>
        <v>45</v>
      </c>
      <c r="B48" s="6" t="s">
        <v>385</v>
      </c>
      <c r="C48" s="6" t="s">
        <v>905</v>
      </c>
      <c r="D48" s="1" t="s">
        <v>1101</v>
      </c>
    </row>
    <row r="49" spans="1:4" ht="30" x14ac:dyDescent="0.25">
      <c r="A49" s="2">
        <f t="shared" si="0"/>
        <v>46</v>
      </c>
      <c r="B49" s="6" t="s">
        <v>538</v>
      </c>
      <c r="C49" s="6" t="s">
        <v>954</v>
      </c>
      <c r="D49" s="1" t="s">
        <v>1168</v>
      </c>
    </row>
    <row r="50" spans="1:4" ht="45" x14ac:dyDescent="0.25">
      <c r="A50" s="2">
        <f t="shared" si="0"/>
        <v>47</v>
      </c>
      <c r="B50" s="6" t="s">
        <v>514</v>
      </c>
      <c r="C50" s="6" t="s">
        <v>826</v>
      </c>
      <c r="D50" s="1" t="s">
        <v>1010</v>
      </c>
    </row>
    <row r="51" spans="1:4" ht="30" x14ac:dyDescent="0.25">
      <c r="A51" s="2">
        <f t="shared" si="0"/>
        <v>48</v>
      </c>
      <c r="B51" s="6" t="s">
        <v>400</v>
      </c>
      <c r="C51" s="6" t="s">
        <v>871</v>
      </c>
      <c r="D51" s="1" t="s">
        <v>1060</v>
      </c>
    </row>
    <row r="52" spans="1:4" ht="30" x14ac:dyDescent="0.25">
      <c r="A52" s="2">
        <f t="shared" si="0"/>
        <v>49</v>
      </c>
      <c r="B52" s="6" t="s">
        <v>492</v>
      </c>
      <c r="C52" s="6" t="s">
        <v>946</v>
      </c>
      <c r="D52" s="1" t="s">
        <v>1143</v>
      </c>
    </row>
    <row r="53" spans="1:4" ht="30" x14ac:dyDescent="0.25">
      <c r="A53" s="2">
        <f t="shared" si="0"/>
        <v>50</v>
      </c>
      <c r="B53" s="6" t="s">
        <v>560</v>
      </c>
      <c r="C53" s="6" t="s">
        <v>866</v>
      </c>
      <c r="D53" s="1" t="s">
        <v>1055</v>
      </c>
    </row>
    <row r="54" spans="1:4" ht="30" x14ac:dyDescent="0.25">
      <c r="A54" s="2">
        <f t="shared" si="0"/>
        <v>51</v>
      </c>
      <c r="B54" s="6" t="s">
        <v>440</v>
      </c>
      <c r="C54" s="6" t="s">
        <v>892</v>
      </c>
      <c r="D54" s="1" t="s">
        <v>1084</v>
      </c>
    </row>
    <row r="55" spans="1:4" ht="30" x14ac:dyDescent="0.25">
      <c r="A55" s="2">
        <f t="shared" si="0"/>
        <v>52</v>
      </c>
      <c r="B55" s="6" t="s">
        <v>427</v>
      </c>
      <c r="C55" s="6" t="s">
        <v>937</v>
      </c>
      <c r="D55" s="1" t="s">
        <v>1123</v>
      </c>
    </row>
    <row r="56" spans="1:4" ht="30" x14ac:dyDescent="0.25">
      <c r="A56" s="2">
        <f t="shared" si="0"/>
        <v>53</v>
      </c>
      <c r="B56" s="6" t="s">
        <v>389</v>
      </c>
      <c r="C56" s="6" t="s">
        <v>889</v>
      </c>
      <c r="D56" s="1" t="s">
        <v>1079</v>
      </c>
    </row>
    <row r="57" spans="1:4" ht="30" x14ac:dyDescent="0.25">
      <c r="A57" s="2">
        <f t="shared" si="0"/>
        <v>54</v>
      </c>
      <c r="B57" s="6" t="s">
        <v>519</v>
      </c>
      <c r="C57" s="6" t="s">
        <v>963</v>
      </c>
      <c r="D57" s="1" t="s">
        <v>1078</v>
      </c>
    </row>
    <row r="58" spans="1:4" ht="30" x14ac:dyDescent="0.25">
      <c r="A58" s="2">
        <f t="shared" si="0"/>
        <v>55</v>
      </c>
      <c r="B58" s="6" t="s">
        <v>502</v>
      </c>
      <c r="C58" s="6" t="s">
        <v>885</v>
      </c>
      <c r="D58" s="1" t="s">
        <v>1074</v>
      </c>
    </row>
    <row r="59" spans="1:4" ht="30" x14ac:dyDescent="0.25">
      <c r="A59" s="2">
        <f t="shared" si="0"/>
        <v>56</v>
      </c>
      <c r="B59" s="6" t="s">
        <v>510</v>
      </c>
      <c r="C59" s="6" t="s">
        <v>795</v>
      </c>
      <c r="D59" s="1" t="s">
        <v>979</v>
      </c>
    </row>
    <row r="60" spans="1:4" ht="30" x14ac:dyDescent="0.25">
      <c r="A60" s="2">
        <f t="shared" si="0"/>
        <v>57</v>
      </c>
      <c r="B60" s="6" t="s">
        <v>535</v>
      </c>
      <c r="C60" s="6" t="s">
        <v>846</v>
      </c>
      <c r="D60" s="1" t="s">
        <v>1032</v>
      </c>
    </row>
    <row r="61" spans="1:4" ht="30" x14ac:dyDescent="0.25">
      <c r="A61" s="2">
        <f t="shared" si="0"/>
        <v>58</v>
      </c>
      <c r="B61" s="6" t="s">
        <v>467</v>
      </c>
      <c r="C61" s="6" t="s">
        <v>836</v>
      </c>
      <c r="D61" s="1" t="s">
        <v>1020</v>
      </c>
    </row>
    <row r="62" spans="1:4" ht="30" x14ac:dyDescent="0.25">
      <c r="A62" s="2">
        <f t="shared" si="0"/>
        <v>59</v>
      </c>
      <c r="B62" s="6" t="s">
        <v>392</v>
      </c>
      <c r="C62" s="6" t="s">
        <v>467</v>
      </c>
      <c r="D62" s="1" t="s">
        <v>1083</v>
      </c>
    </row>
    <row r="63" spans="1:4" ht="45" x14ac:dyDescent="0.25">
      <c r="A63" s="2">
        <f t="shared" si="0"/>
        <v>60</v>
      </c>
      <c r="B63" s="6" t="s">
        <v>509</v>
      </c>
      <c r="C63" s="6" t="s">
        <v>823</v>
      </c>
      <c r="D63" s="1" t="s">
        <v>1007</v>
      </c>
    </row>
    <row r="64" spans="1:4" ht="30" x14ac:dyDescent="0.25">
      <c r="A64" s="2">
        <f t="shared" si="0"/>
        <v>61</v>
      </c>
      <c r="B64" s="6" t="s">
        <v>433</v>
      </c>
      <c r="C64" s="6" t="s">
        <v>865</v>
      </c>
      <c r="D64" s="1" t="s">
        <v>1054</v>
      </c>
    </row>
    <row r="65" spans="1:4" ht="45" x14ac:dyDescent="0.25">
      <c r="A65" s="2">
        <f t="shared" si="0"/>
        <v>62</v>
      </c>
      <c r="B65" s="6" t="s">
        <v>428</v>
      </c>
      <c r="C65" s="6" t="s">
        <v>798</v>
      </c>
      <c r="D65" s="1" t="s">
        <v>982</v>
      </c>
    </row>
    <row r="66" spans="1:4" ht="30" x14ac:dyDescent="0.25">
      <c r="A66" s="2">
        <f t="shared" si="0"/>
        <v>63</v>
      </c>
      <c r="B66" s="6" t="s">
        <v>382</v>
      </c>
      <c r="C66" s="6" t="s">
        <v>945</v>
      </c>
      <c r="D66" s="1" t="s">
        <v>1142</v>
      </c>
    </row>
    <row r="67" spans="1:4" ht="30" x14ac:dyDescent="0.25">
      <c r="A67" s="2">
        <f t="shared" si="0"/>
        <v>64</v>
      </c>
      <c r="B67" s="6" t="s">
        <v>431</v>
      </c>
      <c r="C67" s="6" t="s">
        <v>900</v>
      </c>
      <c r="D67" s="1" t="s">
        <v>1095</v>
      </c>
    </row>
    <row r="68" spans="1:4" ht="30" x14ac:dyDescent="0.25">
      <c r="A68" s="2">
        <f t="shared" si="0"/>
        <v>65</v>
      </c>
      <c r="B68" s="6" t="s">
        <v>454</v>
      </c>
      <c r="C68" s="6" t="s">
        <v>940</v>
      </c>
      <c r="D68" s="1" t="s">
        <v>1126</v>
      </c>
    </row>
    <row r="69" spans="1:4" ht="45" x14ac:dyDescent="0.25">
      <c r="A69" s="2">
        <f t="shared" si="0"/>
        <v>66</v>
      </c>
      <c r="B69" s="6" t="s">
        <v>391</v>
      </c>
      <c r="C69" s="6" t="s">
        <v>800</v>
      </c>
      <c r="D69" s="1" t="s">
        <v>984</v>
      </c>
    </row>
    <row r="70" spans="1:4" ht="45" x14ac:dyDescent="0.25">
      <c r="A70" s="2">
        <f t="shared" ref="A70:A133" si="1">A69+1</f>
        <v>67</v>
      </c>
      <c r="B70" s="6" t="s">
        <v>526</v>
      </c>
      <c r="C70" s="6" t="s">
        <v>817</v>
      </c>
      <c r="D70" s="1" t="s">
        <v>1001</v>
      </c>
    </row>
    <row r="71" spans="1:4" ht="45" x14ac:dyDescent="0.25">
      <c r="A71" s="2">
        <f t="shared" si="1"/>
        <v>68</v>
      </c>
      <c r="B71" s="6" t="s">
        <v>370</v>
      </c>
      <c r="C71" s="6" t="s">
        <v>799</v>
      </c>
      <c r="D71" s="1" t="s">
        <v>983</v>
      </c>
    </row>
    <row r="72" spans="1:4" ht="45" x14ac:dyDescent="0.25">
      <c r="A72" s="2">
        <f t="shared" si="1"/>
        <v>69</v>
      </c>
      <c r="B72" s="6" t="s">
        <v>407</v>
      </c>
      <c r="C72" s="6" t="s">
        <v>802</v>
      </c>
      <c r="D72" s="1" t="s">
        <v>986</v>
      </c>
    </row>
    <row r="73" spans="1:4" ht="30" x14ac:dyDescent="0.25">
      <c r="A73" s="2">
        <f t="shared" si="1"/>
        <v>70</v>
      </c>
      <c r="B73" s="6" t="s">
        <v>372</v>
      </c>
      <c r="C73" s="6" t="s">
        <v>802</v>
      </c>
      <c r="D73" s="1" t="s">
        <v>1148</v>
      </c>
    </row>
    <row r="74" spans="1:4" ht="30" x14ac:dyDescent="0.25">
      <c r="A74" s="2">
        <f t="shared" si="1"/>
        <v>71</v>
      </c>
      <c r="B74" s="6" t="s">
        <v>363</v>
      </c>
      <c r="C74" s="6" t="s">
        <v>867</v>
      </c>
      <c r="D74" s="1" t="s">
        <v>1056</v>
      </c>
    </row>
    <row r="75" spans="1:4" ht="45" x14ac:dyDescent="0.25">
      <c r="A75" s="2">
        <f t="shared" si="1"/>
        <v>72</v>
      </c>
      <c r="B75" s="6" t="s">
        <v>463</v>
      </c>
      <c r="C75" s="6" t="s">
        <v>967</v>
      </c>
      <c r="D75" s="1" t="s">
        <v>1137</v>
      </c>
    </row>
    <row r="76" spans="1:4" ht="45" x14ac:dyDescent="0.25">
      <c r="A76" s="2">
        <f t="shared" si="1"/>
        <v>73</v>
      </c>
      <c r="B76" s="6" t="s">
        <v>468</v>
      </c>
      <c r="C76" s="6" t="s">
        <v>962</v>
      </c>
      <c r="D76" s="1" t="s">
        <v>1178</v>
      </c>
    </row>
    <row r="77" spans="1:4" ht="30" x14ac:dyDescent="0.25">
      <c r="A77" s="2">
        <f t="shared" si="1"/>
        <v>74</v>
      </c>
      <c r="B77" s="6" t="s">
        <v>408</v>
      </c>
      <c r="C77" s="6" t="s">
        <v>893</v>
      </c>
      <c r="D77" s="1" t="s">
        <v>1085</v>
      </c>
    </row>
    <row r="78" spans="1:4" ht="30" x14ac:dyDescent="0.25">
      <c r="A78" s="2">
        <f t="shared" si="1"/>
        <v>75</v>
      </c>
      <c r="B78" s="6" t="s">
        <v>499</v>
      </c>
      <c r="C78" s="6" t="s">
        <v>886</v>
      </c>
      <c r="D78" s="1" t="s">
        <v>1075</v>
      </c>
    </row>
    <row r="79" spans="1:4" ht="30" x14ac:dyDescent="0.25">
      <c r="A79" s="2">
        <f t="shared" si="1"/>
        <v>76</v>
      </c>
      <c r="B79" s="6" t="s">
        <v>543</v>
      </c>
      <c r="C79" s="6" t="s">
        <v>969</v>
      </c>
      <c r="D79" s="1" t="s">
        <v>1140</v>
      </c>
    </row>
    <row r="80" spans="1:4" ht="30" x14ac:dyDescent="0.25">
      <c r="A80" s="2">
        <f t="shared" si="1"/>
        <v>77</v>
      </c>
      <c r="B80" s="6" t="s">
        <v>491</v>
      </c>
      <c r="C80" s="6" t="s">
        <v>870</v>
      </c>
      <c r="D80" s="1" t="s">
        <v>1059</v>
      </c>
    </row>
    <row r="81" spans="1:4" ht="30" x14ac:dyDescent="0.25">
      <c r="A81" s="2">
        <f t="shared" si="1"/>
        <v>78</v>
      </c>
      <c r="B81" s="6" t="s">
        <v>475</v>
      </c>
      <c r="C81" s="6" t="s">
        <v>863</v>
      </c>
      <c r="D81" s="1" t="s">
        <v>1018</v>
      </c>
    </row>
    <row r="82" spans="1:4" ht="30" x14ac:dyDescent="0.25">
      <c r="A82" s="2">
        <f t="shared" si="1"/>
        <v>79</v>
      </c>
      <c r="B82" s="6" t="s">
        <v>474</v>
      </c>
      <c r="C82" s="6" t="s">
        <v>834</v>
      </c>
      <c r="D82" s="1" t="s">
        <v>1018</v>
      </c>
    </row>
    <row r="83" spans="1:4" ht="30" x14ac:dyDescent="0.25">
      <c r="A83" s="2">
        <f t="shared" si="1"/>
        <v>80</v>
      </c>
      <c r="B83" s="6" t="s">
        <v>482</v>
      </c>
      <c r="C83" s="6" t="s">
        <v>482</v>
      </c>
      <c r="D83" s="1" t="s">
        <v>1086</v>
      </c>
    </row>
    <row r="84" spans="1:4" ht="30" x14ac:dyDescent="0.25">
      <c r="A84" s="2">
        <f t="shared" si="1"/>
        <v>81</v>
      </c>
      <c r="B84" s="6" t="s">
        <v>416</v>
      </c>
      <c r="C84" s="6" t="s">
        <v>935</v>
      </c>
      <c r="D84" s="1" t="s">
        <v>1165</v>
      </c>
    </row>
    <row r="85" spans="1:4" ht="30" x14ac:dyDescent="0.25">
      <c r="A85" s="2">
        <f t="shared" si="1"/>
        <v>82</v>
      </c>
      <c r="B85" s="6" t="s">
        <v>498</v>
      </c>
      <c r="C85" s="6" t="s">
        <v>902</v>
      </c>
      <c r="D85" s="1" t="s">
        <v>1097</v>
      </c>
    </row>
    <row r="86" spans="1:4" ht="30" x14ac:dyDescent="0.25">
      <c r="A86" s="2">
        <f t="shared" si="1"/>
        <v>83</v>
      </c>
      <c r="B86" s="6" t="s">
        <v>505</v>
      </c>
      <c r="C86" s="6" t="s">
        <v>884</v>
      </c>
      <c r="D86" s="1" t="s">
        <v>1073</v>
      </c>
    </row>
    <row r="87" spans="1:4" ht="30" x14ac:dyDescent="0.25">
      <c r="A87" s="2">
        <f t="shared" si="1"/>
        <v>84</v>
      </c>
      <c r="B87" s="6" t="s">
        <v>507</v>
      </c>
      <c r="C87" s="6" t="s">
        <v>837</v>
      </c>
      <c r="D87" s="1" t="s">
        <v>1021</v>
      </c>
    </row>
    <row r="88" spans="1:4" ht="30" x14ac:dyDescent="0.25">
      <c r="A88" s="2">
        <f t="shared" si="1"/>
        <v>85</v>
      </c>
      <c r="B88" s="6" t="s">
        <v>460</v>
      </c>
      <c r="C88" s="6" t="s">
        <v>903</v>
      </c>
      <c r="D88" s="1" t="s">
        <v>1098</v>
      </c>
    </row>
    <row r="89" spans="1:4" ht="45" x14ac:dyDescent="0.25">
      <c r="A89" s="2">
        <f t="shared" si="1"/>
        <v>86</v>
      </c>
      <c r="B89" s="6" t="s">
        <v>393</v>
      </c>
      <c r="C89" s="6" t="s">
        <v>801</v>
      </c>
      <c r="D89" s="1" t="s">
        <v>985</v>
      </c>
    </row>
    <row r="90" spans="1:4" ht="30" x14ac:dyDescent="0.25">
      <c r="A90" s="2">
        <f t="shared" si="1"/>
        <v>87</v>
      </c>
      <c r="B90" s="6" t="s">
        <v>528</v>
      </c>
      <c r="C90" s="6" t="s">
        <v>966</v>
      </c>
      <c r="D90" s="1" t="s">
        <v>1136</v>
      </c>
    </row>
    <row r="91" spans="1:4" ht="30" x14ac:dyDescent="0.25">
      <c r="A91" s="2">
        <f t="shared" si="1"/>
        <v>88</v>
      </c>
      <c r="B91" s="6" t="s">
        <v>436</v>
      </c>
      <c r="C91" s="6" t="s">
        <v>904</v>
      </c>
      <c r="D91" s="1" t="s">
        <v>1100</v>
      </c>
    </row>
    <row r="92" spans="1:4" ht="30" x14ac:dyDescent="0.25">
      <c r="A92" s="2">
        <f t="shared" si="1"/>
        <v>89</v>
      </c>
      <c r="B92" s="6" t="s">
        <v>371</v>
      </c>
      <c r="C92" s="6" t="s">
        <v>914</v>
      </c>
      <c r="D92" s="1" t="s">
        <v>1110</v>
      </c>
    </row>
    <row r="93" spans="1:4" ht="30" x14ac:dyDescent="0.25">
      <c r="A93" s="2">
        <f t="shared" si="1"/>
        <v>90</v>
      </c>
      <c r="B93" s="6" t="s">
        <v>488</v>
      </c>
      <c r="C93" s="6" t="s">
        <v>913</v>
      </c>
      <c r="D93" s="1" t="s">
        <v>1109</v>
      </c>
    </row>
    <row r="94" spans="1:4" ht="30" x14ac:dyDescent="0.25">
      <c r="A94" s="2">
        <f t="shared" si="1"/>
        <v>91</v>
      </c>
      <c r="B94" s="6" t="s">
        <v>386</v>
      </c>
      <c r="C94" s="6" t="s">
        <v>926</v>
      </c>
      <c r="D94" s="1" t="s">
        <v>1157</v>
      </c>
    </row>
    <row r="95" spans="1:4" ht="30" x14ac:dyDescent="0.25">
      <c r="A95" s="2">
        <f t="shared" si="1"/>
        <v>92</v>
      </c>
      <c r="B95" s="6" t="s">
        <v>496</v>
      </c>
      <c r="C95" s="6" t="s">
        <v>849</v>
      </c>
      <c r="D95" s="1" t="s">
        <v>1038</v>
      </c>
    </row>
    <row r="96" spans="1:4" ht="30" x14ac:dyDescent="0.25">
      <c r="A96" s="2">
        <f t="shared" si="1"/>
        <v>93</v>
      </c>
      <c r="B96" s="6" t="s">
        <v>540</v>
      </c>
      <c r="C96" s="6" t="s">
        <v>181</v>
      </c>
      <c r="D96" s="1" t="s">
        <v>1122</v>
      </c>
    </row>
    <row r="97" spans="1:4" ht="30" x14ac:dyDescent="0.25">
      <c r="A97" s="2">
        <f t="shared" si="1"/>
        <v>94</v>
      </c>
      <c r="B97" s="6" t="s">
        <v>435</v>
      </c>
      <c r="C97" s="6" t="s">
        <v>872</v>
      </c>
      <c r="D97" s="1" t="s">
        <v>1061</v>
      </c>
    </row>
    <row r="98" spans="1:4" ht="30" x14ac:dyDescent="0.25">
      <c r="A98" s="2">
        <f t="shared" si="1"/>
        <v>95</v>
      </c>
      <c r="B98" s="6" t="s">
        <v>444</v>
      </c>
      <c r="C98" s="6" t="s">
        <v>916</v>
      </c>
      <c r="D98" s="1" t="s">
        <v>1112</v>
      </c>
    </row>
    <row r="99" spans="1:4" ht="30" x14ac:dyDescent="0.25">
      <c r="A99" s="2">
        <f t="shared" si="1"/>
        <v>96</v>
      </c>
      <c r="B99" s="6" t="s">
        <v>503</v>
      </c>
      <c r="C99" s="6" t="s">
        <v>938</v>
      </c>
      <c r="D99" s="1" t="s">
        <v>1124</v>
      </c>
    </row>
    <row r="100" spans="1:4" ht="30" x14ac:dyDescent="0.25">
      <c r="A100" s="2">
        <f t="shared" si="1"/>
        <v>97</v>
      </c>
      <c r="B100" s="6" t="s">
        <v>465</v>
      </c>
      <c r="C100" s="6" t="s">
        <v>818</v>
      </c>
      <c r="D100" s="1" t="s">
        <v>1035</v>
      </c>
    </row>
    <row r="101" spans="1:4" ht="30" x14ac:dyDescent="0.25">
      <c r="A101" s="2">
        <f t="shared" si="1"/>
        <v>98</v>
      </c>
      <c r="B101" s="6" t="s">
        <v>396</v>
      </c>
      <c r="C101" s="6" t="s">
        <v>839</v>
      </c>
      <c r="D101" s="1" t="s">
        <v>1025</v>
      </c>
    </row>
    <row r="102" spans="1:4" ht="45" x14ac:dyDescent="0.25">
      <c r="A102" s="2">
        <f t="shared" si="1"/>
        <v>99</v>
      </c>
      <c r="B102" s="6" t="s">
        <v>423</v>
      </c>
      <c r="C102" s="6" t="s">
        <v>423</v>
      </c>
      <c r="D102" s="1" t="s">
        <v>1169</v>
      </c>
    </row>
    <row r="103" spans="1:4" ht="30" x14ac:dyDescent="0.25">
      <c r="A103" s="2">
        <f t="shared" si="1"/>
        <v>100</v>
      </c>
      <c r="B103" s="6" t="s">
        <v>388</v>
      </c>
      <c r="C103" s="6" t="s">
        <v>911</v>
      </c>
      <c r="D103" s="1" t="s">
        <v>1107</v>
      </c>
    </row>
    <row r="104" spans="1:4" ht="30" x14ac:dyDescent="0.25">
      <c r="A104" s="2">
        <f t="shared" si="1"/>
        <v>101</v>
      </c>
      <c r="B104" s="6" t="s">
        <v>366</v>
      </c>
      <c r="C104" s="6" t="s">
        <v>907</v>
      </c>
      <c r="D104" s="1" t="s">
        <v>1103</v>
      </c>
    </row>
    <row r="105" spans="1:4" ht="30" x14ac:dyDescent="0.25">
      <c r="A105" s="2">
        <f t="shared" si="1"/>
        <v>102</v>
      </c>
      <c r="B105" s="6" t="s">
        <v>445</v>
      </c>
      <c r="C105" s="6" t="s">
        <v>828</v>
      </c>
      <c r="D105" s="1" t="s">
        <v>1012</v>
      </c>
    </row>
    <row r="106" spans="1:4" ht="45" x14ac:dyDescent="0.25">
      <c r="A106" s="2">
        <f t="shared" si="1"/>
        <v>103</v>
      </c>
      <c r="B106" s="6" t="s">
        <v>410</v>
      </c>
      <c r="C106" s="6" t="s">
        <v>793</v>
      </c>
      <c r="D106" s="1" t="s">
        <v>977</v>
      </c>
    </row>
    <row r="107" spans="1:4" ht="30" x14ac:dyDescent="0.25">
      <c r="A107" s="2">
        <f t="shared" si="1"/>
        <v>104</v>
      </c>
      <c r="B107" s="6" t="s">
        <v>430</v>
      </c>
      <c r="C107" s="6" t="s">
        <v>861</v>
      </c>
      <c r="D107" s="1" t="s">
        <v>1051</v>
      </c>
    </row>
    <row r="108" spans="1:4" ht="30" x14ac:dyDescent="0.25">
      <c r="A108" s="2">
        <f t="shared" si="1"/>
        <v>105</v>
      </c>
      <c r="B108" s="6" t="s">
        <v>484</v>
      </c>
      <c r="C108" s="6" t="s">
        <v>851</v>
      </c>
      <c r="D108" s="1" t="s">
        <v>1040</v>
      </c>
    </row>
    <row r="109" spans="1:4" ht="30" x14ac:dyDescent="0.25">
      <c r="A109" s="2">
        <f t="shared" si="1"/>
        <v>106</v>
      </c>
      <c r="B109" s="6" t="s">
        <v>563</v>
      </c>
      <c r="C109" s="6" t="s">
        <v>874</v>
      </c>
      <c r="D109" s="1" t="s">
        <v>1063</v>
      </c>
    </row>
    <row r="110" spans="1:4" ht="45" x14ac:dyDescent="0.25">
      <c r="A110" s="2">
        <f t="shared" si="1"/>
        <v>107</v>
      </c>
      <c r="B110" s="6" t="s">
        <v>490</v>
      </c>
      <c r="C110" s="6" t="s">
        <v>824</v>
      </c>
      <c r="D110" s="1" t="s">
        <v>1008</v>
      </c>
    </row>
    <row r="111" spans="1:4" ht="30" x14ac:dyDescent="0.25">
      <c r="A111" s="2">
        <f t="shared" si="1"/>
        <v>108</v>
      </c>
      <c r="B111" s="6" t="s">
        <v>520</v>
      </c>
      <c r="C111" s="6" t="s">
        <v>931</v>
      </c>
      <c r="D111" s="1" t="s">
        <v>1121</v>
      </c>
    </row>
    <row r="112" spans="1:4" ht="45" x14ac:dyDescent="0.25">
      <c r="A112" s="2">
        <f t="shared" si="1"/>
        <v>109</v>
      </c>
      <c r="B112" s="6" t="s">
        <v>450</v>
      </c>
      <c r="C112" s="6" t="s">
        <v>812</v>
      </c>
      <c r="D112" s="1" t="s">
        <v>996</v>
      </c>
    </row>
    <row r="113" spans="1:4" ht="30" x14ac:dyDescent="0.25">
      <c r="A113" s="2">
        <f t="shared" si="1"/>
        <v>110</v>
      </c>
      <c r="B113" s="6" t="s">
        <v>399</v>
      </c>
      <c r="C113" s="6" t="s">
        <v>796</v>
      </c>
      <c r="D113" s="1" t="s">
        <v>980</v>
      </c>
    </row>
    <row r="114" spans="1:4" ht="30" x14ac:dyDescent="0.25">
      <c r="A114" s="2">
        <f t="shared" si="1"/>
        <v>111</v>
      </c>
      <c r="B114" s="6" t="s">
        <v>377</v>
      </c>
      <c r="C114" s="6" t="s">
        <v>855</v>
      </c>
      <c r="D114" s="1" t="s">
        <v>1045</v>
      </c>
    </row>
    <row r="115" spans="1:4" ht="30" x14ac:dyDescent="0.25">
      <c r="A115" s="2">
        <f t="shared" si="1"/>
        <v>112</v>
      </c>
      <c r="B115" s="6" t="s">
        <v>500</v>
      </c>
      <c r="C115" s="6" t="s">
        <v>859</v>
      </c>
      <c r="D115" s="1" t="s">
        <v>1049</v>
      </c>
    </row>
    <row r="116" spans="1:4" ht="30" x14ac:dyDescent="0.25">
      <c r="A116" s="2">
        <f t="shared" si="1"/>
        <v>113</v>
      </c>
      <c r="B116" s="6" t="s">
        <v>452</v>
      </c>
      <c r="C116" s="6" t="s">
        <v>853</v>
      </c>
      <c r="D116" s="1" t="s">
        <v>1042</v>
      </c>
    </row>
    <row r="117" spans="1:4" ht="45" x14ac:dyDescent="0.25">
      <c r="A117" s="2">
        <f t="shared" si="1"/>
        <v>114</v>
      </c>
      <c r="B117" s="6" t="s">
        <v>459</v>
      </c>
      <c r="C117" s="6" t="s">
        <v>803</v>
      </c>
      <c r="D117" s="1" t="s">
        <v>987</v>
      </c>
    </row>
    <row r="118" spans="1:4" ht="45" x14ac:dyDescent="0.25">
      <c r="A118" s="2">
        <f t="shared" si="1"/>
        <v>115</v>
      </c>
      <c r="B118" s="6" t="s">
        <v>486</v>
      </c>
      <c r="C118" s="6" t="s">
        <v>819</v>
      </c>
      <c r="D118" s="1" t="s">
        <v>1003</v>
      </c>
    </row>
    <row r="119" spans="1:4" ht="30" x14ac:dyDescent="0.25">
      <c r="A119" s="2">
        <f t="shared" si="1"/>
        <v>116</v>
      </c>
      <c r="B119" s="6" t="s">
        <v>394</v>
      </c>
      <c r="C119" s="6" t="s">
        <v>856</v>
      </c>
      <c r="D119" s="1" t="s">
        <v>1046</v>
      </c>
    </row>
    <row r="120" spans="1:4" ht="30" x14ac:dyDescent="0.25">
      <c r="A120" s="2">
        <f t="shared" si="1"/>
        <v>117</v>
      </c>
      <c r="B120" s="6" t="s">
        <v>557</v>
      </c>
      <c r="C120" s="6" t="s">
        <v>883</v>
      </c>
      <c r="D120" s="1" t="s">
        <v>1072</v>
      </c>
    </row>
    <row r="121" spans="1:4" ht="30" x14ac:dyDescent="0.25">
      <c r="A121" s="2">
        <f t="shared" si="1"/>
        <v>118</v>
      </c>
      <c r="B121" s="6" t="s">
        <v>470</v>
      </c>
      <c r="C121" s="6" t="s">
        <v>941</v>
      </c>
      <c r="D121" s="1" t="s">
        <v>1135</v>
      </c>
    </row>
    <row r="122" spans="1:4" ht="30" x14ac:dyDescent="0.25">
      <c r="A122" s="2">
        <f t="shared" si="1"/>
        <v>119</v>
      </c>
      <c r="B122" s="6" t="s">
        <v>319</v>
      </c>
      <c r="C122" s="6" t="s">
        <v>932</v>
      </c>
      <c r="D122" s="1" t="s">
        <v>1131</v>
      </c>
    </row>
    <row r="123" spans="1:4" ht="30" x14ac:dyDescent="0.25">
      <c r="A123" s="2">
        <f t="shared" si="1"/>
        <v>120</v>
      </c>
      <c r="B123" s="6" t="s">
        <v>464</v>
      </c>
      <c r="C123" s="6" t="s">
        <v>470</v>
      </c>
      <c r="D123" s="1" t="s">
        <v>1090</v>
      </c>
    </row>
    <row r="124" spans="1:4" ht="30" x14ac:dyDescent="0.25">
      <c r="A124" s="2">
        <f t="shared" si="1"/>
        <v>121</v>
      </c>
      <c r="B124" s="6" t="s">
        <v>455</v>
      </c>
      <c r="C124" s="6" t="s">
        <v>915</v>
      </c>
      <c r="D124" s="1" t="s">
        <v>1111</v>
      </c>
    </row>
    <row r="125" spans="1:4" ht="45" x14ac:dyDescent="0.25">
      <c r="A125" s="2">
        <f t="shared" si="1"/>
        <v>122</v>
      </c>
      <c r="B125" s="6" t="s">
        <v>442</v>
      </c>
      <c r="C125" s="6" t="s">
        <v>827</v>
      </c>
      <c r="D125" s="1" t="s">
        <v>1011</v>
      </c>
    </row>
    <row r="126" spans="1:4" ht="30" x14ac:dyDescent="0.25">
      <c r="A126" s="2">
        <f t="shared" si="1"/>
        <v>123</v>
      </c>
      <c r="B126" s="6" t="s">
        <v>544</v>
      </c>
      <c r="C126" s="6" t="s">
        <v>841</v>
      </c>
      <c r="D126" s="1" t="s">
        <v>1027</v>
      </c>
    </row>
    <row r="127" spans="1:4" ht="30" x14ac:dyDescent="0.25">
      <c r="A127" s="2">
        <f t="shared" si="1"/>
        <v>124</v>
      </c>
      <c r="B127" s="6" t="s">
        <v>421</v>
      </c>
      <c r="C127" s="6" t="s">
        <v>874</v>
      </c>
      <c r="D127" s="1" t="s">
        <v>1116</v>
      </c>
    </row>
    <row r="128" spans="1:4" ht="30" x14ac:dyDescent="0.25">
      <c r="A128" s="2">
        <f t="shared" si="1"/>
        <v>125</v>
      </c>
      <c r="B128" s="6" t="s">
        <v>480</v>
      </c>
      <c r="C128" s="6" t="s">
        <v>842</v>
      </c>
      <c r="D128" s="1" t="s">
        <v>1028</v>
      </c>
    </row>
    <row r="129" spans="1:4" ht="30" x14ac:dyDescent="0.25">
      <c r="A129" s="2">
        <f t="shared" si="1"/>
        <v>126</v>
      </c>
      <c r="B129" s="6" t="s">
        <v>548</v>
      </c>
      <c r="C129" s="6" t="s">
        <v>927</v>
      </c>
      <c r="D129" s="1" t="s">
        <v>1158</v>
      </c>
    </row>
    <row r="130" spans="1:4" ht="30" x14ac:dyDescent="0.25">
      <c r="A130" s="2">
        <f t="shared" si="1"/>
        <v>127</v>
      </c>
      <c r="B130" s="6" t="s">
        <v>542</v>
      </c>
      <c r="C130" s="6" t="s">
        <v>928</v>
      </c>
      <c r="D130" s="1" t="s">
        <v>1159</v>
      </c>
    </row>
    <row r="131" spans="1:4" ht="30" x14ac:dyDescent="0.25">
      <c r="A131" s="2">
        <f t="shared" si="1"/>
        <v>128</v>
      </c>
      <c r="B131" s="6" t="s">
        <v>387</v>
      </c>
      <c r="C131" s="6" t="s">
        <v>812</v>
      </c>
      <c r="D131" s="1" t="s">
        <v>1173</v>
      </c>
    </row>
    <row r="132" spans="1:4" ht="30" x14ac:dyDescent="0.25">
      <c r="A132" s="2">
        <f t="shared" si="1"/>
        <v>129</v>
      </c>
      <c r="B132" s="6" t="s">
        <v>553</v>
      </c>
      <c r="C132" s="6" t="s">
        <v>868</v>
      </c>
      <c r="D132" s="1" t="s">
        <v>1057</v>
      </c>
    </row>
    <row r="133" spans="1:4" ht="30" x14ac:dyDescent="0.25">
      <c r="A133" s="2">
        <f t="shared" si="1"/>
        <v>130</v>
      </c>
      <c r="B133" s="6" t="s">
        <v>497</v>
      </c>
      <c r="C133" s="6" t="s">
        <v>901</v>
      </c>
      <c r="D133" s="1" t="s">
        <v>1096</v>
      </c>
    </row>
    <row r="134" spans="1:4" ht="30" x14ac:dyDescent="0.25">
      <c r="A134" s="2">
        <f t="shared" ref="A134:A197" si="2">A133+1</f>
        <v>131</v>
      </c>
      <c r="B134" s="6" t="s">
        <v>565</v>
      </c>
      <c r="C134" s="6" t="s">
        <v>819</v>
      </c>
      <c r="D134" s="1" t="s">
        <v>1130</v>
      </c>
    </row>
    <row r="135" spans="1:4" ht="30" x14ac:dyDescent="0.25">
      <c r="A135" s="2">
        <f t="shared" si="2"/>
        <v>132</v>
      </c>
      <c r="B135" s="6" t="s">
        <v>555</v>
      </c>
      <c r="C135" s="6" t="s">
        <v>919</v>
      </c>
      <c r="D135" s="1" t="s">
        <v>1115</v>
      </c>
    </row>
    <row r="136" spans="1:4" ht="30" x14ac:dyDescent="0.25">
      <c r="A136" s="2">
        <f t="shared" si="2"/>
        <v>133</v>
      </c>
      <c r="B136" s="6" t="s">
        <v>483</v>
      </c>
      <c r="C136" s="6" t="s">
        <v>917</v>
      </c>
      <c r="D136" s="1" t="s">
        <v>1113</v>
      </c>
    </row>
    <row r="137" spans="1:4" ht="30" x14ac:dyDescent="0.25">
      <c r="A137" s="2">
        <f t="shared" si="2"/>
        <v>134</v>
      </c>
      <c r="B137" s="6" t="s">
        <v>432</v>
      </c>
      <c r="C137" s="6" t="s">
        <v>961</v>
      </c>
      <c r="D137" s="1" t="s">
        <v>1177</v>
      </c>
    </row>
    <row r="138" spans="1:4" ht="30" x14ac:dyDescent="0.25">
      <c r="A138" s="2">
        <f t="shared" si="2"/>
        <v>135</v>
      </c>
      <c r="B138" s="6" t="s">
        <v>517</v>
      </c>
      <c r="C138" s="6" t="s">
        <v>972</v>
      </c>
      <c r="D138" s="1" t="s">
        <v>1152</v>
      </c>
    </row>
    <row r="139" spans="1:4" ht="30" x14ac:dyDescent="0.25">
      <c r="A139" s="2">
        <f t="shared" si="2"/>
        <v>136</v>
      </c>
      <c r="B139" s="6" t="s">
        <v>379</v>
      </c>
      <c r="C139" s="6" t="s">
        <v>843</v>
      </c>
      <c r="D139" s="1" t="s">
        <v>1029</v>
      </c>
    </row>
    <row r="140" spans="1:4" ht="30" x14ac:dyDescent="0.25">
      <c r="A140" s="2">
        <f t="shared" si="2"/>
        <v>137</v>
      </c>
      <c r="B140" s="6" t="s">
        <v>547</v>
      </c>
      <c r="C140" s="6" t="s">
        <v>850</v>
      </c>
      <c r="D140" s="1" t="s">
        <v>1039</v>
      </c>
    </row>
    <row r="141" spans="1:4" ht="30" x14ac:dyDescent="0.25">
      <c r="A141" s="2">
        <f t="shared" si="2"/>
        <v>138</v>
      </c>
      <c r="B141" s="6" t="s">
        <v>533</v>
      </c>
      <c r="C141" s="6" t="s">
        <v>908</v>
      </c>
      <c r="D141" s="1" t="s">
        <v>1104</v>
      </c>
    </row>
    <row r="142" spans="1:4" ht="30" x14ac:dyDescent="0.25">
      <c r="A142" s="2">
        <f t="shared" si="2"/>
        <v>139</v>
      </c>
      <c r="B142" s="6" t="s">
        <v>397</v>
      </c>
      <c r="C142" s="6" t="s">
        <v>809</v>
      </c>
      <c r="D142" s="1" t="s">
        <v>993</v>
      </c>
    </row>
    <row r="143" spans="1:4" ht="30" x14ac:dyDescent="0.25">
      <c r="A143" s="2">
        <f t="shared" si="2"/>
        <v>140</v>
      </c>
      <c r="B143" s="6" t="s">
        <v>469</v>
      </c>
      <c r="C143" s="6" t="s">
        <v>945</v>
      </c>
      <c r="D143" s="1" t="s">
        <v>1125</v>
      </c>
    </row>
    <row r="144" spans="1:4" ht="30" x14ac:dyDescent="0.25">
      <c r="A144" s="2">
        <f t="shared" si="2"/>
        <v>141</v>
      </c>
      <c r="B144" s="6" t="s">
        <v>456</v>
      </c>
      <c r="C144" s="6" t="s">
        <v>809</v>
      </c>
      <c r="D144" s="1" t="s">
        <v>1044</v>
      </c>
    </row>
    <row r="145" spans="1:4" ht="30" x14ac:dyDescent="0.25">
      <c r="A145" s="2">
        <f t="shared" si="2"/>
        <v>142</v>
      </c>
      <c r="B145" s="6" t="s">
        <v>414</v>
      </c>
      <c r="C145" s="6" t="s">
        <v>943</v>
      </c>
      <c r="D145" s="1" t="s">
        <v>1129</v>
      </c>
    </row>
    <row r="146" spans="1:4" ht="30" x14ac:dyDescent="0.25">
      <c r="A146" s="2">
        <f t="shared" si="2"/>
        <v>143</v>
      </c>
      <c r="B146" s="6" t="s">
        <v>522</v>
      </c>
      <c r="C146" s="6" t="s">
        <v>897</v>
      </c>
      <c r="D146" s="1" t="s">
        <v>1091</v>
      </c>
    </row>
    <row r="147" spans="1:4" ht="30" x14ac:dyDescent="0.25">
      <c r="A147" s="2">
        <f t="shared" si="2"/>
        <v>144</v>
      </c>
      <c r="B147" s="6" t="s">
        <v>404</v>
      </c>
      <c r="C147" s="6" t="s">
        <v>815</v>
      </c>
      <c r="D147" s="1" t="s">
        <v>999</v>
      </c>
    </row>
    <row r="148" spans="1:4" ht="30" x14ac:dyDescent="0.25">
      <c r="A148" s="2">
        <f t="shared" si="2"/>
        <v>145</v>
      </c>
      <c r="B148" s="6" t="s">
        <v>448</v>
      </c>
      <c r="C148" s="6" t="s">
        <v>888</v>
      </c>
      <c r="D148" s="1" t="s">
        <v>1077</v>
      </c>
    </row>
    <row r="149" spans="1:4" ht="30" x14ac:dyDescent="0.25">
      <c r="A149" s="2">
        <f t="shared" si="2"/>
        <v>146</v>
      </c>
      <c r="B149" s="6" t="s">
        <v>429</v>
      </c>
      <c r="C149" s="6" t="s">
        <v>873</v>
      </c>
      <c r="D149" s="1" t="s">
        <v>1062</v>
      </c>
    </row>
    <row r="150" spans="1:4" ht="30" x14ac:dyDescent="0.25">
      <c r="A150" s="2">
        <f t="shared" si="2"/>
        <v>147</v>
      </c>
      <c r="B150" s="6" t="s">
        <v>403</v>
      </c>
      <c r="C150" s="6" t="s">
        <v>899</v>
      </c>
      <c r="D150" s="1" t="s">
        <v>1094</v>
      </c>
    </row>
    <row r="151" spans="1:4" ht="30" x14ac:dyDescent="0.25">
      <c r="A151" s="2">
        <f t="shared" si="2"/>
        <v>148</v>
      </c>
      <c r="B151" s="6" t="s">
        <v>537</v>
      </c>
      <c r="C151" s="6" t="s">
        <v>958</v>
      </c>
      <c r="D151" s="1" t="s">
        <v>1172</v>
      </c>
    </row>
    <row r="152" spans="1:4" ht="30" x14ac:dyDescent="0.25">
      <c r="A152" s="2">
        <f t="shared" si="2"/>
        <v>149</v>
      </c>
      <c r="B152" s="6" t="s">
        <v>367</v>
      </c>
      <c r="C152" s="6" t="s">
        <v>845</v>
      </c>
      <c r="D152" s="1" t="s">
        <v>1031</v>
      </c>
    </row>
    <row r="153" spans="1:4" ht="30" x14ac:dyDescent="0.25">
      <c r="A153" s="2">
        <f t="shared" si="2"/>
        <v>150</v>
      </c>
      <c r="B153" s="6" t="s">
        <v>501</v>
      </c>
      <c r="C153" s="6" t="s">
        <v>965</v>
      </c>
      <c r="D153" s="1" t="s">
        <v>1099</v>
      </c>
    </row>
    <row r="154" spans="1:4" ht="30" x14ac:dyDescent="0.25">
      <c r="A154" s="2">
        <f t="shared" si="2"/>
        <v>151</v>
      </c>
      <c r="B154" s="6" t="s">
        <v>511</v>
      </c>
      <c r="C154" s="6" t="s">
        <v>923</v>
      </c>
      <c r="D154" s="1" t="s">
        <v>1120</v>
      </c>
    </row>
    <row r="155" spans="1:4" ht="30" x14ac:dyDescent="0.25">
      <c r="A155" s="2">
        <f t="shared" si="2"/>
        <v>152</v>
      </c>
      <c r="B155" s="6" t="s">
        <v>516</v>
      </c>
      <c r="C155" s="6" t="s">
        <v>922</v>
      </c>
      <c r="D155" s="1" t="s">
        <v>1119</v>
      </c>
    </row>
    <row r="156" spans="1:4" ht="45" x14ac:dyDescent="0.25">
      <c r="A156" s="2">
        <f t="shared" si="2"/>
        <v>153</v>
      </c>
      <c r="B156" s="6" t="s">
        <v>473</v>
      </c>
      <c r="C156" s="6" t="s">
        <v>821</v>
      </c>
      <c r="D156" s="1" t="s">
        <v>1005</v>
      </c>
    </row>
    <row r="157" spans="1:4" ht="30" x14ac:dyDescent="0.25">
      <c r="A157" s="2">
        <f t="shared" si="2"/>
        <v>154</v>
      </c>
      <c r="B157" s="6" t="s">
        <v>559</v>
      </c>
      <c r="C157" s="6" t="s">
        <v>973</v>
      </c>
      <c r="D157" s="1" t="s">
        <v>1153</v>
      </c>
    </row>
    <row r="158" spans="1:4" ht="45" x14ac:dyDescent="0.25">
      <c r="A158" s="2">
        <f t="shared" si="2"/>
        <v>155</v>
      </c>
      <c r="B158" s="6" t="s">
        <v>551</v>
      </c>
      <c r="C158" s="6" t="s">
        <v>971</v>
      </c>
      <c r="D158" s="1" t="s">
        <v>1171</v>
      </c>
    </row>
    <row r="159" spans="1:4" ht="30" x14ac:dyDescent="0.25">
      <c r="A159" s="2">
        <f t="shared" si="2"/>
        <v>156</v>
      </c>
      <c r="B159" s="6" t="s">
        <v>552</v>
      </c>
      <c r="C159" s="6" t="s">
        <v>933</v>
      </c>
      <c r="D159" s="1" t="s">
        <v>1163</v>
      </c>
    </row>
    <row r="160" spans="1:4" ht="30" x14ac:dyDescent="0.25">
      <c r="A160" s="2">
        <f t="shared" si="2"/>
        <v>157</v>
      </c>
      <c r="B160" s="6" t="s">
        <v>446</v>
      </c>
      <c r="C160" s="6" t="s">
        <v>949</v>
      </c>
      <c r="D160" s="1" t="s">
        <v>1147</v>
      </c>
    </row>
    <row r="161" spans="1:4" ht="30" x14ac:dyDescent="0.25">
      <c r="A161" s="2">
        <f t="shared" si="2"/>
        <v>158</v>
      </c>
      <c r="B161" s="6" t="s">
        <v>466</v>
      </c>
      <c r="C161" s="6" t="s">
        <v>838</v>
      </c>
      <c r="D161" s="1" t="s">
        <v>1024</v>
      </c>
    </row>
    <row r="162" spans="1:4" ht="30" x14ac:dyDescent="0.25">
      <c r="A162" s="2">
        <f t="shared" si="2"/>
        <v>159</v>
      </c>
      <c r="B162" s="6" t="s">
        <v>530</v>
      </c>
      <c r="C162" s="6" t="s">
        <v>942</v>
      </c>
      <c r="D162" s="1" t="s">
        <v>1139</v>
      </c>
    </row>
    <row r="163" spans="1:4" ht="30" x14ac:dyDescent="0.25">
      <c r="A163" s="2">
        <f t="shared" si="2"/>
        <v>160</v>
      </c>
      <c r="B163" s="6" t="s">
        <v>381</v>
      </c>
      <c r="C163" s="6" t="s">
        <v>968</v>
      </c>
      <c r="D163" s="1" t="s">
        <v>1138</v>
      </c>
    </row>
    <row r="164" spans="1:4" ht="30" x14ac:dyDescent="0.25">
      <c r="A164" s="2">
        <f t="shared" si="2"/>
        <v>161</v>
      </c>
      <c r="B164" s="6" t="s">
        <v>375</v>
      </c>
      <c r="C164" s="6" t="s">
        <v>955</v>
      </c>
      <c r="D164" s="1" t="s">
        <v>1128</v>
      </c>
    </row>
    <row r="165" spans="1:4" ht="30" x14ac:dyDescent="0.25">
      <c r="A165" s="2">
        <f t="shared" si="2"/>
        <v>162</v>
      </c>
      <c r="B165" s="6" t="s">
        <v>524</v>
      </c>
      <c r="C165" s="6" t="s">
        <v>833</v>
      </c>
      <c r="D165" s="1" t="s">
        <v>1017</v>
      </c>
    </row>
    <row r="166" spans="1:4" ht="45" x14ac:dyDescent="0.25">
      <c r="A166" s="2">
        <f t="shared" si="2"/>
        <v>163</v>
      </c>
      <c r="B166" s="6" t="s">
        <v>534</v>
      </c>
      <c r="C166" s="6" t="s">
        <v>818</v>
      </c>
      <c r="D166" s="1" t="s">
        <v>1002</v>
      </c>
    </row>
    <row r="167" spans="1:4" ht="30" x14ac:dyDescent="0.25">
      <c r="A167" s="2">
        <f t="shared" si="2"/>
        <v>164</v>
      </c>
      <c r="B167" s="6" t="s">
        <v>461</v>
      </c>
      <c r="C167" s="6" t="s">
        <v>818</v>
      </c>
      <c r="D167" s="1" t="s">
        <v>1154</v>
      </c>
    </row>
    <row r="168" spans="1:4" ht="45" x14ac:dyDescent="0.25">
      <c r="A168" s="2">
        <f t="shared" si="2"/>
        <v>165</v>
      </c>
      <c r="B168" s="6" t="s">
        <v>376</v>
      </c>
      <c r="C168" s="6" t="s">
        <v>792</v>
      </c>
      <c r="D168" s="1" t="s">
        <v>976</v>
      </c>
    </row>
    <row r="169" spans="1:4" ht="30" x14ac:dyDescent="0.25">
      <c r="A169" s="2">
        <f t="shared" si="2"/>
        <v>166</v>
      </c>
      <c r="B169" s="6" t="s">
        <v>521</v>
      </c>
      <c r="C169" s="6" t="s">
        <v>895</v>
      </c>
      <c r="D169" s="1" t="s">
        <v>1133</v>
      </c>
    </row>
    <row r="170" spans="1:4" ht="30" x14ac:dyDescent="0.25">
      <c r="A170" s="2">
        <f t="shared" si="2"/>
        <v>167</v>
      </c>
      <c r="B170" s="6" t="s">
        <v>418</v>
      </c>
      <c r="C170" s="6" t="s">
        <v>939</v>
      </c>
      <c r="D170" s="1" t="s">
        <v>1134</v>
      </c>
    </row>
    <row r="171" spans="1:4" ht="30" x14ac:dyDescent="0.25">
      <c r="A171" s="2">
        <f t="shared" si="2"/>
        <v>168</v>
      </c>
      <c r="B171" s="6" t="s">
        <v>365</v>
      </c>
      <c r="C171" s="6" t="s">
        <v>795</v>
      </c>
      <c r="D171" s="1" t="s">
        <v>1022</v>
      </c>
    </row>
    <row r="172" spans="1:4" ht="30" x14ac:dyDescent="0.25">
      <c r="A172" s="2">
        <f t="shared" si="2"/>
        <v>169</v>
      </c>
      <c r="B172" s="6" t="s">
        <v>562</v>
      </c>
      <c r="C172" s="6" t="s">
        <v>816</v>
      </c>
      <c r="D172" s="1" t="s">
        <v>1000</v>
      </c>
    </row>
    <row r="173" spans="1:4" ht="45" x14ac:dyDescent="0.25">
      <c r="A173" s="2">
        <f t="shared" si="2"/>
        <v>170</v>
      </c>
      <c r="B173" s="6" t="s">
        <v>485</v>
      </c>
      <c r="C173" s="6" t="s">
        <v>890</v>
      </c>
      <c r="D173" s="1" t="s">
        <v>1081</v>
      </c>
    </row>
    <row r="174" spans="1:4" ht="30" x14ac:dyDescent="0.25">
      <c r="A174" s="2">
        <f t="shared" si="2"/>
        <v>171</v>
      </c>
      <c r="B174" s="6" t="s">
        <v>550</v>
      </c>
      <c r="C174" s="6" t="s">
        <v>964</v>
      </c>
      <c r="D174" s="1" t="s">
        <v>1080</v>
      </c>
    </row>
    <row r="175" spans="1:4" ht="30" x14ac:dyDescent="0.25">
      <c r="A175" s="2">
        <f t="shared" si="2"/>
        <v>172</v>
      </c>
      <c r="B175" s="6" t="s">
        <v>449</v>
      </c>
      <c r="C175" s="6" t="s">
        <v>929</v>
      </c>
      <c r="D175" s="1" t="s">
        <v>1161</v>
      </c>
    </row>
    <row r="176" spans="1:4" ht="45" x14ac:dyDescent="0.25">
      <c r="A176" s="2">
        <f t="shared" si="2"/>
        <v>173</v>
      </c>
      <c r="B176" s="6" t="s">
        <v>549</v>
      </c>
      <c r="C176" s="6" t="s">
        <v>813</v>
      </c>
      <c r="D176" s="1" t="s">
        <v>997</v>
      </c>
    </row>
    <row r="177" spans="1:4" ht="30" x14ac:dyDescent="0.25">
      <c r="A177" s="2">
        <f t="shared" si="2"/>
        <v>174</v>
      </c>
      <c r="B177" s="6" t="s">
        <v>512</v>
      </c>
      <c r="C177" s="6" t="s">
        <v>869</v>
      </c>
      <c r="D177" s="1" t="s">
        <v>1058</v>
      </c>
    </row>
    <row r="178" spans="1:4" ht="30" x14ac:dyDescent="0.25">
      <c r="A178" s="2">
        <f t="shared" si="2"/>
        <v>175</v>
      </c>
      <c r="B178" s="6" t="s">
        <v>401</v>
      </c>
      <c r="C178" s="6" t="s">
        <v>934</v>
      </c>
      <c r="D178" s="1" t="s">
        <v>1164</v>
      </c>
    </row>
    <row r="179" spans="1:4" ht="30" x14ac:dyDescent="0.25">
      <c r="A179" s="2">
        <f t="shared" si="2"/>
        <v>176</v>
      </c>
      <c r="B179" s="6" t="s">
        <v>378</v>
      </c>
      <c r="C179" s="6" t="s">
        <v>956</v>
      </c>
      <c r="D179" s="1" t="s">
        <v>1151</v>
      </c>
    </row>
    <row r="180" spans="1:4" ht="30" x14ac:dyDescent="0.25">
      <c r="A180" s="2">
        <f t="shared" si="2"/>
        <v>177</v>
      </c>
      <c r="B180" s="6" t="s">
        <v>479</v>
      </c>
      <c r="C180" s="6" t="s">
        <v>930</v>
      </c>
      <c r="D180" s="1" t="s">
        <v>1162</v>
      </c>
    </row>
    <row r="181" spans="1:4" ht="30" x14ac:dyDescent="0.25">
      <c r="A181" s="2">
        <f t="shared" si="2"/>
        <v>178</v>
      </c>
      <c r="B181" s="6" t="s">
        <v>458</v>
      </c>
      <c r="C181" s="6" t="s">
        <v>807</v>
      </c>
      <c r="D181" s="1" t="s">
        <v>991</v>
      </c>
    </row>
    <row r="182" spans="1:4" ht="30" x14ac:dyDescent="0.25">
      <c r="A182" s="2">
        <f t="shared" si="2"/>
        <v>179</v>
      </c>
      <c r="B182" s="6" t="s">
        <v>472</v>
      </c>
      <c r="C182" s="6" t="s">
        <v>860</v>
      </c>
      <c r="D182" s="1" t="s">
        <v>1050</v>
      </c>
    </row>
    <row r="183" spans="1:4" ht="30" x14ac:dyDescent="0.25">
      <c r="A183" s="2">
        <f t="shared" si="2"/>
        <v>180</v>
      </c>
      <c r="B183" s="6" t="s">
        <v>561</v>
      </c>
      <c r="C183" s="6" t="s">
        <v>808</v>
      </c>
      <c r="D183" s="1" t="s">
        <v>992</v>
      </c>
    </row>
    <row r="184" spans="1:4" ht="45" x14ac:dyDescent="0.25">
      <c r="A184" s="2">
        <f t="shared" si="2"/>
        <v>181</v>
      </c>
      <c r="B184" s="6" t="s">
        <v>525</v>
      </c>
      <c r="C184" s="6" t="s">
        <v>832</v>
      </c>
      <c r="D184" s="1" t="s">
        <v>1016</v>
      </c>
    </row>
    <row r="185" spans="1:4" ht="30" x14ac:dyDescent="0.25">
      <c r="A185" s="2">
        <f t="shared" si="2"/>
        <v>182</v>
      </c>
      <c r="B185" s="6" t="s">
        <v>481</v>
      </c>
      <c r="C185" s="6" t="s">
        <v>794</v>
      </c>
      <c r="D185" s="1" t="s">
        <v>1023</v>
      </c>
    </row>
    <row r="186" spans="1:4" ht="45" x14ac:dyDescent="0.25">
      <c r="A186" s="2">
        <f t="shared" si="2"/>
        <v>183</v>
      </c>
      <c r="B186" s="6" t="s">
        <v>383</v>
      </c>
      <c r="C186" s="6" t="s">
        <v>794</v>
      </c>
      <c r="D186" s="1" t="s">
        <v>978</v>
      </c>
    </row>
    <row r="187" spans="1:4" ht="30" x14ac:dyDescent="0.25">
      <c r="A187" s="2">
        <f t="shared" si="2"/>
        <v>184</v>
      </c>
      <c r="B187" s="6" t="s">
        <v>506</v>
      </c>
      <c r="C187" s="6" t="s">
        <v>858</v>
      </c>
      <c r="D187" s="1" t="s">
        <v>1048</v>
      </c>
    </row>
    <row r="188" spans="1:4" ht="45" x14ac:dyDescent="0.25">
      <c r="A188" s="2">
        <f t="shared" si="2"/>
        <v>185</v>
      </c>
      <c r="B188" s="6" t="s">
        <v>487</v>
      </c>
      <c r="C188" s="6" t="s">
        <v>970</v>
      </c>
      <c r="D188" s="1" t="s">
        <v>1145</v>
      </c>
    </row>
    <row r="189" spans="1:4" ht="30" x14ac:dyDescent="0.25">
      <c r="A189" s="2">
        <f t="shared" si="2"/>
        <v>186</v>
      </c>
      <c r="B189" s="6" t="s">
        <v>437</v>
      </c>
      <c r="C189" s="6" t="s">
        <v>875</v>
      </c>
      <c r="D189" s="1" t="s">
        <v>1064</v>
      </c>
    </row>
    <row r="190" spans="1:4" ht="30" x14ac:dyDescent="0.25">
      <c r="A190" s="2">
        <f t="shared" si="2"/>
        <v>187</v>
      </c>
      <c r="B190" s="6" t="s">
        <v>546</v>
      </c>
      <c r="C190" s="6" t="s">
        <v>857</v>
      </c>
      <c r="D190" s="1" t="s">
        <v>1047</v>
      </c>
    </row>
    <row r="191" spans="1:4" ht="30" x14ac:dyDescent="0.25">
      <c r="A191" s="2">
        <f t="shared" si="2"/>
        <v>188</v>
      </c>
      <c r="B191" s="6" t="s">
        <v>411</v>
      </c>
      <c r="C191" s="6" t="s">
        <v>918</v>
      </c>
      <c r="D191" s="1" t="s">
        <v>1114</v>
      </c>
    </row>
    <row r="192" spans="1:4" ht="45" x14ac:dyDescent="0.25">
      <c r="A192" s="2">
        <f t="shared" si="2"/>
        <v>189</v>
      </c>
      <c r="B192" s="6" t="s">
        <v>447</v>
      </c>
      <c r="C192" s="6" t="s">
        <v>944</v>
      </c>
      <c r="D192" s="1" t="s">
        <v>1141</v>
      </c>
    </row>
    <row r="193" spans="1:4" ht="45" x14ac:dyDescent="0.25">
      <c r="A193" s="2">
        <f t="shared" si="2"/>
        <v>190</v>
      </c>
      <c r="B193" s="6" t="s">
        <v>457</v>
      </c>
      <c r="C193" s="6" t="s">
        <v>810</v>
      </c>
      <c r="D193" s="1" t="s">
        <v>994</v>
      </c>
    </row>
    <row r="194" spans="1:4" ht="45" x14ac:dyDescent="0.25">
      <c r="A194" s="2">
        <f t="shared" si="2"/>
        <v>191</v>
      </c>
      <c r="B194" s="6" t="s">
        <v>518</v>
      </c>
      <c r="C194" s="6" t="s">
        <v>829</v>
      </c>
      <c r="D194" s="1" t="s">
        <v>1013</v>
      </c>
    </row>
    <row r="195" spans="1:4" ht="30" x14ac:dyDescent="0.25">
      <c r="A195" s="2">
        <f t="shared" si="2"/>
        <v>192</v>
      </c>
      <c r="B195" s="6" t="s">
        <v>317</v>
      </c>
      <c r="C195" s="6" t="s">
        <v>910</v>
      </c>
      <c r="D195" s="1" t="s">
        <v>1106</v>
      </c>
    </row>
    <row r="196" spans="1:4" ht="30" x14ac:dyDescent="0.25">
      <c r="A196" s="2">
        <f t="shared" si="2"/>
        <v>193</v>
      </c>
      <c r="B196" s="6" t="s">
        <v>529</v>
      </c>
      <c r="C196" s="6" t="s">
        <v>803</v>
      </c>
      <c r="D196" s="1" t="s">
        <v>1037</v>
      </c>
    </row>
    <row r="197" spans="1:4" ht="30" x14ac:dyDescent="0.25">
      <c r="A197" s="2">
        <f t="shared" si="2"/>
        <v>194</v>
      </c>
      <c r="B197" s="6" t="s">
        <v>426</v>
      </c>
      <c r="C197" s="6" t="s">
        <v>881</v>
      </c>
      <c r="D197" s="1" t="s">
        <v>1070</v>
      </c>
    </row>
    <row r="198" spans="1:4" ht="45" x14ac:dyDescent="0.25">
      <c r="A198" s="2">
        <f t="shared" ref="A198:A209" si="3">A197+1</f>
        <v>195</v>
      </c>
      <c r="B198" s="6" t="s">
        <v>494</v>
      </c>
      <c r="C198" s="6" t="s">
        <v>811</v>
      </c>
      <c r="D198" s="1" t="s">
        <v>995</v>
      </c>
    </row>
    <row r="199" spans="1:4" ht="45" x14ac:dyDescent="0.25">
      <c r="A199" s="2">
        <f t="shared" si="3"/>
        <v>196</v>
      </c>
      <c r="B199" s="6" t="s">
        <v>374</v>
      </c>
      <c r="C199" s="6" t="s">
        <v>948</v>
      </c>
      <c r="D199" s="1" t="s">
        <v>1146</v>
      </c>
    </row>
    <row r="200" spans="1:4" ht="45" x14ac:dyDescent="0.25">
      <c r="A200" s="2">
        <f t="shared" si="3"/>
        <v>197</v>
      </c>
      <c r="B200" s="6" t="s">
        <v>513</v>
      </c>
      <c r="C200" s="6" t="s">
        <v>959</v>
      </c>
      <c r="D200" s="1" t="s">
        <v>1174</v>
      </c>
    </row>
    <row r="201" spans="1:4" ht="30" x14ac:dyDescent="0.25">
      <c r="A201" s="2">
        <f t="shared" si="3"/>
        <v>198</v>
      </c>
      <c r="B201" s="6" t="s">
        <v>380</v>
      </c>
      <c r="C201" s="6" t="s">
        <v>864</v>
      </c>
      <c r="D201" s="1" t="s">
        <v>1053</v>
      </c>
    </row>
    <row r="202" spans="1:4" ht="30" x14ac:dyDescent="0.25">
      <c r="A202" s="2">
        <f t="shared" si="3"/>
        <v>199</v>
      </c>
      <c r="B202" s="6" t="s">
        <v>390</v>
      </c>
      <c r="C202" s="6" t="s">
        <v>862</v>
      </c>
      <c r="D202" s="1" t="s">
        <v>1052</v>
      </c>
    </row>
    <row r="203" spans="1:4" ht="30" x14ac:dyDescent="0.25">
      <c r="A203" s="2">
        <f t="shared" si="3"/>
        <v>200</v>
      </c>
      <c r="B203" s="6" t="s">
        <v>413</v>
      </c>
      <c r="C203" s="6" t="s">
        <v>840</v>
      </c>
      <c r="D203" s="1" t="s">
        <v>1026</v>
      </c>
    </row>
    <row r="204" spans="1:4" ht="30" x14ac:dyDescent="0.25">
      <c r="A204" s="2">
        <f t="shared" si="3"/>
        <v>201</v>
      </c>
      <c r="B204" s="6" t="s">
        <v>409</v>
      </c>
      <c r="C204" s="6" t="s">
        <v>805</v>
      </c>
      <c r="D204" s="1" t="s">
        <v>989</v>
      </c>
    </row>
    <row r="205" spans="1:4" ht="30" x14ac:dyDescent="0.25">
      <c r="A205" s="2">
        <f t="shared" si="3"/>
        <v>202</v>
      </c>
      <c r="B205" s="6" t="s">
        <v>478</v>
      </c>
      <c r="C205" s="6" t="s">
        <v>854</v>
      </c>
      <c r="D205" s="1" t="s">
        <v>1043</v>
      </c>
    </row>
    <row r="206" spans="1:4" ht="30" x14ac:dyDescent="0.25">
      <c r="A206" s="2">
        <f t="shared" si="3"/>
        <v>203</v>
      </c>
      <c r="B206" s="6" t="s">
        <v>453</v>
      </c>
      <c r="C206" s="6" t="s">
        <v>852</v>
      </c>
      <c r="D206" s="1" t="s">
        <v>1041</v>
      </c>
    </row>
    <row r="207" spans="1:4" ht="45" x14ac:dyDescent="0.25">
      <c r="A207" s="2">
        <f t="shared" si="3"/>
        <v>204</v>
      </c>
      <c r="B207" s="6" t="s">
        <v>523</v>
      </c>
      <c r="C207" s="6" t="s">
        <v>822</v>
      </c>
      <c r="D207" s="1" t="s">
        <v>1006</v>
      </c>
    </row>
    <row r="208" spans="1:4" ht="30" x14ac:dyDescent="0.25">
      <c r="A208" s="2">
        <f t="shared" si="3"/>
        <v>205</v>
      </c>
      <c r="B208" s="6" t="s">
        <v>402</v>
      </c>
      <c r="C208" s="6" t="s">
        <v>920</v>
      </c>
      <c r="D208" s="1" t="s">
        <v>1117</v>
      </c>
    </row>
    <row r="209" spans="1:4" ht="45" x14ac:dyDescent="0.25">
      <c r="A209" s="2">
        <f t="shared" si="3"/>
        <v>206</v>
      </c>
      <c r="B209" s="6" t="s">
        <v>536</v>
      </c>
      <c r="C209" s="6" t="s">
        <v>952</v>
      </c>
      <c r="D209" s="1" t="s">
        <v>1166</v>
      </c>
    </row>
  </sheetData>
  <mergeCells count="1">
    <mergeCell ref="A2:D2"/>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BFDC-B1AA-41C4-868F-3E378901E5D6}">
  <sheetPr codeName="Sheet8"/>
  <dimension ref="A1:G69"/>
  <sheetViews>
    <sheetView zoomScaleNormal="100" workbookViewId="0">
      <selection activeCell="A3" sqref="A3"/>
    </sheetView>
  </sheetViews>
  <sheetFormatPr defaultRowHeight="15" x14ac:dyDescent="0.25"/>
  <cols>
    <col min="1" max="1" width="11" style="11" customWidth="1"/>
    <col min="2" max="2" width="46.28515625" bestFit="1" customWidth="1"/>
    <col min="3" max="3" width="46.28515625" customWidth="1"/>
    <col min="4" max="4" width="24.5703125" customWidth="1"/>
    <col min="5" max="5" width="25" bestFit="1" customWidth="1"/>
    <col min="6" max="6" width="88.5703125" bestFit="1" customWidth="1"/>
    <col min="7" max="7" width="30.85546875" customWidth="1"/>
  </cols>
  <sheetData>
    <row r="1" spans="1:7" ht="48" customHeight="1" x14ac:dyDescent="0.25"/>
    <row r="2" spans="1:7" x14ac:dyDescent="0.25">
      <c r="A2" s="35" t="s">
        <v>1326</v>
      </c>
      <c r="B2" s="36"/>
      <c r="C2" s="36"/>
      <c r="D2" s="36"/>
      <c r="E2" s="36"/>
      <c r="F2" s="36"/>
      <c r="G2" s="36"/>
    </row>
    <row r="3" spans="1:7" x14ac:dyDescent="0.25">
      <c r="A3" s="11" t="s">
        <v>1179</v>
      </c>
      <c r="B3" s="4" t="s">
        <v>729</v>
      </c>
      <c r="C3" t="s">
        <v>1180</v>
      </c>
      <c r="D3" s="4" t="s">
        <v>1182</v>
      </c>
      <c r="E3" t="s">
        <v>1245</v>
      </c>
      <c r="F3" t="s">
        <v>790</v>
      </c>
      <c r="G3" t="s">
        <v>1181</v>
      </c>
    </row>
    <row r="4" spans="1:7" s="6" customFormat="1" ht="180" x14ac:dyDescent="0.25">
      <c r="A4" s="2">
        <v>1</v>
      </c>
      <c r="B4" s="1" t="str">
        <f>'Thematic Analysis'!$E7</f>
        <v>Accuracy of Reporting
Duplication</v>
      </c>
      <c r="C4" s="1" t="str">
        <f>'Thematic Analysis'!$G7</f>
        <v>Data Security, Quality and Privacy
Resource Management and Utilization</v>
      </c>
      <c r="D4" s="1" t="str">
        <f>'Thematic Analysis'!$F7</f>
        <v>Precise reports
Streamlined processes</v>
      </c>
      <c r="E4" s="1" t="s">
        <v>1327</v>
      </c>
      <c r="F4" s="1" t="s">
        <v>1328</v>
      </c>
      <c r="G4" s="1" t="str">
        <f>'Thematic Analysis'!$D7</f>
        <v>NSW Health is changing how it does things to meet challenges. They're putting in a big program to fix clinical, corporate, and tech stuff. Getting the right IT tools is key to making sure these changes last. Before, they had a mess of different systems which made things harder and more expensive. Plus, some of their systems are ancient and hard to support</v>
      </c>
    </row>
    <row r="5" spans="1:7" s="6" customFormat="1" ht="120" x14ac:dyDescent="0.25">
      <c r="A5" s="2">
        <f>A4+1</f>
        <v>2</v>
      </c>
      <c r="B5" s="1" t="str">
        <f>'Thematic Analysis'!$E8</f>
        <v>Disparate systems</v>
      </c>
      <c r="C5" s="1" t="str">
        <f>'Thematic Analysis'!$G8</f>
        <v>Operational Effectiveness and Efficiency</v>
      </c>
      <c r="D5" s="1" t="str">
        <f>'Thematic Analysis'!$F8</f>
        <v>Unified platform</v>
      </c>
      <c r="E5" s="1" t="s">
        <v>910</v>
      </c>
      <c r="F5" s="1" t="s">
        <v>1106</v>
      </c>
      <c r="G5" s="1" t="str">
        <f>'Thematic Analysis'!$D8</f>
        <v>Because of all this, it's hard to share patient info and coordinate care properly. Managers struggle to get accurate info on how well the systems are doing. And keeping them running costs a lot of money.</v>
      </c>
    </row>
    <row r="6" spans="1:7" s="6" customFormat="1" ht="150" x14ac:dyDescent="0.25">
      <c r="A6" s="2">
        <f t="shared" ref="A6:A69" si="0">A5+1</f>
        <v>3</v>
      </c>
      <c r="B6" s="1" t="str">
        <f>'Thematic Analysis'!$E9</f>
        <v>Outdated infrastructure</v>
      </c>
      <c r="C6" s="1" t="str">
        <f>'Thematic Analysis'!$G9</f>
        <v>Infrastructure and Hardware Management</v>
      </c>
      <c r="D6" s="1" t="str">
        <f>'Thematic Analysis'!$F9</f>
        <v>Modernization</v>
      </c>
      <c r="E6" s="1" t="s">
        <v>907</v>
      </c>
      <c r="F6" s="1" t="s">
        <v>1103</v>
      </c>
      <c r="G6" s="1" t="str">
        <f>'Thematic Analysis'!$D9</f>
        <v>This setup could harm the long-term success of the Clinical Services Redesign and Corporate Shared Services. So, they're reshaping the ICT program to fit these reforms better. They're aiming to connect scattered information and tech and quickly support both clinical and corporate changes.</v>
      </c>
    </row>
    <row r="7" spans="1:7" s="6" customFormat="1" ht="165" x14ac:dyDescent="0.25">
      <c r="A7" s="2">
        <f t="shared" si="0"/>
        <v>4</v>
      </c>
      <c r="B7" s="1" t="str">
        <f>'Thematic Analysis'!$E10</f>
        <v>Fragmentation
Outdated systems
Compatibility</v>
      </c>
      <c r="C7" s="1" t="str">
        <f>'Thematic Analysis'!$G10</f>
        <v>Compliance and Governance
System and Technology Improvement
Standardization and Streamlining Processes</v>
      </c>
      <c r="D7" s="1" t="str">
        <f>'Thematic Analysis'!$F10</f>
        <v>Centralized management
Upgrades
Standard protocols</v>
      </c>
      <c r="E7" s="1" t="s">
        <v>1183</v>
      </c>
      <c r="F7" s="1" t="s">
        <v>1246</v>
      </c>
      <c r="G7" s="1" t="str">
        <f>'Thematic Analysis'!$D10</f>
        <v>Back in 2000, the Integrated Clinical Information Program (ICIP) started based on advice from the NSW Health Council. Its goal is to fix the problems with a clear plan. The idea is to give essential clinical features to all of NSW. They've already made big strides in setting up patient administration, clinical, and corporate systems</v>
      </c>
    </row>
    <row r="8" spans="1:7" s="6" customFormat="1" ht="120" x14ac:dyDescent="0.25">
      <c r="A8" s="2">
        <f t="shared" si="0"/>
        <v>5</v>
      </c>
      <c r="B8" s="1" t="str">
        <f>'Thematic Analysis'!$E11</f>
        <v>Alignment
Effectiveness
Integration
Sustainability
Compliance</v>
      </c>
      <c r="C8" s="1" t="str">
        <f>'Thematic Analysis'!$G11</f>
        <v>Business Alignment
Consumer Experience and Support
System Deployment and Integration
Policy and Organizational Reform
Compliance and Governance</v>
      </c>
      <c r="D8" s="1" t="str">
        <f>'Thematic Analysis'!$F11</f>
        <v>Strategic fit
Performance review
System unification
Green practices
Regulatory adherence</v>
      </c>
      <c r="E8" s="1" t="s">
        <v>1184</v>
      </c>
      <c r="F8" s="1" t="s">
        <v>1247</v>
      </c>
      <c r="G8" s="1" t="str">
        <f>'Thematic Analysis'!$D11</f>
        <v>Clinical Systems Strategy
Corporate Systems Strategy
Business Information Strategy
Sustainable Infrastructure Strategy
Whole of Government ICT Strategic Directions</v>
      </c>
    </row>
    <row r="9" spans="1:7" s="6" customFormat="1" ht="90" x14ac:dyDescent="0.25">
      <c r="A9" s="2">
        <f t="shared" si="0"/>
        <v>6</v>
      </c>
      <c r="B9" s="1" t="str">
        <f>'Thematic Analysis'!$E12</f>
        <v>Access to information
Consistency
Predictability</v>
      </c>
      <c r="C9" s="1" t="str">
        <f>'Thematic Analysis'!$G12</f>
        <v>Data and Information Management
Standardization and Streamlining Processes
Strategic Planning and Development</v>
      </c>
      <c r="D9" s="1" t="str">
        <f>'Thematic Analysis'!$F12</f>
        <v>User portals
Standard procedures
Forecasting models</v>
      </c>
      <c r="E9" s="1" t="s">
        <v>1185</v>
      </c>
      <c r="F9" s="1" t="s">
        <v>1248</v>
      </c>
      <c r="G9" s="1" t="str">
        <f>'Thematic Analysis'!$D12</f>
        <v>They're making care safer and better by giving clinicians the info they need and setting up systems for consistent, predictable processes across the state.</v>
      </c>
    </row>
    <row r="10" spans="1:7" s="6" customFormat="1" ht="135" x14ac:dyDescent="0.25">
      <c r="A10" s="2">
        <f t="shared" si="0"/>
        <v>7</v>
      </c>
      <c r="B10" s="1" t="str">
        <f>'Thematic Analysis'!$E13</f>
        <v>Collaboration
Interoperability
Information flow</v>
      </c>
      <c r="C10" s="1" t="str">
        <f>'Thematic Analysis'!$G13</f>
        <v>Collaboration and Communication
System Deployment and Integration
Infrastructure and Hardware Management</v>
      </c>
      <c r="D10" s="1" t="str">
        <f>'Thematic Analysis'!$F13</f>
        <v>Teamwork tools
API integration
Data pipelines</v>
      </c>
      <c r="E10" s="1" t="s">
        <v>1186</v>
      </c>
      <c r="F10" s="1" t="s">
        <v>1249</v>
      </c>
      <c r="G10" s="1" t="str">
        <f>'Thematic Analysis'!$D13</f>
        <v>They're improving teamwork among health agencies in NSW, as well as with private companies and nationally, so everyone can work together better. This means info flows more smoothly, helping patients and making things more efficient.</v>
      </c>
    </row>
    <row r="11" spans="1:7" s="6" customFormat="1" ht="165" x14ac:dyDescent="0.25">
      <c r="A11" s="2">
        <f t="shared" si="0"/>
        <v>8</v>
      </c>
      <c r="B11" s="1" t="str">
        <f>'Thematic Analysis'!$E14</f>
        <v>Efficient structures
System deployment &amp; Integration
Sustainability
Minimizing impact
Streamlined training processes</v>
      </c>
      <c r="C11" s="1" t="str">
        <f>'Thematic Analysis'!$G14</f>
        <v>Program and Project Management
System Deployment and Integration
Policy and Organizational Reform
Operational Effectiveness and Efficiency
Employee Training and Development</v>
      </c>
      <c r="D11" s="1" t="str">
        <f>'Thematic Analysis'!$F14</f>
        <v>Lean management
Project management
Green practices
Mitigation strategies
E-learning</v>
      </c>
      <c r="E11" s="1" t="s">
        <v>1187</v>
      </c>
      <c r="F11" s="1" t="s">
        <v>1250</v>
      </c>
      <c r="G11" s="1" t="str">
        <f>'Thematic Analysis'!$D14</f>
        <v>They're expecting to save a lot of money by setting up new structures and ways of doing things. By rolling out key programs quickly, they'll spend less on managing projects, and they can piggyback on existing changes to save even more. This also means less disruption for clinicians and patients and less money spent on training.</v>
      </c>
    </row>
    <row r="12" spans="1:7" s="6" customFormat="1" ht="330" x14ac:dyDescent="0.25">
      <c r="A12" s="2">
        <f t="shared" si="0"/>
        <v>9</v>
      </c>
      <c r="B12" s="1" t="str">
        <f>'Thematic Analysis'!$E15</f>
        <v>Support for users
Alignment with initiatives
Cost savings</v>
      </c>
      <c r="C12" s="1" t="str">
        <f>'Thematic Analysis'!$G15</f>
        <v>Consumer Experience and Support
Business Alignment
Financial Management and Budgeting</v>
      </c>
      <c r="D12" s="1" t="str">
        <f>'Thematic Analysis'!$F15</f>
        <v>User training
Goal alignment
Expense reduction</v>
      </c>
      <c r="E12" s="1" t="s">
        <v>1188</v>
      </c>
      <c r="F12" s="1" t="s">
        <v>1251</v>
      </c>
      <c r="G12" s="1" t="str">
        <f>'Thematic Analysis'!$D15</f>
        <v>The ICT Strategy is built on three main ideas:
Better support for clinicians and patient care.
Aligning with big NSW Health plans.
Saving a lot of money.
These ideas guide five key objectives:
Using ICT to drive big changes in clinical care.
Cutting down on duplicated admin systems and costs.
Providing top-notch info to everyone in the organization.
Setting up a flexible ICT system that supports both clinical and corporate reforms.
Managing ICT in a smart, coordinated way to get the most out of the investment.</v>
      </c>
    </row>
    <row r="13" spans="1:7" s="6" customFormat="1" ht="210" x14ac:dyDescent="0.25">
      <c r="A13" s="2">
        <f t="shared" si="0"/>
        <v>10</v>
      </c>
      <c r="B13" s="1" t="str">
        <f>'Thematic Analysis'!$E16</f>
        <v>ICT Alignment
Governance
Investment plans
Business strategy</v>
      </c>
      <c r="C13" s="1" t="str">
        <f>'Thematic Analysis'!$G16</f>
        <v>Business Alignment
Consumer Experience and Support
Financial Management and Budgeting
Compliance and Governance</v>
      </c>
      <c r="D13" s="1" t="str">
        <f>'Thematic Analysis'!$F16</f>
        <v>IT strategy
Policy framework
Capital allocation
Market analysis</v>
      </c>
      <c r="E13" s="1" t="s">
        <v>1189</v>
      </c>
      <c r="F13" s="1" t="s">
        <v>1252</v>
      </c>
      <c r="G13" s="1" t="str">
        <f>'Thematic Analysis'!$D16</f>
        <v>ICT Asset Management Strategy
NSW Health's Enterprise Architecture, which covers:
Clinical Systems Architecture
Corporate Systems Architecture and Strategy
Business Information Strategy
Infrastructure Strategy
Integration Architecture Strategy
ICT Governance Framework
ICT Portfolio Management and Program of Work
ICT Investment Plan for 2006-2017.</v>
      </c>
    </row>
    <row r="14" spans="1:7" s="6" customFormat="1" ht="390" x14ac:dyDescent="0.25">
      <c r="A14" s="2">
        <f t="shared" si="0"/>
        <v>11</v>
      </c>
      <c r="B14" s="1" t="str">
        <f>'Thematic Analysis'!$E17</f>
        <v>ICT Alignment
Risk Identification
Dependency</v>
      </c>
      <c r="C14" s="1" t="str">
        <f>'Thematic Analysis'!$G17</f>
        <v>Business Alignment
Risk Identification and Management
System Deployment and Integration</v>
      </c>
      <c r="D14" s="1" t="str">
        <f>'Thematic Analysis'!$F17</f>
        <v>IT strategy
Risk assessment
Contingency planning</v>
      </c>
      <c r="E14" s="1" t="s">
        <v>1190</v>
      </c>
      <c r="F14" s="1" t="s">
        <v>1253</v>
      </c>
      <c r="G14" s="1" t="str">
        <f>'Thematic Analysis'!$D17</f>
        <v>From the RSP:
They've picked out results and services that rely on ICT assets.
They've identified risks related to ICT assets that could affect service delivery.
They've pinpointed services and measures that hinge on ICT assets working properly.
From the NSW Health Corporate Plan:
They've considered the overall vision for the community.
They've outlined how NSW Health will contribute to this vision.
They've focused on strategies to achieve goals, along with potential risks.
They've set up ways to measure performance and ensure targets are met.
They've looked at the costs involved in reaching the vision and meeting targets.</v>
      </c>
    </row>
    <row r="15" spans="1:7" s="6" customFormat="1" ht="255" x14ac:dyDescent="0.25">
      <c r="A15" s="2">
        <f t="shared" si="0"/>
        <v>12</v>
      </c>
      <c r="B15" s="1" t="str">
        <f>'Thematic Analysis'!$E18</f>
        <v>Evaluation criteria</v>
      </c>
      <c r="C15" s="1" t="str">
        <f>'Thematic Analysis'!$G18</f>
        <v>Consumer Experience and Support</v>
      </c>
      <c r="D15" s="1" t="str">
        <f>'Thematic Analysis'!$F18</f>
        <v>Performance metrics</v>
      </c>
      <c r="E15" s="6" t="s">
        <v>796</v>
      </c>
      <c r="F15" s="6" t="s">
        <v>980</v>
      </c>
      <c r="G15" s="1" t="str">
        <f>'Thematic Analysis'!$D18</f>
        <v xml:space="preserve">    Contribution to major service reform agendas and alignment with planned NSW Health priorities and plans.
    Support for the patient journey across different care settings and improvement of healthcare quality and safety for a large number of people.
    Ability to enhance efficiency and effectiveness in healthcare delivery and workforce utilization.
    Adherence to state ICT strategic planning requirements.
    Potential to generate a positive return on investment.</v>
      </c>
    </row>
    <row r="16" spans="1:7" s="6" customFormat="1" ht="75" x14ac:dyDescent="0.25">
      <c r="A16" s="2">
        <f t="shared" si="0"/>
        <v>13</v>
      </c>
      <c r="B16" s="1" t="str">
        <f>'Thematic Analysis'!$E19</f>
        <v>Inclusion
Replacement
Procurement</v>
      </c>
      <c r="C16" s="1" t="str">
        <f>'Thematic Analysis'!$G19</f>
        <v>Data and Information Management
Resource Management and Utilization
Policy and Organizational Reform</v>
      </c>
      <c r="D16" s="1" t="str">
        <f>'Thematic Analysis'!$F19</f>
        <v>Diversity programs
System swaps
Vendor management</v>
      </c>
      <c r="E16" s="1" t="s">
        <v>1191</v>
      </c>
      <c r="F16" s="1" t="s">
        <v>1254</v>
      </c>
      <c r="G16" s="1" t="str">
        <f>'Thematic Analysis'!$D19</f>
        <v>They should only add new projects to their investment plan. When it's time to replace old systems, they can handle it through contracts with vendors.</v>
      </c>
    </row>
    <row r="17" spans="1:7" s="6" customFormat="1" ht="165" x14ac:dyDescent="0.25">
      <c r="A17" s="2">
        <f t="shared" si="0"/>
        <v>14</v>
      </c>
      <c r="B17" s="1" t="str">
        <f>'Thematic Analysis'!$E20</f>
        <v>Implementation timeline
Systems implementation
Support for Consumers
Management information</v>
      </c>
      <c r="C17" s="1" t="str">
        <f>'Thematic Analysis'!$G20</f>
        <v>Future Planning and System Demand
System Deployment and Integration
Consumer Experience and Support
Data and Information Management</v>
      </c>
      <c r="D17" s="1" t="str">
        <f>'Thematic Analysis'!$F20</f>
        <v>Schedule adherence
Rollout plan
Customer service
BI systems</v>
      </c>
      <c r="E17" s="1" t="s">
        <v>1192</v>
      </c>
      <c r="F17" s="1" t="s">
        <v>1255</v>
      </c>
      <c r="G17" s="1" t="str">
        <f>'Thematic Analysis'!$D20</f>
        <v>By 2011, they plan to have core clinical and corporate systems set up across NSW. This will help patients move through the healthcare system smoothly and ensure efficient management. Implementing the ICT Strategy will bring benefits to patients, clinicians, departments, hospitals, areas, and the whole state.</v>
      </c>
    </row>
    <row r="18" spans="1:7" s="6" customFormat="1" ht="165" x14ac:dyDescent="0.25">
      <c r="A18" s="2">
        <f t="shared" si="0"/>
        <v>15</v>
      </c>
      <c r="B18" s="1" t="str">
        <f>'Thematic Analysis'!$E21</f>
        <v>Collaboration
Consumer support
Employee management</v>
      </c>
      <c r="C18" s="1" t="str">
        <f>'Thematic Analysis'!$G21</f>
        <v>Collaboration and Communication
Collaboration and Communication
Program and Project Management</v>
      </c>
      <c r="D18" s="1" t="str">
        <f>'Thematic Analysis'!$F21</f>
        <v>Teamwork tools
Helpdesk
HR systems</v>
      </c>
      <c r="E18" s="1" t="s">
        <v>1193</v>
      </c>
      <c r="F18" s="1" t="s">
        <v>1256</v>
      </c>
      <c r="G18" s="1" t="str">
        <f>'Thematic Analysis'!$D21</f>
        <v>For patients and clinicians, the goal is to have a complete picture of the patient's health history. This way, all healthcare providers can work together effectively, knowing each other's roles and contributions. Corporate systems also support this by giving a clear view of employees, making sure care is delivered smoothly</v>
      </c>
    </row>
    <row r="19" spans="1:7" s="6" customFormat="1" ht="165" x14ac:dyDescent="0.25">
      <c r="A19" s="2">
        <f t="shared" si="0"/>
        <v>16</v>
      </c>
      <c r="B19" s="1" t="str">
        <f>'Thematic Analysis'!$E22</f>
        <v>User optimization
Information accessibility
Time efficiency</v>
      </c>
      <c r="C19" s="1" t="str">
        <f>'Thematic Analysis'!$G22</f>
        <v>Consumer Experience and Support
Data and Information Management
Operational Effectiveness and Efficiency</v>
      </c>
      <c r="D19" s="1" t="str">
        <f>'Thematic Analysis'!$F22</f>
        <v>UX design
Open data
Time tracking</v>
      </c>
      <c r="E19" s="1" t="s">
        <v>1194</v>
      </c>
      <c r="F19" s="1" t="s">
        <v>1257</v>
      </c>
      <c r="G19" s="1" t="str">
        <f>'Thematic Analysis'!$D22</f>
        <v>The strategy benefits patients by ensuring clinicians have all the information they need for optimal care, easily accessible whenever and wherever it's needed. This saves clinicians time by reducing the need to search for information or repeat tests unnecessarily, giving them more time for direct patient care.</v>
      </c>
    </row>
    <row r="20" spans="1:7" s="6" customFormat="1" ht="105" x14ac:dyDescent="0.25">
      <c r="A20" s="2">
        <f t="shared" si="0"/>
        <v>17</v>
      </c>
      <c r="B20" s="1" t="str">
        <f>'Thematic Analysis'!$E23</f>
        <v>Resource management
Capacity optimization
Planning</v>
      </c>
      <c r="C20" s="1" t="str">
        <f>'Thematic Analysis'!$G23</f>
        <v>Resource Management and Utilization
Compliance and Governance
Strategic Planning and Development</v>
      </c>
      <c r="D20" s="1" t="str">
        <f>'Thematic Analysis'!$F23</f>
        <v>Asset allocation
Utilization metrics
Roadmap creation</v>
      </c>
      <c r="E20" s="1" t="s">
        <v>1195</v>
      </c>
      <c r="F20" s="1" t="s">
        <v>1258</v>
      </c>
      <c r="G20" s="1" t="str">
        <f>'Thematic Analysis'!$D23</f>
        <v>Nursing Unit Manager (NUM) can plan patient care better when they know all the demands and resources. This includes patients from the emergency room, post-surgery, and transfers, as well as available beds and staff skills.</v>
      </c>
    </row>
    <row r="21" spans="1:7" s="6" customFormat="1" ht="105" x14ac:dyDescent="0.25">
      <c r="A21" s="2">
        <f t="shared" si="0"/>
        <v>18</v>
      </c>
      <c r="B21" s="1" t="str">
        <f>'Thematic Analysis'!$E24</f>
        <v>Integrated analysis &amp; System outcome indicators
Resource availability
Financial management</v>
      </c>
      <c r="C21" s="1" t="str">
        <f>'Thematic Analysis'!$G24</f>
        <v>Compliance and Governance
Resource Management and Utilization
Future Planning and System Demand</v>
      </c>
      <c r="D21" s="1" t="str">
        <f>'Thematic Analysis'!$F24</f>
        <v>BI dashboards
Inventory tracking
Accounting software</v>
      </c>
      <c r="E21" s="1" t="s">
        <v>1196</v>
      </c>
      <c r="F21" s="1" t="s">
        <v>1259</v>
      </c>
      <c r="G21" s="1" t="str">
        <f>'Thematic Analysis'!$D24</f>
        <v>At hospital, area, and department executive levels, having a complete portfolio lets them look at health outcomes, service demand, resources, performance, and finances all together.</v>
      </c>
    </row>
    <row r="22" spans="1:7" s="6" customFormat="1" ht="105" x14ac:dyDescent="0.25">
      <c r="A22" s="2">
        <f t="shared" si="0"/>
        <v>19</v>
      </c>
      <c r="B22" s="1" t="str">
        <f>'Thematic Analysis'!$E25</f>
        <v>Priority areas &amp; Resource allocation
Funding availability
Core function delivery &amp; Urgent issue resolution</v>
      </c>
      <c r="C22" s="1" t="str">
        <f>'Thematic Analysis'!$G25</f>
        <v>Risk Identification and Management
Compliance and Governance
Collaboration and Communication</v>
      </c>
      <c r="D22" s="1" t="str">
        <f>'Thematic Analysis'!$F25</f>
        <v>Strategic planning
Budgeting
Crisis management</v>
      </c>
      <c r="E22" s="1" t="s">
        <v>1197</v>
      </c>
      <c r="F22" s="1" t="s">
        <v>1260</v>
      </c>
      <c r="G22" s="1" t="str">
        <f>'Thematic Analysis'!$D25</f>
        <v>The ICT Strategy focuses on key areas and will address them as resources allow. Other initiatives will only be added if they don't affect these core functions or if there's an urgent need.</v>
      </c>
    </row>
    <row r="23" spans="1:7" s="6" customFormat="1" ht="105" x14ac:dyDescent="0.25">
      <c r="A23" s="2">
        <f t="shared" si="0"/>
        <v>20</v>
      </c>
      <c r="B23" s="1" t="str">
        <f>'Thematic Analysis'!$E26</f>
        <v>Workflow improvement
Decision support
Resource management
Information accessibility</v>
      </c>
      <c r="C23" s="1" t="str">
        <f>'Thematic Analysis'!$G26</f>
        <v>Operational Effectiveness and Efficiency
Resource Management and Utilization
Resource Management and Utilization
Data and Information Management</v>
      </c>
      <c r="D23" s="1" t="str">
        <f>'Thematic Analysis'!$F26</f>
        <v>Process optimization
AI tools
Asset allocation
Open data</v>
      </c>
      <c r="E23" s="1" t="s">
        <v>1198</v>
      </c>
      <c r="F23" s="1" t="s">
        <v>1261</v>
      </c>
      <c r="G23" s="1" t="str">
        <f>'Thematic Analysis'!$D26</f>
        <v>By 2011, clinical departments will have improved systems for workflow, decision-making support, and accessing necessary information. This helps clinicians make better decisions for patients, leading to safer care</v>
      </c>
    </row>
    <row r="24" spans="1:7" s="6" customFormat="1" ht="105" x14ac:dyDescent="0.25">
      <c r="A24" s="2">
        <f t="shared" si="0"/>
        <v>21</v>
      </c>
      <c r="B24" s="1" t="str">
        <f>'Thematic Analysis'!$E27</f>
        <v>Integration of core systems
Information accessibility
Resource management</v>
      </c>
      <c r="C24" s="1" t="str">
        <f>'Thematic Analysis'!$G27</f>
        <v>System Deployment and Integration
Data and Information Management
Resource Management and Utilization</v>
      </c>
      <c r="D24" s="1" t="str">
        <f>'Thematic Analysis'!$F27</f>
        <v>Middleware
Open data
Asset allocation</v>
      </c>
      <c r="E24" s="1" t="s">
        <v>1199</v>
      </c>
      <c r="F24" s="1" t="s">
        <v>1262</v>
      </c>
      <c r="G24" s="1" t="str">
        <f>'Thematic Analysis'!$D27</f>
        <v>Integrated hospital systems mean information is collected once and available to all, reducing handover issues and improving resource management for smoother patient care.</v>
      </c>
    </row>
    <row r="25" spans="1:7" s="6" customFormat="1" ht="240" x14ac:dyDescent="0.25">
      <c r="A25" s="2">
        <f t="shared" si="0"/>
        <v>22</v>
      </c>
      <c r="B25" s="1" t="str">
        <f>'Thematic Analysis'!$E28</f>
        <v>Integration of systems
Information accessibility
Resource management
Standardized information
Collaboration</v>
      </c>
      <c r="C25" s="1" t="str">
        <f>'Thematic Analysis'!$G28</f>
        <v>System Deployment and Integration
Data and Information Management
Resource Management and Utilization
Data and Information Management
Collaboration and Communication</v>
      </c>
      <c r="D25" s="1" t="str">
        <f>'Thematic Analysis'!$F28</f>
        <v>System merger
Open data
Asset allocation
Data governance
Teamwork tools</v>
      </c>
      <c r="E25" s="1" t="s">
        <v>1200</v>
      </c>
      <c r="F25" s="1" t="s">
        <v>1263</v>
      </c>
      <c r="G25" s="1" t="str">
        <f>'Thematic Analysis'!$D28</f>
        <v>The ICT Strategy aims to improve patient care by giving Nursing Unit Managers better information to plan and care for patients, helping hospital executives manage resources and performance, making it easier for departments to access important info and make decisions, integrating key systems across hospitals for smoother patient care, and standardizing information across regions to manage resources and patient transfers more effectively</v>
      </c>
    </row>
    <row r="26" spans="1:7" s="6" customFormat="1" ht="180" x14ac:dyDescent="0.25">
      <c r="A26" s="2">
        <f t="shared" si="0"/>
        <v>23</v>
      </c>
      <c r="B26" s="1" t="str">
        <f>'Thematic Analysis'!$E29</f>
        <v>Systems implementation
Standardized information access
Resource utilization
Management of future demand</v>
      </c>
      <c r="C26" s="1" t="str">
        <f>'Thematic Analysis'!$G29</f>
        <v>System Deployment and Integration
Data and Information Management
Resource Management and Utilization
Future Planning and System Demand</v>
      </c>
      <c r="D26" s="1" t="str">
        <f>'Thematic Analysis'!$F29</f>
        <v>Rollout plan
Uniform interfaces
Efficient usage
Forecasting</v>
      </c>
      <c r="E26" s="1" t="s">
        <v>1201</v>
      </c>
      <c r="F26" s="1" t="s">
        <v>1264</v>
      </c>
      <c r="G26" s="1" t="str">
        <f>'Thematic Analysis'!$D29</f>
        <v>Rolling out core systems across NSW will have big benefits. Everyone gains, but it's best when the whole state uses them. Standardized info will help NSW Health meet goals by improving patient care, ensuring timely access to services, and better coordination in the health system. Accurate data will help use resources better and manage future needs.</v>
      </c>
    </row>
    <row r="27" spans="1:7" s="6" customFormat="1" ht="150" x14ac:dyDescent="0.25">
      <c r="A27" s="2">
        <f t="shared" si="0"/>
        <v>24</v>
      </c>
      <c r="B27" s="1" t="str">
        <f>'Thematic Analysis'!$E30</f>
        <v>Increased services demand
Service delivery
System projections</v>
      </c>
      <c r="C27" s="1" t="str">
        <f>'Thematic Analysis'!$G30</f>
        <v>Data and Information Management
Consumer Experience and Support
Future Planning and System Demand</v>
      </c>
      <c r="D27" s="1" t="str">
        <f>'Thematic Analysis'!$F30</f>
        <v>Scalability
Operational efficiency
Futureproofing</v>
      </c>
      <c r="E27" s="1" t="s">
        <v>1202</v>
      </c>
      <c r="F27" s="1" t="s">
        <v>1265</v>
      </c>
      <c r="G27" s="1" t="str">
        <f>'Thematic Analysis'!$D30</f>
        <v>A steady increase in demand for services is expected due to an aging population. In NSW, the number of people over 65 is growing quickly. Each year from 2012 to 2028, the percentage of older Australians is projected to rise by over 0.35 points annually, which is about four times the long-term average increase.</v>
      </c>
    </row>
    <row r="28" spans="1:7" s="6" customFormat="1" ht="60" x14ac:dyDescent="0.25">
      <c r="A28" s="2">
        <f t="shared" si="0"/>
        <v>25</v>
      </c>
      <c r="B28" s="1" t="str">
        <f>'Thematic Analysis'!$E31</f>
        <v>Staff shortages
Critical areas
User capacity</v>
      </c>
      <c r="C28" s="1" t="str">
        <f>'Thematic Analysis'!$G31</f>
        <v>System Maintenance and Support
Data and Information Management
System and Technology Improvement</v>
      </c>
      <c r="D28" s="1" t="str">
        <f>'Thematic Analysis'!$F31</f>
        <v>Recruitment
Focus areas
Data expansion</v>
      </c>
      <c r="E28" s="1" t="s">
        <v>1203</v>
      </c>
      <c r="F28" s="1" t="s">
        <v>1266</v>
      </c>
      <c r="G28" s="1" t="str">
        <f>'Thematic Analysis'!$D31</f>
        <v>Staff shortages in critical areas such as nursing and medicine Hospitals running at maximum capacity</v>
      </c>
    </row>
    <row r="29" spans="1:7" s="6" customFormat="1" ht="120" x14ac:dyDescent="0.25">
      <c r="A29" s="2">
        <f t="shared" si="0"/>
        <v>26</v>
      </c>
      <c r="B29" s="1" t="str">
        <f>'Thematic Analysis'!$E32</f>
        <v>Increase database
Rising system usage
Future system demand</v>
      </c>
      <c r="C29" s="1" t="str">
        <f>'Thematic Analysis'!$G32</f>
        <v>Data and Information Management
Data and Information Management
Infrastructure and Hardware Management</v>
      </c>
      <c r="D29" s="1" t="str">
        <f>'Thematic Analysis'!$F32</f>
        <v>Load balancing
Capacity planning
Knowledge base</v>
      </c>
      <c r="E29" s="1" t="s">
        <v>1204</v>
      </c>
      <c r="F29" s="1" t="s">
        <v>1267</v>
      </c>
      <c r="G29" s="1" t="str">
        <f>'Thematic Analysis'!$D32</f>
        <v>The rate of chronic diseases like heart disease, lung disease, diabetes, and cancer is rising. Obesity is becoming more common among young people, and our increasingly globalized society raises the risk of pandemics.</v>
      </c>
    </row>
    <row r="30" spans="1:7" s="6" customFormat="1" ht="60" x14ac:dyDescent="0.25">
      <c r="A30" s="2">
        <f t="shared" si="0"/>
        <v>27</v>
      </c>
      <c r="B30" s="1" t="str">
        <f>'Thematic Analysis'!$E33</f>
        <v>Knowledge management
IT system advancement</v>
      </c>
      <c r="C30" s="1" t="str">
        <f>'Thematic Analysis'!$G33</f>
        <v>Data and Information Management
System and Technology Improvement</v>
      </c>
      <c r="D30" s="1" t="str">
        <f>'Thematic Analysis'!$F33</f>
        <v>Technological innovation
Cost-benefit analysis</v>
      </c>
      <c r="E30" s="1" t="s">
        <v>1205</v>
      </c>
      <c r="F30" s="1" t="s">
        <v>1268</v>
      </c>
      <c r="G30" s="1" t="str">
        <f>'Thematic Analysis'!$D33</f>
        <v>An increasing body of medical knowledge that staff cannot manage and
use without advanced IT systems</v>
      </c>
    </row>
    <row r="31" spans="1:7" s="6" customFormat="1" ht="60" x14ac:dyDescent="0.25">
      <c r="A31" s="2">
        <f t="shared" si="0"/>
        <v>28</v>
      </c>
      <c r="B31" s="1" t="str">
        <f>'Thematic Analysis'!$E34</f>
        <v>Expensive technologies
Costly materials</v>
      </c>
      <c r="C31" s="1" t="str">
        <f>'Thematic Analysis'!$G34</f>
        <v>Future Planning and System Demand
Financial Management and Budgeting</v>
      </c>
      <c r="D31" s="1" t="str">
        <f>'Thematic Analysis'!$F34</f>
        <v>Cost control
Education</v>
      </c>
      <c r="E31" s="1" t="s">
        <v>1206</v>
      </c>
      <c r="F31" s="1" t="s">
        <v>1269</v>
      </c>
      <c r="G31" s="1" t="str">
        <f>'Thematic Analysis'!$D34</f>
        <v>Health services are increasingly challenged by more expensive medical technologies and pharmaceuticals</v>
      </c>
    </row>
    <row r="32" spans="1:7" s="6" customFormat="1" ht="60" x14ac:dyDescent="0.25">
      <c r="A32" s="2">
        <f t="shared" si="0"/>
        <v>29</v>
      </c>
      <c r="B32" s="1" t="str">
        <f>'Thematic Analysis'!$E35</f>
        <v>Informed consumers
High expectations
Complex needs problems</v>
      </c>
      <c r="C32" s="1" t="str">
        <f>'Thematic Analysis'!$G35</f>
        <v>System Deployment and Integration
Business Alignment
Operational Effectiveness and Efficiency</v>
      </c>
      <c r="D32" s="1" t="str">
        <f>'Thematic Analysis'!$F35</f>
        <v>Customer satisfaction
Problem-solving
Compliance audits</v>
      </c>
      <c r="E32" s="1" t="s">
        <v>1207</v>
      </c>
      <c r="F32" s="1" t="s">
        <v>1270</v>
      </c>
      <c r="G32" s="1" t="str">
        <f>'Thematic Analysis'!$D35</f>
        <v>Consumers are becoming more informed, have higher expectations and more complex problems</v>
      </c>
    </row>
    <row r="33" spans="1:7" s="6" customFormat="1" ht="165" x14ac:dyDescent="0.25">
      <c r="A33" s="2">
        <f t="shared" si="0"/>
        <v>30</v>
      </c>
      <c r="B33" s="1" t="str">
        <f>'Thematic Analysis'!$E36</f>
        <v>Quality &amp; Safety standards
High user rates
Safe working capacity</v>
      </c>
      <c r="C33" s="1" t="str">
        <f>'Thematic Analysis'!$G36</f>
        <v>Operational Effectiveness and Efficiency
Business Alignment
System and Technology Improvement</v>
      </c>
      <c r="D33" s="1" t="str">
        <f>'Thematic Analysis'!$F36</f>
        <v>Load testing
Occupational safety
SOPs</v>
      </c>
      <c r="E33" s="1" t="s">
        <v>1208</v>
      </c>
      <c r="F33" s="1" t="s">
        <v>1271</v>
      </c>
      <c r="G33" s="1" t="str">
        <f>'Thematic Analysis'!$D36</f>
        <v>Quality and safety standards are being challenged as demand increases and staff numbers decrease. For instance, from 2000 to 2005, NSW hospitals had an average occupancy of 93%. Some metropolitan hospitals had surgical and medical wards with 95-98% occupancy, while 85% is considered a much safer level.</v>
      </c>
    </row>
    <row r="34" spans="1:7" s="6" customFormat="1" ht="105" x14ac:dyDescent="0.25">
      <c r="A34" s="2">
        <f t="shared" si="0"/>
        <v>31</v>
      </c>
      <c r="B34" s="1" t="str">
        <f>'Thematic Analysis'!$E37</f>
        <v>Communication
Policies &amp; Procedures
Skills and competence
Work scheduling</v>
      </c>
      <c r="C34" s="1" t="str">
        <f>'Thematic Analysis'!$G37</f>
        <v>Standardization and Streamlining Processes
Strategic Planning and Development
Employee Training and Development
Program and Project Management</v>
      </c>
      <c r="D34" s="1" t="str">
        <f>'Thematic Analysis'!$F37</f>
        <v>Collaboration tools
Training programs
Roster management
System investment</v>
      </c>
      <c r="E34" s="1" t="s">
        <v>1209</v>
      </c>
      <c r="F34" s="1" t="s">
        <v>1272</v>
      </c>
      <c r="G34" s="1" t="str">
        <f>'Thematic Analysis'!$D37</f>
        <v>The key factors that cause these adverse events are:
_x0001_ Communication
_x0001_ Policies and procedures
_x0001_ Knowledge, skills and competence issues
_x0001_ Work scheduling</v>
      </c>
    </row>
    <row r="35" spans="1:7" s="6" customFormat="1" ht="105" x14ac:dyDescent="0.25">
      <c r="A35" s="2">
        <f t="shared" si="0"/>
        <v>32</v>
      </c>
      <c r="B35" s="1" t="str">
        <f>'Thematic Analysis'!$E38</f>
        <v>Lack of core ICT systems
System reform</v>
      </c>
      <c r="C35" s="1" t="str">
        <f>'Thematic Analysis'!$G38</f>
        <v>System and Technology Improvement
Policy and Organizational Reform</v>
      </c>
      <c r="D35" s="1" t="str">
        <f>'Thematic Analysis'!$F38</f>
        <v>Overhaul
Budget reallocation</v>
      </c>
      <c r="E35" s="1" t="s">
        <v>1210</v>
      </c>
      <c r="F35" s="1" t="s">
        <v>1273</v>
      </c>
      <c r="G35" s="1" t="str">
        <f>'Thematic Analysis'!$D38</f>
        <v>Clinical ICT is becoming an increasingly important enabler of health
system reform, yet the core systems to underpin reform are not
currently in place.</v>
      </c>
    </row>
    <row r="36" spans="1:7" s="6" customFormat="1" ht="150" x14ac:dyDescent="0.25">
      <c r="A36" s="2">
        <f t="shared" si="0"/>
        <v>33</v>
      </c>
      <c r="B36" s="1" t="str">
        <f>'Thematic Analysis'!$E39</f>
        <v>Constraints in funding
Skilled project management
Capacity for large-scale change</v>
      </c>
      <c r="C36" s="1" t="str">
        <f>'Thematic Analysis'!$G39</f>
        <v>Consumer Experience and Support
Program and Project Management
Resource Management and Utilization</v>
      </c>
      <c r="D36" s="1" t="str">
        <f>'Thematic Analysis'!$F39</f>
        <v>PMP certification
Change management
Prioritization</v>
      </c>
      <c r="E36" s="1" t="s">
        <v>1211</v>
      </c>
      <c r="F36" s="1" t="s">
        <v>1274</v>
      </c>
      <c r="G36" s="1" t="str">
        <f>'Thematic Analysis'!$D39</f>
        <v>Constraints in capital and recurrent funding, skilled project
management and implementation resources and capacity of the health
systems to accommodate large scale change all restrict the potential
speed of implementation of core systems.</v>
      </c>
    </row>
    <row r="37" spans="1:7" s="6" customFormat="1" ht="105" x14ac:dyDescent="0.25">
      <c r="A37" s="2">
        <f t="shared" si="0"/>
        <v>34</v>
      </c>
      <c r="B37" s="1" t="str">
        <f>'Thematic Analysis'!$E40</f>
        <v>Competing demands for ICT funds
Priority determination
Project scheduling complexity</v>
      </c>
      <c r="C37" s="1" t="str">
        <f>'Thematic Analysis'!$G40</f>
        <v>Consumer Experience and Support
Risk Identification and Management
Operational Effectiveness and Efficiency</v>
      </c>
      <c r="D37" s="1" t="str">
        <f>'Thematic Analysis'!$F40</f>
        <v>Value assessment
Gantt charts
Problem clustering</v>
      </c>
      <c r="E37" s="1" t="s">
        <v>1212</v>
      </c>
      <c r="F37" s="1" t="s">
        <v>1275</v>
      </c>
      <c r="G37" s="1" t="str">
        <f>'Thematic Analysis'!$D40</f>
        <v>There are many competing demands for ICT funds. Deciding which projects to prioritize and schedule is complex and needs ongoing review to ensure funds are allocated where they will be most beneficial.</v>
      </c>
    </row>
    <row r="38" spans="1:7" s="6" customFormat="1" ht="105" x14ac:dyDescent="0.25">
      <c r="A38" s="2">
        <f t="shared" si="0"/>
        <v>35</v>
      </c>
      <c r="B38" s="1" t="str">
        <f>'Thematic Analysis'!$E41</f>
        <v>Convergence of issues
Significant risk environment
Need for service delivery change</v>
      </c>
      <c r="C38" s="1" t="str">
        <f>'Thematic Analysis'!$G41</f>
        <v>Consumer Experience and Support
Risk Identification and Management
Operational Effectiveness and Efficiency</v>
      </c>
      <c r="D38" s="1" t="str">
        <f>'Thematic Analysis'!$F41</f>
        <v>Risk mitigation
Transformation
Talent acquisition</v>
      </c>
      <c r="E38" s="1" t="s">
        <v>1213</v>
      </c>
      <c r="F38" s="1" t="s">
        <v>1276</v>
      </c>
      <c r="G38" s="1" t="str">
        <f>'Thematic Analysis'!$D41</f>
        <v>NSW Health needs to change how it delivers services to meet these challenges. They've started a big reform program and need the right IT solutions to support staff and make these changes last</v>
      </c>
    </row>
    <row r="39" spans="1:7" s="6" customFormat="1" ht="135" x14ac:dyDescent="0.25">
      <c r="A39" s="2">
        <f t="shared" si="0"/>
        <v>36</v>
      </c>
      <c r="B39" s="1" t="str">
        <f>'Thematic Analysis'!$E42</f>
        <v>Demand for services
Workforce shortages
Government priorities
ICT strategies</v>
      </c>
      <c r="C39" s="1" t="str">
        <f>'Thematic Analysis'!$G42</f>
        <v>System Deployment and Integration
Operational Effectiveness and Efficiency
System Deployment and Integration
Implementation Challenges and Delays</v>
      </c>
      <c r="D39" s="1" t="str">
        <f>'Thematic Analysis'!$F42</f>
        <v>Policy alignment
Talent acquisition
Policy alignment
IT roadmaps</v>
      </c>
      <c r="E39" s="1" t="s">
        <v>1214</v>
      </c>
      <c r="F39" s="1" t="s">
        <v>1277</v>
      </c>
      <c r="G39" s="1" t="str">
        <f>'Thematic Analysis'!$D42</f>
        <v>NSW Health is responding to big challenges like more people needing healthcare and not enough staff. They're looking at what the government wants, like improving mental health and using better technology. That helps them decide what to do next and where to spend money.</v>
      </c>
    </row>
    <row r="40" spans="1:7" s="6" customFormat="1" ht="135" x14ac:dyDescent="0.25">
      <c r="A40" s="2">
        <f t="shared" si="0"/>
        <v>37</v>
      </c>
      <c r="B40" s="1" t="str">
        <f>'Thematic Analysis'!$E43</f>
        <v>Alignment with Results and Services Plan
Support for strategic programs
Alignment with reform programs
Consideration of whole-of-government strategies</v>
      </c>
      <c r="C40" s="1" t="str">
        <f>'Thematic Analysis'!$G43</f>
        <v>Business Alignment
Policy and Organizational Reform
Business Alignment
Standardization and Streamlining Processes</v>
      </c>
      <c r="D40" s="1" t="str">
        <f>'Thematic Analysis'!$F43</f>
        <v>Goal alignment
Strategic backing
Change alignment
Holistic approach</v>
      </c>
      <c r="E40" s="1" t="s">
        <v>1215</v>
      </c>
      <c r="F40" s="1" t="s">
        <v>1278</v>
      </c>
      <c r="G40" s="1" t="str">
        <f>'Thematic Analysis'!$D43</f>
        <v>The Results and Services Plan guides everything in NSW Health. There are other plans helping out too. The ICT Strategic Plan is one of them, making sure it works well with the main plan. They also look at what the whole government and the country are doing.</v>
      </c>
    </row>
    <row r="41" spans="1:7" s="6" customFormat="1" ht="345" x14ac:dyDescent="0.25">
      <c r="A41" s="2">
        <f t="shared" si="0"/>
        <v>38</v>
      </c>
      <c r="B41" s="1" t="str">
        <f>'Thematic Analysis'!$E44</f>
        <v>Preventative solutions
User experience
Future benefits
Strengthening relationships
Costs of services
Sustainable Workforce
New risk potential</v>
      </c>
      <c r="C41" s="1" t="str">
        <f>'Thematic Analysis'!$G44</f>
        <v>Financial Management and Budgeting
Consumer Experience and Support
Compliance and Governance
Collaboration and Communication
Collaboration and Communication
System Maintenance and Support
Risk Identification and Management</v>
      </c>
      <c r="D41" s="1" t="str">
        <f>'Thematic Analysis'!$F44</f>
        <v>Proactive measures
UX design
Long-term planning
Stakeholder engagement
Expense management
HR planning
Risk forecasting</v>
      </c>
      <c r="E41" s="1" t="s">
        <v>1216</v>
      </c>
      <c r="F41" s="1" t="s">
        <v>1279</v>
      </c>
      <c r="G41" s="1" t="str">
        <f>'Thematic Analysis'!$D44</f>
        <v>The RSP is NSW Health's main plan to tackle challenges. They have four main goals:
Keep people healthy
Provide needed healthcare
Deliver top-quality services
Manage health services well
To achieve these, they focus on seven key directions:
Get everyone involved in prevention
Improve people's healthcare experiences
Strengthen community care
Work with others for better health
Make wise choices about healthcare costs
Build a strong healthcare workforce
Stay prepared for new challenges and chances</v>
      </c>
    </row>
    <row r="42" spans="1:7" s="6" customFormat="1" ht="150" x14ac:dyDescent="0.25">
      <c r="A42" s="2">
        <f t="shared" si="0"/>
        <v>39</v>
      </c>
      <c r="B42" s="1" t="str">
        <f>'Thematic Analysis'!$E45</f>
        <v>Reducing risk factors
Preventing consumer issues
Interventions for high-risk consumers</v>
      </c>
      <c r="C42" s="1" t="str">
        <f>'Thematic Analysis'!$G45</f>
        <v>Risk Identification and Management
Operational Effectiveness and Efficiency
Consumer Experience and Support</v>
      </c>
      <c r="D42" s="1" t="str">
        <f>'Thematic Analysis'!$F45</f>
        <v>Preventive measures
Customer care
Targeted support</v>
      </c>
      <c r="E42" s="1" t="s">
        <v>1217</v>
      </c>
      <c r="F42" s="1" t="s">
        <v>1280</v>
      </c>
      <c r="G42" s="1" t="str">
        <f>'Thematic Analysis'!$D45</f>
        <v>NSW Health wants to prevent sickness and promote good health habits. They're focusing on getting more people vaccinated and helping those at risk for diseases like diabetes. ICT can help by sending alerts about things like missed vaccinations or overdue check-ups</v>
      </c>
    </row>
    <row r="43" spans="1:7" s="6" customFormat="1" ht="150" x14ac:dyDescent="0.25">
      <c r="A43" s="2">
        <f t="shared" si="0"/>
        <v>40</v>
      </c>
      <c r="B43" s="1" t="str">
        <f>'Thematic Analysis'!$E46</f>
        <v>Availability of services
Effectiveness of services
Coordination of care
Supporting new care models
Sustainability of reform
Information flow along consumer journey
Consumer experience improvement
Appropriate consumer delivery</v>
      </c>
      <c r="C43" s="1" t="str">
        <f>'Thematic Analysis'!$G46</f>
        <v>Business Alignment
Consumer Experience and Support
Collaboration and Communication
Consumer Experience and Support
Policy and Organizational Reform
Infrastructure and Hardware Management
Consumer Experience and Support
Resource Management and Utilization</v>
      </c>
      <c r="D43" s="1" t="str">
        <f>'Thematic Analysis'!$F46</f>
        <v>Service uptime
Performance metrics
Integrated care
Innovative healthcare
Continuous improvement
Data mapping
UX enhancement
Tailored services</v>
      </c>
      <c r="E43" s="1" t="s">
        <v>1218</v>
      </c>
      <c r="F43" s="1" t="s">
        <v>1281</v>
      </c>
      <c r="G43" s="1" t="str">
        <f>'Thematic Analysis'!$D46</f>
        <v>NSW Health wants to make sure everyone gets the care they need, when they need it. They're using tech to support new ways of caring for people and making sure changes stick. Better info during your care journey means a better experience and getting the right care.</v>
      </c>
    </row>
    <row r="44" spans="1:7" s="6" customFormat="1" ht="120" x14ac:dyDescent="0.25">
      <c r="A44" s="2">
        <f t="shared" si="0"/>
        <v>41</v>
      </c>
      <c r="B44" s="1" t="str">
        <f>'Thematic Analysis'!$E47</f>
        <v>Complexity and duplication in service delivery
Need for improved collaboration
Enhancement of coordination
Quality and safety improvement
Appropriate resource utilization</v>
      </c>
      <c r="C44" s="1" t="str">
        <f>'Thematic Analysis'!$G47</f>
        <v>Compliance and Governance
Collaboration and Communication
Financial Management and Budgeting
Operational Effectiveness and Efficiency
Consumer Experience and Support</v>
      </c>
      <c r="D44" s="1" t="str">
        <f>'Thematic Analysis'!$F47</f>
        <v>Process simplification
Teamwork enhancement
Integrated systems
Quality assurance
Optimal allocation</v>
      </c>
      <c r="E44" s="1" t="s">
        <v>1219</v>
      </c>
      <c r="F44" s="1" t="s">
        <v>1282</v>
      </c>
      <c r="G44" s="1" t="str">
        <f>'Thematic Analysis'!$D47</f>
        <v>NSW Health aims to improve healthcare by working better together. They're using tech to help everyone collaborate and use resources wisely. That means better tools for healthcare workers and making sure everyone gets great care.</v>
      </c>
    </row>
    <row r="45" spans="1:7" s="6" customFormat="1" ht="90" x14ac:dyDescent="0.25">
      <c r="A45" s="2">
        <f t="shared" si="0"/>
        <v>42</v>
      </c>
      <c r="B45" s="1" t="str">
        <f>'Thematic Analysis'!$E48</f>
        <v>Constraints and opportunities
Alignment with national initiatives</v>
      </c>
      <c r="C45" s="1" t="str">
        <f>'Thematic Analysis'!$G48</f>
        <v>Financial Management and Budgeting
Business Alignment</v>
      </c>
      <c r="D45" s="1" t="str">
        <f>'Thematic Analysis'!$F48</f>
        <v>SWOT analysis
Policy coherence</v>
      </c>
      <c r="E45" s="1" t="s">
        <v>1220</v>
      </c>
      <c r="F45" s="1" t="s">
        <v>1283</v>
      </c>
      <c r="G45" s="1" t="str">
        <f>'Thematic Analysis'!$D48</f>
        <v>The NSW Government's IT setup influences NSW Health's ICT plan. They aim to make sure NSW initiatives match up with and sometimes even help shape national and statewide plans</v>
      </c>
    </row>
    <row r="46" spans="1:7" s="6" customFormat="1" ht="240" x14ac:dyDescent="0.25">
      <c r="A46" s="2">
        <f t="shared" si="0"/>
        <v>43</v>
      </c>
      <c r="B46" s="1" t="str">
        <f>'Thematic Analysis'!$E49</f>
        <v>New directions for IT
Primary goals of Executive Council</v>
      </c>
      <c r="C46" s="1" t="str">
        <f>'Thematic Analysis'!$G49</f>
        <v>System and Technology Improvement
Operational Effectiveness and Efficiency</v>
      </c>
      <c r="D46" s="1" t="str">
        <f>'Thematic Analysis'!$F49</f>
        <v>Tech trends
Leadership vision</v>
      </c>
      <c r="E46" s="1" t="s">
        <v>1221</v>
      </c>
      <c r="F46" s="1" t="s">
        <v>1284</v>
      </c>
      <c r="G46" s="1" t="str">
        <f>'Thematic Analysis'!$D49</f>
        <v>The NSW Government is changing how they use computers and stuff. They want to save money on the boring tech stuff while keeping important services running smoothly. They're spending more on technology for important services and finding ways to save money with computers. This means using one fund for all tech needs, having a plan for the whole state, using fewer computer programs, sharing tech, and buying things together.</v>
      </c>
    </row>
    <row r="47" spans="1:7" s="6" customFormat="1" ht="180" x14ac:dyDescent="0.25">
      <c r="A47" s="2">
        <f t="shared" si="0"/>
        <v>44</v>
      </c>
      <c r="B47" s="1" t="str">
        <f>'Thematic Analysis'!$E50</f>
        <v>Government priorities
Reform agenda
Business reform
Improvements to Indigenous consumers
Preventative services</v>
      </c>
      <c r="C47" s="1" t="str">
        <f>'Thematic Analysis'!$G50</f>
        <v>System Deployment and Integration
Policy and Organizational Reform
Business Alignment
Data and Information Management
Strategic Planning and Development</v>
      </c>
      <c r="D47" s="1" t="str">
        <f>'Thematic Analysis'!$F50</f>
        <v>Policy alignment
Change strategy
Organizational change
Inclusive services
Early intervention</v>
      </c>
      <c r="E47" s="1" t="s">
        <v>1222</v>
      </c>
      <c r="F47" s="1" t="s">
        <v>1285</v>
      </c>
      <c r="G47" s="1" t="str">
        <f>'Thematic Analysis'!$D50</f>
        <v>COAG is a group working on important national stuff like mental health, healthcare workers, flu plans, and electronic health records. They're making big plans for healthcare, like making hospitals better and helping people stay healthy. This ICT plan is part of making those plans work by improving healthcare in hospitals and communities</v>
      </c>
    </row>
    <row r="48" spans="1:7" s="6" customFormat="1" ht="255" x14ac:dyDescent="0.25">
      <c r="A48" s="2">
        <f t="shared" si="0"/>
        <v>45</v>
      </c>
      <c r="B48" s="1" t="str">
        <f>'Thematic Analysis'!$E51</f>
        <v>Collaboration across jurisdictions
Consistency in systems approaches
National information network
Regulatory frameworks</v>
      </c>
      <c r="C48" s="1" t="str">
        <f>'Thematic Analysis'!$G51</f>
        <v>Collaboration and Communication
Standardization and Streamlining Processes
Data and Information Management
Compliance and Governance</v>
      </c>
      <c r="D48" s="1" t="str">
        <f>'Thematic Analysis'!$F51</f>
        <v>Cross-border teamwork
Uniform methods
Centralized data
Legal compliance</v>
      </c>
      <c r="E48" s="1" t="s">
        <v>1223</v>
      </c>
      <c r="F48" s="1" t="s">
        <v>1286</v>
      </c>
      <c r="G48" s="1" t="str">
        <f>'Thematic Analysis'!$D51</f>
        <v>The eHealth initiative involves all states, territories, and the Australian Government. It began in 2000 to set up e-health across Australia. The Australian Government has invested $128 million in e-health projects across the country, plus an extra $10 million in 2005 for managed health network grants. The aim is to make sure everyone works together, with consistent approaches to eHealth, creating a national health information network. The program also helps make the right rules for eHealth initiatives.</v>
      </c>
    </row>
    <row r="49" spans="1:7" s="6" customFormat="1" ht="210" x14ac:dyDescent="0.25">
      <c r="A49" s="2">
        <f t="shared" si="0"/>
        <v>46</v>
      </c>
      <c r="B49" s="1" t="str">
        <f>'Thematic Analysis'!$E52</f>
        <v>ICT standards
ICT strategic plan
Interoperability
Standardized information
Unique Identifiers
Individual Electronic Record
Identity management standards
Secure messaging
Supply chain management</v>
      </c>
      <c r="C49" s="1" t="str">
        <f>'Thematic Analysis'!$G52</f>
        <v>Implementation Challenges and Delays
Implementation Challenges and Delays
System Deployment and Integration
Data and Information Management
Data Security, Quality and Privacy
Consumer Experience and Support
Implementation Challenges and Delays
Data Security, Quality and Privacy
Resource Management and Utilization</v>
      </c>
      <c r="D49" s="1" t="str">
        <f>'Thematic Analysis'!$F52</f>
        <v>Protocol adherence
IT blueprint
API integration
Data governance
Identity codes
Personal data
Security protocols
Encrypted communication
Logistics control</v>
      </c>
      <c r="E49" s="1" t="s">
        <v>1224</v>
      </c>
      <c r="F49" s="1" t="s">
        <v>1287</v>
      </c>
      <c r="G49" s="1" t="str">
        <f>'Thematic Analysis'!$D52</f>
        <v>focuses on developing national health information management and communication technology standards. Its work includes creating frameworks for interoperability, standardizing clinical communications, establishing unique healthcare identifiers, and preparing standards for individual electronic health records, identity management, secure messaging, and supply chain management.</v>
      </c>
    </row>
    <row r="50" spans="1:7" s="6" customFormat="1" ht="120" x14ac:dyDescent="0.25">
      <c r="A50" s="2">
        <f t="shared" si="0"/>
        <v>47</v>
      </c>
      <c r="B50" s="1" t="str">
        <f>'Thematic Analysis'!$E53</f>
        <v>Corporate reform program
ICT reform program
Implementation of IT solutions</v>
      </c>
      <c r="C50" s="1" t="str">
        <f>'Thematic Analysis'!$G53</f>
        <v>Financial Management and Budgeting
Data Security, Quality and Privacy
Consumer Experience and Support</v>
      </c>
      <c r="D50" s="1" t="str">
        <f>'Thematic Analysis'!$F53</f>
        <v>Business transformation
IT overhaul
Tech deployment</v>
      </c>
      <c r="E50" s="1" t="s">
        <v>1225</v>
      </c>
      <c r="F50" s="1" t="s">
        <v>1288</v>
      </c>
      <c r="G50" s="1" t="str">
        <f>'Thematic Analysis'!$D53</f>
        <v>To tackle challenges and prepare for the future, NSW Health is changing how it delivers services. Implementing IT solutions to support staff and integrate business processes is key for sustainable service delivery changes.</v>
      </c>
    </row>
    <row r="51" spans="1:7" s="6" customFormat="1" ht="195" x14ac:dyDescent="0.25">
      <c r="A51" s="2">
        <f t="shared" si="0"/>
        <v>48</v>
      </c>
      <c r="B51" s="1" t="str">
        <f>'Thematic Analysis'!$E54</f>
        <v>Development of ICT strategy
Investment priorities
Budget negotiation
Program delivery</v>
      </c>
      <c r="C51" s="1" t="str">
        <f>'Thematic Analysis'!$G54</f>
        <v>Collaboration and Communication
Financial Management and Budgeting
Business Alignment
Compliance and Governance</v>
      </c>
      <c r="D51" s="1" t="str">
        <f>'Thematic Analysis'!$F54</f>
        <v>IT planning
Capital focus
Financial planning
Execution</v>
      </c>
      <c r="E51" s="1" t="s">
        <v>1226</v>
      </c>
      <c r="F51" s="1" t="s">
        <v>1289</v>
      </c>
      <c r="G51" s="1" t="str">
        <f>'Thematic Analysis'!$D54</f>
        <v>NEHTA makes sure health info works the same way everywhere in Australia. They're working on stuff like making sure doctors' notes and patient info look the same everywhere. They're also setting up a single ID for healthcare and getting ready for a national health record system. Plus, they're making sure the stuff doctors send each other is safe, and helping with buying healthcare stuff</v>
      </c>
    </row>
    <row r="52" spans="1:7" s="6" customFormat="1" ht="150" x14ac:dyDescent="0.25">
      <c r="A52" s="2">
        <f t="shared" si="0"/>
        <v>49</v>
      </c>
      <c r="B52" s="1" t="str">
        <f>'Thematic Analysis'!$E55</f>
        <v>Responsibilities of Support Services
Implementation of system
Maintenance of systems
Support for Consumers
Hardware management
Software management</v>
      </c>
      <c r="C52" s="1" t="str">
        <f>'Thematic Analysis'!$G55</f>
        <v>Policy and Organizational Reform
Data and Information Management
System Maintenance and Support
Consumer Experience and Support
Business Alignment
Data and Information Management</v>
      </c>
      <c r="D52" s="1" t="str">
        <f>'Thematic Analysis'!$F55</f>
        <v>Service scope
System rollout
Upkeep
Customer service
Device control
Application administration</v>
      </c>
      <c r="E52" s="1" t="s">
        <v>1227</v>
      </c>
      <c r="F52" s="1" t="s">
        <v>1290</v>
      </c>
      <c r="G52" s="1" t="str">
        <f>'Thematic Analysis'!$D55</f>
        <v>Health Support Services sets up and maintains key computer systems for healthcare. They give specific IT help to Area Health Services as defined by the law. This includes managing computers, software, and helping with setting up systems.</v>
      </c>
    </row>
    <row r="53" spans="1:7" s="6" customFormat="1" ht="105" x14ac:dyDescent="0.25">
      <c r="A53" s="2">
        <f t="shared" si="0"/>
        <v>50</v>
      </c>
      <c r="B53" s="1" t="str">
        <f>'Thematic Analysis'!$E56</f>
        <v>Responsibilities of Services
Local implementations
Change management
Staff training
Benefits realization</v>
      </c>
      <c r="C53" s="1" t="str">
        <f>'Thematic Analysis'!$G56</f>
        <v>Policy and Organizational Reform
System Deployment and Integration
Collaboration and Communication
Employee Training and Development
Resource Management and Utilization</v>
      </c>
      <c r="D53" s="1" t="str">
        <f>'Thematic Analysis'!$F56</f>
        <v>Service tasks
Regional rollout
Transition planning
Employee development
Outcome tracking</v>
      </c>
      <c r="E53" s="1" t="s">
        <v>1228</v>
      </c>
      <c r="F53" s="1" t="s">
        <v>1291</v>
      </c>
      <c r="G53" s="1" t="str">
        <f>'Thematic Analysis'!$D56</f>
        <v>Area Health Services are responsible for the management of local
implementations, change management and training of staff and benefits
realisation.</v>
      </c>
    </row>
    <row r="54" spans="1:7" s="6" customFormat="1" ht="120" x14ac:dyDescent="0.25">
      <c r="A54" s="2">
        <f t="shared" si="0"/>
        <v>51</v>
      </c>
      <c r="B54" s="1" t="str">
        <f>'Thematic Analysis'!$E57</f>
        <v>Prioritization of programs and projects
Sound investment decisions
Benefit to the organization
Common processes across ICT
Collaborative framework</v>
      </c>
      <c r="C54" s="1" t="str">
        <f>'Thematic Analysis'!$G57</f>
        <v>Risk Identification and Management
Financial Management and Budgeting
Business Alignment
Collaboration and Communication
Collaboration and Communication</v>
      </c>
      <c r="D54" s="1" t="str">
        <f>'Thematic Analysis'!$F57</f>
        <v>Strategic focus
ROI analysis
Value creation
Standardization
Team structure</v>
      </c>
      <c r="E54" s="1" t="s">
        <v>1229</v>
      </c>
      <c r="F54" s="1" t="s">
        <v>1292</v>
      </c>
      <c r="G54" s="1" t="str">
        <f>'Thematic Analysis'!$D57</f>
        <v>They pick the most important projects and invest wisely for the health system. We work together on ICT stuff and have clear rules. This helps us decide what to build and how to run things</v>
      </c>
    </row>
    <row r="55" spans="1:7" s="6" customFormat="1" ht="105" x14ac:dyDescent="0.25">
      <c r="A55" s="2">
        <f t="shared" si="0"/>
        <v>52</v>
      </c>
      <c r="B55" s="1" t="str">
        <f>'Thematic Analysis'!$E58</f>
        <v>Evaluation criteria
Prioritization
Monitoring
Achieving business priorities</v>
      </c>
      <c r="C55" s="1" t="str">
        <f>'Thematic Analysis'!$G58</f>
        <v>Consumer Experience and Support
Program and Project Management
System Maintenance and Support
Business Alignment</v>
      </c>
      <c r="D55" s="1" t="str">
        <f>'Thematic Analysis'!$F58</f>
        <v>Performance metrics
Task ranking
Supervision
Goal fulfillment</v>
      </c>
      <c r="E55" s="1" t="s">
        <v>1230</v>
      </c>
      <c r="F55" s="1" t="s">
        <v>1293</v>
      </c>
      <c r="G55" s="1" t="str">
        <f>'Thematic Analysis'!$D58</f>
        <v>NSW Health uses a coordinated approach to manage ICT projects. This helps us evaluate, prioritize, select, and monitor programs and projects. We adjust as needed to meet our business goals.</v>
      </c>
    </row>
    <row r="56" spans="1:7" s="6" customFormat="1" ht="60" x14ac:dyDescent="0.25">
      <c r="A56" s="2">
        <f t="shared" si="0"/>
        <v>53</v>
      </c>
      <c r="B56" s="1" t="str">
        <f>'Thematic Analysis'!$E59</f>
        <v>Standardizing processes across ICT
Guidelines application</v>
      </c>
      <c r="C56" s="1" t="str">
        <f>'Thematic Analysis'!$G59</f>
        <v>Standardization and Streamlining Processes
Business Alignment</v>
      </c>
      <c r="D56" s="1" t="str">
        <f>'Thematic Analysis'!$F59</f>
        <v>Uniform methods
Best practices</v>
      </c>
      <c r="E56" s="1" t="s">
        <v>1231</v>
      </c>
      <c r="F56" s="1" t="s">
        <v>1294</v>
      </c>
      <c r="G56" s="1" t="str">
        <f>'Thematic Analysis'!$D59</f>
        <v>They have set ways of doing things that support our ICT plan. These cover every step of a project's life.</v>
      </c>
    </row>
    <row r="57" spans="1:7" s="6" customFormat="1" ht="135" x14ac:dyDescent="0.25">
      <c r="A57" s="2">
        <f t="shared" si="0"/>
        <v>54</v>
      </c>
      <c r="B57" s="1" t="str">
        <f>'Thematic Analysis'!$E60</f>
        <v>Collaborative implementation
Integration of governance models
Consistency in application development</v>
      </c>
      <c r="C57" s="1" t="str">
        <f>'Thematic Analysis'!$G60</f>
        <v>Standardization and Streamlining Processes
Compliance and Governance
Standardization and Streamlining Processes</v>
      </c>
      <c r="D57" s="1" t="str">
        <f>'Thematic Analysis'!$F60</f>
        <v>Joint execution
Unified policies
Standard coding</v>
      </c>
      <c r="E57" s="1" t="s">
        <v>1232</v>
      </c>
      <c r="F57" s="1" t="s">
        <v>1295</v>
      </c>
      <c r="G57" s="1" t="str">
        <f>'Thematic Analysis'!$D60</f>
        <v>To make the strategy work, NSW Health collaborates with the Department of Health, Area Health Services, Health Technology, and third-party providers, using shared decision-making processes and building core applications at the state level</v>
      </c>
    </row>
    <row r="58" spans="1:7" s="6" customFormat="1" ht="150" x14ac:dyDescent="0.25">
      <c r="A58" s="2">
        <f t="shared" si="0"/>
        <v>55</v>
      </c>
      <c r="B58" s="1" t="str">
        <f>'Thematic Analysis'!$E61</f>
        <v>Classification of applications
Management of applications
Resource management
Achieving outcomes</v>
      </c>
      <c r="C58" s="1" t="str">
        <f>'Thematic Analysis'!$G61</f>
        <v>Collaboration and Communication
System Maintenance and Support
Resource Management and Utilization
Operational Effectiveness and Efficiency</v>
      </c>
      <c r="D58" s="1" t="str">
        <f>'Thematic Analysis'!$F61</f>
        <v>App taxonomy
App lifecycle
Asset allocation
Results tracking</v>
      </c>
      <c r="E58" s="1" t="s">
        <v>1233</v>
      </c>
      <c r="F58" s="1" t="s">
        <v>1296</v>
      </c>
      <c r="G58" s="1" t="str">
        <f>'Thematic Analysis'!$D61</f>
        <v>Applications and projects are categorized as core, common, or divergent, influencing their prioritization, funding, and management, with core ones managed by the Department, common ones collaboratively, and divergent ones allowing for innovative solutions to local needs.</v>
      </c>
    </row>
    <row r="59" spans="1:7" s="6" customFormat="1" ht="150" x14ac:dyDescent="0.25">
      <c r="A59" s="2">
        <f t="shared" si="0"/>
        <v>56</v>
      </c>
      <c r="B59" s="1" t="str">
        <f>'Thematic Analysis'!$E62</f>
        <v>Alignment with business benefits
Risk Identification
Disconnect of strategy and implementation</v>
      </c>
      <c r="C59" s="1" t="str">
        <f>'Thematic Analysis'!$G62</f>
        <v>Business Alignment
Risk Identification and Management
Compliance and Governance</v>
      </c>
      <c r="D59" s="1" t="str">
        <f>'Thematic Analysis'!$F62</f>
        <v>Strategic alignment
Risk assessment
Execution gap</v>
      </c>
      <c r="E59" s="1" t="s">
        <v>1234</v>
      </c>
      <c r="F59" s="1" t="s">
        <v>1297</v>
      </c>
      <c r="G59" s="1" t="str">
        <f>'Thematic Analysis'!$D62</f>
        <v>The Project Governance framework makes sure projects do what they're supposed to and deliver the benefits they promised. It helps NSW Health focus on the right projects and ensures they're done correctly. This way, strategy and delivery stay connected, reducing risks for the whole portfolio</v>
      </c>
    </row>
    <row r="60" spans="1:7" s="6" customFormat="1" ht="150" x14ac:dyDescent="0.25">
      <c r="A60" s="2">
        <f t="shared" si="0"/>
        <v>57</v>
      </c>
      <c r="B60" s="1" t="str">
        <f>'Thematic Analysis'!$E63</f>
        <v>Development process
Integration with existing methodology
Informed decision-making</v>
      </c>
      <c r="C60" s="1" t="str">
        <f>'Thematic Analysis'!$G63</f>
        <v>System Deployment and Integration
System Deployment and Integration
System Deployment and Integration</v>
      </c>
      <c r="D60" s="1" t="str">
        <f>'Thematic Analysis'!$F63</f>
        <v>Workflow
Seamless adoption
Data-driven choices</v>
      </c>
      <c r="E60" s="1" t="s">
        <v>1235</v>
      </c>
      <c r="F60" s="1" t="s">
        <v>1298</v>
      </c>
      <c r="G60" s="1" t="str">
        <f>'Thematic Analysis'!$D63</f>
        <v>In the Content Development phase, they design and build a prototype, then review it with clinicians. We use a method called Fast Track, which makes the process quicker. The prototype helps clinicians understand the application better and decide if it works for them</v>
      </c>
    </row>
    <row r="61" spans="1:7" s="6" customFormat="1" ht="240" x14ac:dyDescent="0.25">
      <c r="A61" s="2">
        <f t="shared" si="0"/>
        <v>58</v>
      </c>
      <c r="B61" s="1" t="str">
        <f>'Thematic Analysis'!$E64</f>
        <v>Large content management
Resource constraints
Skills / Training
Scope creep</v>
      </c>
      <c r="C61" s="1" t="str">
        <f>'Thematic Analysis'!$G64</f>
        <v>Data and Information Management
Resource Management and Utilization
Employee Training and Development
Program and Project Management</v>
      </c>
      <c r="D61" s="1" t="str">
        <f>'Thematic Analysis'!$F64</f>
        <v>CMS
Limited resources
Competence building
Project control</v>
      </c>
      <c r="E61" s="1" t="s">
        <v>1236</v>
      </c>
      <c r="F61" s="1" t="s">
        <v>1299</v>
      </c>
      <c r="G61" s="1" t="str">
        <f>'Thematic Analysis'!$D64</f>
        <v>In the Implementation phase, they're putting in the content decided by the state. Doing it all at once might seem like a lot, but it's the most efficient and cost-effective way. Using the Fast Track Method makes things quicker and cheaper, sticking to a standard design with state content. This means less hassle and less time spent learning for Area Health Services staff. Their team knows how to build the database, and doing things fast helps them stick to the plan without adding extra stuff.</v>
      </c>
    </row>
    <row r="62" spans="1:7" s="6" customFormat="1" ht="165" x14ac:dyDescent="0.25">
      <c r="A62" s="2">
        <f t="shared" si="0"/>
        <v>59</v>
      </c>
      <c r="B62" s="1" t="str">
        <f>'Thematic Analysis'!$E65</f>
        <v>Equal system participation
Change control process
Core functionality vs area-specific needs</v>
      </c>
      <c r="C62" s="1" t="str">
        <f>'Thematic Analysis'!$G65</f>
        <v>Standardization and Streamlining Processes
Compliance and Governance
Compliance and Governance</v>
      </c>
      <c r="D62" s="1" t="str">
        <f>'Thematic Analysis'!$F65</f>
        <v>Inclusive access
Process governance
Customization</v>
      </c>
      <c r="E62" s="1" t="s">
        <v>1237</v>
      </c>
      <c r="F62" s="1" t="s">
        <v>1300</v>
      </c>
      <c r="G62" s="1" t="str">
        <f>'Thematic Analysis'!$D65</f>
        <v>The SBB uses a maturity model to improve its features over time, with all Area Health Services contributing to each version, changes requiring approval from the majority of the Application Advisory Group, and new versions released annually, featuring required core functions, modifiable features, and local content.</v>
      </c>
    </row>
    <row r="63" spans="1:7" s="6" customFormat="1" ht="165" x14ac:dyDescent="0.25">
      <c r="A63" s="2">
        <f t="shared" si="0"/>
        <v>60</v>
      </c>
      <c r="B63" s="1" t="str">
        <f>'Thematic Analysis'!$E66</f>
        <v>Alignment
Implementation delays
Allocation of resources</v>
      </c>
      <c r="C63" s="1" t="str">
        <f>'Thematic Analysis'!$G66</f>
        <v>Business Alignment
Consumer Experience and Support
Consumer Experience and Support</v>
      </c>
      <c r="D63" s="1" t="str">
        <f>'Thematic Analysis'!$F66</f>
        <v>Strategic fit
Time management
Resource planning</v>
      </c>
      <c r="E63" s="1" t="s">
        <v>1238</v>
      </c>
      <c r="F63" s="1" t="s">
        <v>1301</v>
      </c>
      <c r="G63" s="1" t="str">
        <f>'Thematic Analysis'!$D66</f>
        <v>The Clinical Systems Strategy aims to implement essential clinical systems supporting Clinical Services Redesign, Quality and Safety initiatives, and clinical programs. It focuses on improving communication, reducing delays, and supporting patient care, ensuring resources are allocated flexibly to meet patient needs</v>
      </c>
    </row>
    <row r="64" spans="1:7" s="6" customFormat="1" ht="165" x14ac:dyDescent="0.25">
      <c r="A64" s="2">
        <f t="shared" si="0"/>
        <v>61</v>
      </c>
      <c r="B64" s="1" t="str">
        <f>'Thematic Analysis'!$E67</f>
        <v>Management of programs
Integration of systems
Compatibility between systems</v>
      </c>
      <c r="C64" s="1" t="str">
        <f>'Thematic Analysis'!$G67</f>
        <v>Program and Project Management
System Deployment and Integration
Financial Management and Budgeting</v>
      </c>
      <c r="D64" s="1" t="str">
        <f>'Thematic Analysis'!$F67</f>
        <v>Program oversight
System merger
System harmony</v>
      </c>
      <c r="E64" s="1" t="s">
        <v>1239</v>
      </c>
      <c r="F64" s="1" t="s">
        <v>1302</v>
      </c>
      <c r="G64" s="1" t="str">
        <f>'Thematic Analysis'!$D67</f>
        <v>Three programs support the Clinical Systems Strategy: the Electronic Medical Record program for managing patients in hospitals, the Primary, Community, and Outpatient Care program for community care, and the Clinical Support program for essential support systems like Patient Administration and diagnostics.</v>
      </c>
    </row>
    <row r="65" spans="1:7" s="6" customFormat="1" ht="135" x14ac:dyDescent="0.25">
      <c r="A65" s="2">
        <f t="shared" si="0"/>
        <v>62</v>
      </c>
      <c r="B65" s="1" t="str">
        <f>'Thematic Analysis'!$E68</f>
        <v>Integration of unified systems
Disruption to processes
Data security
Data privacy</v>
      </c>
      <c r="C65" s="1" t="str">
        <f>'Thematic Analysis'!$G68</f>
        <v>System Deployment and Integration
Resource Management and Utilization
Data and Information Management
Data Security, Quality and Privacy</v>
      </c>
      <c r="D65" s="1" t="str">
        <f>'Thematic Analysis'!$F68</f>
        <v>Single platform
Smooth transitions
Protection
Confidentiality</v>
      </c>
      <c r="E65" s="1" t="s">
        <v>1240</v>
      </c>
      <c r="F65" s="1" t="s">
        <v>1303</v>
      </c>
      <c r="G65" s="1" t="str">
        <f>'Thematic Analysis'!$D68</f>
        <v>The Corporate Systems Strategy sets up essential systems to support the Corporate Shared Services reform program, cutting duplication and costs in administrative tasks to redirect funds to frontline care, with the Corporate Systems program as its backbone.</v>
      </c>
    </row>
    <row r="66" spans="1:7" s="6" customFormat="1" ht="180" x14ac:dyDescent="0.25">
      <c r="A66" s="2">
        <f t="shared" si="0"/>
        <v>63</v>
      </c>
      <c r="B66" s="1" t="str">
        <f>'Thematic Analysis'!$E69</f>
        <v>Timeliness
Accuracy of data
Accuracy of Reporting
Integration of data
Unified platform
Data accessibility
Data privacy</v>
      </c>
      <c r="C66" s="1" t="str">
        <f>'Thematic Analysis'!$G69</f>
        <v>Operational Effectiveness and Efficiency
Data Security, Quality and Privacy
Data Security, Quality and Privacy
System Deployment and Integration
System Deployment and Integration
Data and Information Management
Data Security, Quality and Privacy</v>
      </c>
      <c r="D66" s="1" t="str">
        <f>'Thematic Analysis'!$F69</f>
        <v>Punctuality
Data integrity
Precise reports
Data fusion
Single interface
Easy access
Confidentiality</v>
      </c>
      <c r="E66" s="1" t="s">
        <v>1241</v>
      </c>
      <c r="F66" s="1" t="s">
        <v>1304</v>
      </c>
      <c r="G66" s="1" t="str">
        <f>'Thematic Analysis'!$D69</f>
        <v>The Business Information Strategy aims to provide timely, high-quality information throughout the organization, fostering a performance-driven culture. It helps turn data into insights, supports decision-making, aligns with strategic goals, ensures accountability, and follows the overall program and change management approach.</v>
      </c>
    </row>
    <row r="67" spans="1:7" s="6" customFormat="1" ht="150" x14ac:dyDescent="0.25">
      <c r="A67" s="2">
        <f t="shared" si="0"/>
        <v>64</v>
      </c>
      <c r="B67" s="1" t="str">
        <f>'Thematic Analysis'!$E70</f>
        <v>Prioritization
Alignment
Monitoring</v>
      </c>
      <c r="C67" s="1" t="str">
        <f>'Thematic Analysis'!$G70</f>
        <v>Program and Project Management
Business Alignment
System Maintenance and Support</v>
      </c>
      <c r="D67" s="1" t="str">
        <f>'Thematic Analysis'!$F70</f>
        <v>Task ranking
Strategic fit
Supervision</v>
      </c>
      <c r="E67" s="1" t="s">
        <v>1242</v>
      </c>
      <c r="F67" s="1" t="s">
        <v>1305</v>
      </c>
      <c r="G67" s="1" t="str">
        <f>'Thematic Analysis'!$D70</f>
        <v>Three programs support the Business Information Strategy: one delivers useful information to front-line staff, another integrates strategic frameworks and develops performance measures, and the third ensures systems can provide consistent data and sets up technical infrastructure</v>
      </c>
    </row>
    <row r="68" spans="1:7" s="6" customFormat="1" ht="120" x14ac:dyDescent="0.25">
      <c r="A68" s="2">
        <f t="shared" si="0"/>
        <v>65</v>
      </c>
      <c r="B68" s="1" t="str">
        <f>'Thematic Analysis'!$E71</f>
        <v>Infrastructure efficiency
Standardized information
Resource optimization</v>
      </c>
      <c r="C68" s="1" t="str">
        <f>'Thematic Analysis'!$G71</f>
        <v>Data and Information Management
Data and Information Management
Resource Management and Utilization</v>
      </c>
      <c r="D68" s="1" t="str">
        <f>'Thematic Analysis'!$F71</f>
        <v>Optimal systems
Data governance
Best use</v>
      </c>
      <c r="E68" s="1" t="s">
        <v>1243</v>
      </c>
      <c r="F68" s="1" t="s">
        <v>1306</v>
      </c>
      <c r="G68" s="1" t="str">
        <f>'Thematic Analysis'!$D71</f>
        <v>The Sustainable Infrastructure program aims to streamline technical infrastructure, establish and uphold standards and architecture for statewide ICT initiatives, and ensure maximum benefit from ICT investments.</v>
      </c>
    </row>
    <row r="69" spans="1:7" s="6" customFormat="1" ht="105" x14ac:dyDescent="0.25">
      <c r="A69" s="2">
        <f t="shared" si="0"/>
        <v>66</v>
      </c>
      <c r="B69" s="1" t="str">
        <f>'Thematic Analysis'!$E72</f>
        <v>Infrastructure coherence
Standard adherence
Data quality</v>
      </c>
      <c r="C69" s="1" t="str">
        <f>'Thematic Analysis'!$G72</f>
        <v>System Deployment and Integration
Data and Information Management
Data and Information Management</v>
      </c>
      <c r="D69" s="1" t="str">
        <f>'Thematic Analysis'!$F72</f>
        <v>Protocol compliance
High standards
High standards</v>
      </c>
      <c r="E69" s="1" t="s">
        <v>1244</v>
      </c>
      <c r="F69" s="1" t="s">
        <v>1307</v>
      </c>
      <c r="G69" s="1" t="str">
        <f>'Thematic Analysis'!$D72</f>
        <v>The Sustainable Infrastructure program includes three parts: setting up infrastructure, establishing technical standards, and ensuring uniform data standards across systems in NSW.</v>
      </c>
    </row>
  </sheetData>
  <mergeCells count="1">
    <mergeCell ref="A2:G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UpdateConcepts">
                <anchor moveWithCells="1" sizeWithCells="1">
                  <from>
                    <xdr:col>4</xdr:col>
                    <xdr:colOff>66675</xdr:colOff>
                    <xdr:row>0</xdr:row>
                    <xdr:rowOff>66675</xdr:rowOff>
                  </from>
                  <to>
                    <xdr:col>4</xdr:col>
                    <xdr:colOff>1543050</xdr:colOff>
                    <xdr:row>0</xdr:row>
                    <xdr:rowOff>542925</xdr:rowOff>
                  </to>
                </anchor>
              </controlPr>
            </control>
          </mc:Choice>
        </mc:AlternateContent>
        <mc:AlternateContent xmlns:mc="http://schemas.openxmlformats.org/markup-compatibility/2006">
          <mc:Choice Requires="x14">
            <control shapeId="11266" r:id="rId4" name="Button 2">
              <controlPr defaultSize="0" print="0" autoFill="0" autoPict="0" macro="[0]!UpdateConceptLayers">
                <anchor moveWithCells="1" sizeWithCells="1">
                  <from>
                    <xdr:col>5</xdr:col>
                    <xdr:colOff>66675</xdr:colOff>
                    <xdr:row>0</xdr:row>
                    <xdr:rowOff>66675</xdr:rowOff>
                  </from>
                  <to>
                    <xdr:col>6</xdr:col>
                    <xdr:colOff>9525</xdr:colOff>
                    <xdr:row>0</xdr:row>
                    <xdr:rowOff>542925</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Thematic Analysis</vt:lpstr>
      <vt:lpstr>Glossary</vt:lpstr>
      <vt:lpstr>Tech Concepts</vt:lpstr>
      <vt:lpstr>Tool Data</vt:lpstr>
      <vt:lpstr>Concept</vt:lpstr>
      <vt:lpstr>Concerns_List</vt:lpstr>
      <vt:lpstr>Factors</vt:lpstr>
      <vt:lpstr>Groups</vt:lpstr>
      <vt:lpstr>Solution_Layers</vt:lpstr>
      <vt:lpstr>Solutions</vt:lpstr>
      <vt:lpstr>Sub_Group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dc:creator>
  <cp:lastModifiedBy>Nigel</cp:lastModifiedBy>
  <dcterms:created xsi:type="dcterms:W3CDTF">2015-06-05T18:17:20Z</dcterms:created>
  <dcterms:modified xsi:type="dcterms:W3CDTF">2025-06-19T09:38:18Z</dcterms:modified>
</cp:coreProperties>
</file>